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1.xml" ContentType="application/vnd.openxmlformats-officedocument.themeOverrid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2.xml" ContentType="application/vnd.openxmlformats-officedocument.themeOverrid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heme/themeOverride3.xml" ContentType="application/vnd.openxmlformats-officedocument.themeOverrid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heme/themeOverride4.xml" ContentType="application/vnd.openxmlformats-officedocument.themeOverrid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heme/themeOverride5.xml" ContentType="application/vnd.openxmlformats-officedocument.themeOverrid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2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heme/themeOverride6.xml" ContentType="application/vnd.openxmlformats-officedocument.themeOverrid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theme/themeOverride7.xml" ContentType="application/vnd.openxmlformats-officedocument.themeOverrid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heme/themeOverride8.xml" ContentType="application/vnd.openxmlformats-officedocument.themeOverrid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theme/themeOverride9.xml" ContentType="application/vnd.openxmlformats-officedocument.themeOverrid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theme/themeOverride10.xml" ContentType="application/vnd.openxmlformats-officedocument.themeOverride+xml"/>
  <Override PartName="/xl/drawings/drawing3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theme/themeOverride11.xml" ContentType="application/vnd.openxmlformats-officedocument.themeOverrid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theme/themeOverride12.xml" ContentType="application/vnd.openxmlformats-officedocument.themeOverrid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theme/themeOverride13.xml" ContentType="application/vnd.openxmlformats-officedocument.themeOverrid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theme/themeOverride14.xml" ContentType="application/vnd.openxmlformats-officedocument.themeOverrid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theme/themeOverride15.xml" ContentType="application/vnd.openxmlformats-officedocument.themeOverride+xml"/>
  <Override PartName="/xl/drawings/drawing4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B:\Projects\games\way-of-the-hunter\ballistics-data\Remington700LR-300WinMag\"/>
    </mc:Choice>
  </mc:AlternateContent>
  <xr:revisionPtr revIDLastSave="0" documentId="13_ncr:1_{12BC84F1-8935-40F9-8CE0-AC88EA34797C}" xr6:coauthVersionLast="47" xr6:coauthVersionMax="47" xr10:uidLastSave="{00000000-0000-0000-0000-000000000000}"/>
  <bookViews>
    <workbookView xWindow="-120" yWindow="-120" windowWidth="51840" windowHeight="21120" xr2:uid="{2F0FA23F-61CC-43E6-AF0F-86720E5DCFA1}"/>
  </bookViews>
  <sheets>
    <sheet name="Terminal Ascent PHP " sheetId="11" r:id="rId1"/>
    <sheet name="Power-Shok SP" sheetId="7" r:id="rId2"/>
    <sheet name="Remington Core-Lokt Copper HP" sheetId="9" r:id="rId3"/>
    <sheet name="Bullet Comparisons" sheetId="10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50" i="11" l="1" a="1"/>
  <c r="J250" i="11" s="1"/>
  <c r="J249" i="11" a="1"/>
  <c r="J249" i="11" s="1"/>
  <c r="J248" i="11" a="1"/>
  <c r="J248" i="11" s="1"/>
  <c r="J247" i="11" a="1"/>
  <c r="J247" i="11" s="1"/>
  <c r="I250" i="11" a="1"/>
  <c r="I250" i="11" s="1"/>
  <c r="I249" i="11" a="1"/>
  <c r="I249" i="11" s="1"/>
  <c r="I248" i="11" a="1"/>
  <c r="I248" i="11" s="1"/>
  <c r="I247" i="11" a="1"/>
  <c r="I247" i="11" s="1"/>
  <c r="P22" i="11"/>
  <c r="O22" i="11"/>
  <c r="N22" i="11"/>
  <c r="M22" i="11"/>
  <c r="L22" i="11"/>
  <c r="K22" i="11"/>
  <c r="J22" i="11"/>
  <c r="C17" i="11"/>
  <c r="C16" i="11"/>
  <c r="B13" i="11"/>
  <c r="D13" i="11" s="1"/>
  <c r="C9" i="11"/>
  <c r="H7" i="11"/>
  <c r="B7" i="11"/>
  <c r="C7" i="11" s="1"/>
  <c r="H6" i="11"/>
  <c r="G6" i="11"/>
  <c r="C6" i="11"/>
  <c r="H3" i="11"/>
  <c r="C3" i="11"/>
  <c r="H2" i="11"/>
  <c r="C2" i="11"/>
  <c r="K250" i="9" a="1"/>
  <c r="K250" i="9"/>
  <c r="K249" i="9" a="1"/>
  <c r="K249" i="9" s="1"/>
  <c r="K248" i="9" a="1"/>
  <c r="K248" i="9" s="1"/>
  <c r="K247" i="9" a="1"/>
  <c r="K247" i="9" s="1"/>
  <c r="H7" i="9"/>
  <c r="H6" i="9" s="1"/>
  <c r="G6" i="9" s="1"/>
  <c r="H3" i="9"/>
  <c r="H2" i="9"/>
  <c r="H7" i="7"/>
  <c r="H6" i="7" s="1"/>
  <c r="G6" i="7" s="1"/>
  <c r="H3" i="7"/>
  <c r="H2" i="7"/>
  <c r="N31" i="11" a="1"/>
  <c r="I272" i="11" a="1"/>
  <c r="P25" i="11" a="1"/>
  <c r="L30" i="11" a="1"/>
  <c r="L31" i="11" a="1"/>
  <c r="N29" i="11" a="1"/>
  <c r="P34" i="11" a="1"/>
  <c r="J273" i="11" a="1"/>
  <c r="J260" i="11" a="1"/>
  <c r="I275" i="11" a="1"/>
  <c r="O24" i="11" a="1"/>
  <c r="I260" i="11" a="1"/>
  <c r="K268" i="9" a="1"/>
  <c r="O28" i="11" a="1"/>
  <c r="L32" i="11" a="1"/>
  <c r="P28" i="11" a="1"/>
  <c r="K260" i="9" a="1"/>
  <c r="N28" i="11" a="1"/>
  <c r="I268" i="11" a="1"/>
  <c r="N25" i="11" a="1"/>
  <c r="J23" i="11" a="1"/>
  <c r="K258" i="9" a="1"/>
  <c r="J280" i="11" a="1"/>
  <c r="J279" i="11" a="1"/>
  <c r="M35" i="11" a="1"/>
  <c r="J269" i="11" a="1"/>
  <c r="I258" i="11" a="1"/>
  <c r="I263" i="11" a="1"/>
  <c r="N30" i="11" a="1"/>
  <c r="I261" i="11" a="1"/>
  <c r="L23" i="11" a="1"/>
  <c r="J274" i="11" a="1"/>
  <c r="K257" i="9" a="1"/>
  <c r="I269" i="11" a="1"/>
  <c r="M25" i="11" a="1"/>
  <c r="I279" i="11" a="1"/>
  <c r="K263" i="9" a="1"/>
  <c r="N27" i="11" a="1"/>
  <c r="J35" i="11" a="1"/>
  <c r="J33" i="11" a="1"/>
  <c r="J268" i="11" a="1"/>
  <c r="K267" i="9" a="1"/>
  <c r="O25" i="11" a="1"/>
  <c r="B12" i="11" a="1"/>
  <c r="O34" i="11" a="1"/>
  <c r="O23" i="11" a="1"/>
  <c r="K275" i="9" a="1"/>
  <c r="M28" i="11" a="1"/>
  <c r="M29" i="11" a="1"/>
  <c r="L34" i="11" a="1"/>
  <c r="J265" i="11" a="1"/>
  <c r="L28" i="11" a="1"/>
  <c r="K34" i="11" a="1"/>
  <c r="J27" i="11" a="1"/>
  <c r="N24" i="11" a="1"/>
  <c r="I266" i="11" a="1"/>
  <c r="K273" i="9" a="1"/>
  <c r="L25" i="11" a="1"/>
  <c r="J25" i="11" a="1"/>
  <c r="P33" i="11" a="1"/>
  <c r="I264" i="11" a="1"/>
  <c r="K30" i="11" a="1"/>
  <c r="P31" i="11" a="1"/>
  <c r="J262" i="11" a="1"/>
  <c r="K25" i="11" a="1"/>
  <c r="K28" i="11" a="1"/>
  <c r="P26" i="11" a="1"/>
  <c r="P32" i="11" a="1"/>
  <c r="I278" i="11" a="1"/>
  <c r="I262" i="11" a="1"/>
  <c r="K24" i="11" a="1"/>
  <c r="P23" i="11" a="1"/>
  <c r="I277" i="11" a="1"/>
  <c r="M34" i="11" a="1"/>
  <c r="K31" i="11" a="1"/>
  <c r="I273" i="11" a="1"/>
  <c r="O27" i="11" a="1"/>
  <c r="P27" i="11" a="1"/>
  <c r="J259" i="11" a="1"/>
  <c r="K272" i="9" a="1"/>
  <c r="J278" i="11" a="1"/>
  <c r="P29" i="11" a="1"/>
  <c r="J31" i="11" a="1"/>
  <c r="J29" i="11" a="1"/>
  <c r="K32" i="11" a="1"/>
  <c r="K26" i="11" a="1"/>
  <c r="K266" i="9" a="1"/>
  <c r="J270" i="11" a="1"/>
  <c r="J257" i="11" a="1"/>
  <c r="J34" i="11" a="1"/>
  <c r="L27" i="11" a="1"/>
  <c r="M27" i="11" a="1"/>
  <c r="K23" i="11" a="1"/>
  <c r="L24" i="11" a="1"/>
  <c r="J32" i="11" a="1"/>
  <c r="I280" i="11" a="1"/>
  <c r="N23" i="11" a="1"/>
  <c r="J263" i="11" a="1"/>
  <c r="K35" i="11" a="1"/>
  <c r="K277" i="9" a="1"/>
  <c r="J24" i="11" a="1"/>
  <c r="I265" i="11" a="1"/>
  <c r="K278" i="9" a="1"/>
  <c r="M23" i="11" a="1"/>
  <c r="N34" i="11" a="1"/>
  <c r="O26" i="11" a="1"/>
  <c r="O33" i="11" a="1"/>
  <c r="M24" i="11" a="1"/>
  <c r="L26" i="11" a="1"/>
  <c r="M32" i="11" a="1"/>
  <c r="M26" i="11" a="1"/>
  <c r="K276" i="9" a="1"/>
  <c r="M33" i="11" a="1"/>
  <c r="I276" i="11" a="1"/>
  <c r="K280" i="9" a="1"/>
  <c r="J261" i="11" a="1"/>
  <c r="L35" i="11" a="1"/>
  <c r="J30" i="11" a="1"/>
  <c r="J276" i="11" a="1"/>
  <c r="K264" i="9" a="1"/>
  <c r="L33" i="11" a="1"/>
  <c r="K265" i="9" a="1"/>
  <c r="I274" i="11" a="1"/>
  <c r="J271" i="11" a="1"/>
  <c r="K274" i="9" a="1"/>
  <c r="O32" i="11" a="1"/>
  <c r="J26" i="11" a="1"/>
  <c r="J272" i="11" a="1"/>
  <c r="K269" i="9" a="1"/>
  <c r="K262" i="9" a="1"/>
  <c r="P24" i="11" a="1"/>
  <c r="O30" i="11" a="1"/>
  <c r="K270" i="9" a="1"/>
  <c r="I259" i="11" a="1"/>
  <c r="J266" i="11" a="1"/>
  <c r="O31" i="11" a="1"/>
  <c r="K259" i="9" a="1"/>
  <c r="J277" i="11" a="1"/>
  <c r="L29" i="11" a="1"/>
  <c r="M31" i="11" a="1"/>
  <c r="I257" i="11" a="1"/>
  <c r="I267" i="11" a="1"/>
  <c r="K261" i="9" a="1"/>
  <c r="P35" i="11" a="1"/>
  <c r="O29" i="11" a="1"/>
  <c r="K271" i="9" a="1"/>
  <c r="N35" i="11" a="1"/>
  <c r="K33" i="11" a="1"/>
  <c r="J275" i="11" a="1"/>
  <c r="P30" i="11" a="1"/>
  <c r="J28" i="11" a="1"/>
  <c r="I270" i="11" a="1"/>
  <c r="J267" i="11" a="1"/>
  <c r="I271" i="11" a="1"/>
  <c r="N26" i="11" a="1"/>
  <c r="K279" i="9" a="1"/>
  <c r="J258" i="11" a="1"/>
  <c r="J264" i="11" a="1"/>
  <c r="K27" i="11" a="1"/>
  <c r="O35" i="11" a="1"/>
  <c r="N33" i="11" a="1"/>
  <c r="K29" i="11" a="1"/>
  <c r="N32" i="11" a="1"/>
  <c r="M30" i="11" a="1"/>
  <c r="C19" i="11" l="1"/>
  <c r="M35" i="11"/>
  <c r="K25" i="11"/>
  <c r="I264" i="11"/>
  <c r="L25" i="11"/>
  <c r="L28" i="11"/>
  <c r="M28" i="11"/>
  <c r="B12" i="11"/>
  <c r="N28" i="11"/>
  <c r="O28" i="11"/>
  <c r="I275" i="11"/>
  <c r="L31" i="11"/>
  <c r="J275" i="11"/>
  <c r="O35" i="11"/>
  <c r="J264" i="11"/>
  <c r="P35" i="11"/>
  <c r="I267" i="11"/>
  <c r="M31" i="11"/>
  <c r="J277" i="11"/>
  <c r="O31" i="11"/>
  <c r="O32" i="11"/>
  <c r="K35" i="11"/>
  <c r="L24" i="11"/>
  <c r="L35" i="11"/>
  <c r="J278" i="11"/>
  <c r="M25" i="11"/>
  <c r="E250" i="11" s="1" a="1"/>
  <c r="E250" i="11" s="1"/>
  <c r="P27" i="11"/>
  <c r="K31" i="11"/>
  <c r="I277" i="11"/>
  <c r="I262" i="11"/>
  <c r="P32" i="11"/>
  <c r="J262" i="11"/>
  <c r="N25" i="11"/>
  <c r="J265" i="11"/>
  <c r="O25" i="11"/>
  <c r="J260" i="11"/>
  <c r="L30" i="11"/>
  <c r="M33" i="11"/>
  <c r="M26" i="11"/>
  <c r="N26" i="11"/>
  <c r="I271" i="11"/>
  <c r="O26" i="11"/>
  <c r="J266" i="11"/>
  <c r="I265" i="11"/>
  <c r="L33" i="11"/>
  <c r="J263" i="11"/>
  <c r="K23" i="11"/>
  <c r="M30" i="11"/>
  <c r="I279" i="11"/>
  <c r="L23" i="11"/>
  <c r="N30" i="11"/>
  <c r="I258" i="11"/>
  <c r="J279" i="11"/>
  <c r="P33" i="11"/>
  <c r="I266" i="11"/>
  <c r="L34" i="11"/>
  <c r="O23" i="11"/>
  <c r="P28" i="11"/>
  <c r="I260" i="11"/>
  <c r="J273" i="11"/>
  <c r="P25" i="11"/>
  <c r="K29" i="11"/>
  <c r="K33" i="11"/>
  <c r="L26" i="11"/>
  <c r="O33" i="11"/>
  <c r="M23" i="11"/>
  <c r="O30" i="11"/>
  <c r="J271" i="11"/>
  <c r="N23" i="11"/>
  <c r="M27" i="11"/>
  <c r="P30" i="11"/>
  <c r="J261" i="11"/>
  <c r="I269" i="11"/>
  <c r="O27" i="11"/>
  <c r="G248" i="11" s="1" a="1"/>
  <c r="G248" i="11" s="1"/>
  <c r="M34" i="11"/>
  <c r="P23" i="11"/>
  <c r="J269" i="11"/>
  <c r="P26" i="11"/>
  <c r="P31" i="11"/>
  <c r="I268" i="11"/>
  <c r="N24" i="11"/>
  <c r="M29" i="11"/>
  <c r="O34" i="11"/>
  <c r="J268" i="11"/>
  <c r="L32" i="11"/>
  <c r="O24" i="11"/>
  <c r="P34" i="11"/>
  <c r="I272" i="11"/>
  <c r="I276" i="11"/>
  <c r="K27" i="11"/>
  <c r="O29" i="11"/>
  <c r="M32" i="11"/>
  <c r="M24" i="11"/>
  <c r="L29" i="11"/>
  <c r="N34" i="11"/>
  <c r="I259" i="11"/>
  <c r="P24" i="11"/>
  <c r="J272" i="11"/>
  <c r="I274" i="11"/>
  <c r="J276" i="11"/>
  <c r="I280" i="11"/>
  <c r="L27" i="11"/>
  <c r="P29" i="11"/>
  <c r="N32" i="11"/>
  <c r="J259" i="11"/>
  <c r="J274" i="11"/>
  <c r="I261" i="11"/>
  <c r="I263" i="11"/>
  <c r="I278" i="11"/>
  <c r="J280" i="11"/>
  <c r="J23" i="11"/>
  <c r="J25" i="11"/>
  <c r="J27" i="11"/>
  <c r="J29" i="11"/>
  <c r="J31" i="11"/>
  <c r="J33" i="11"/>
  <c r="J35" i="11"/>
  <c r="N27" i="11"/>
  <c r="N29" i="11"/>
  <c r="N31" i="11"/>
  <c r="N33" i="11"/>
  <c r="N35" i="11"/>
  <c r="J258" i="11"/>
  <c r="I257" i="11"/>
  <c r="J267" i="11"/>
  <c r="I270" i="11"/>
  <c r="J24" i="11"/>
  <c r="J26" i="11"/>
  <c r="J28" i="11"/>
  <c r="J30" i="11"/>
  <c r="J32" i="11"/>
  <c r="J34" i="11"/>
  <c r="J257" i="11"/>
  <c r="J270" i="11"/>
  <c r="I273" i="11"/>
  <c r="K24" i="11"/>
  <c r="K26" i="11"/>
  <c r="K28" i="11"/>
  <c r="K30" i="11"/>
  <c r="K32" i="11"/>
  <c r="K34" i="11"/>
  <c r="K270" i="9"/>
  <c r="K262" i="9"/>
  <c r="K265" i="9"/>
  <c r="K267" i="9"/>
  <c r="K269" i="9"/>
  <c r="K273" i="9"/>
  <c r="K275" i="9"/>
  <c r="K260" i="9"/>
  <c r="K261" i="9"/>
  <c r="K278" i="9"/>
  <c r="K263" i="9"/>
  <c r="K266" i="9"/>
  <c r="K268" i="9"/>
  <c r="K274" i="9"/>
  <c r="K276" i="9"/>
  <c r="K279" i="9"/>
  <c r="K280" i="9"/>
  <c r="K271" i="9"/>
  <c r="K272" i="9"/>
  <c r="K257" i="9"/>
  <c r="K258" i="9"/>
  <c r="K259" i="9"/>
  <c r="K277" i="9"/>
  <c r="K264" i="9"/>
  <c r="L262" i="11" l="1"/>
  <c r="L259" i="11"/>
  <c r="L276" i="11"/>
  <c r="L269" i="11"/>
  <c r="M269" i="11" s="1"/>
  <c r="L274" i="11"/>
  <c r="M274" i="11" s="1"/>
  <c r="L270" i="11"/>
  <c r="M270" i="11" s="1"/>
  <c r="L267" i="11"/>
  <c r="M267" i="11" s="1"/>
  <c r="L271" i="11"/>
  <c r="L272" i="11"/>
  <c r="L260" i="11"/>
  <c r="L278" i="11"/>
  <c r="L279" i="11"/>
  <c r="L257" i="11"/>
  <c r="L275" i="11"/>
  <c r="L264" i="11"/>
  <c r="F249" i="11" a="1"/>
  <c r="F249" i="11" s="1"/>
  <c r="L280" i="11"/>
  <c r="M280" i="11" s="1"/>
  <c r="L265" i="11"/>
  <c r="M265" i="11" s="1"/>
  <c r="G250" i="11" a="1"/>
  <c r="G250" i="11" s="1"/>
  <c r="L273" i="11"/>
  <c r="M273" i="11" s="1"/>
  <c r="L263" i="11"/>
  <c r="M263" i="11" s="1"/>
  <c r="L268" i="11"/>
  <c r="M268" i="11" s="1"/>
  <c r="L266" i="11"/>
  <c r="M266" i="11" s="1"/>
  <c r="L277" i="11"/>
  <c r="M277" i="11" s="1"/>
  <c r="L261" i="11"/>
  <c r="M261" i="11" s="1"/>
  <c r="L258" i="11"/>
  <c r="M258" i="11" s="1"/>
  <c r="B247" i="11" a="1"/>
  <c r="B247" i="11" s="1"/>
  <c r="M262" i="11"/>
  <c r="M279" i="11"/>
  <c r="H249" i="11" a="1"/>
  <c r="H249" i="11" s="1"/>
  <c r="D247" i="11" a="1"/>
  <c r="D247" i="11" s="1"/>
  <c r="D249" i="11" a="1"/>
  <c r="D249" i="11" s="1"/>
  <c r="F248" i="11" a="1"/>
  <c r="F248" i="11" s="1"/>
  <c r="C249" i="11" a="1"/>
  <c r="C249" i="11" s="1"/>
  <c r="D248" i="11" a="1"/>
  <c r="D248" i="11" s="1"/>
  <c r="D250" i="11" a="1"/>
  <c r="D250" i="11" s="1"/>
  <c r="H250" i="11" a="1"/>
  <c r="H250" i="11" s="1"/>
  <c r="M259" i="11"/>
  <c r="F247" i="11" a="1"/>
  <c r="F247" i="11" s="1"/>
  <c r="H247" i="11" a="1"/>
  <c r="H247" i="11" s="1"/>
  <c r="H248" i="11" a="1"/>
  <c r="H248" i="11" s="1"/>
  <c r="C248" i="11" a="1"/>
  <c r="C248" i="11" s="1"/>
  <c r="C250" i="11" a="1"/>
  <c r="C250" i="11" s="1"/>
  <c r="E247" i="11" a="1"/>
  <c r="E247" i="11" s="1"/>
  <c r="E249" i="11" a="1"/>
  <c r="E249" i="11" s="1"/>
  <c r="M271" i="11"/>
  <c r="C247" i="11" a="1"/>
  <c r="C247" i="11" s="1"/>
  <c r="B248" i="11" a="1"/>
  <c r="B248" i="11" s="1"/>
  <c r="M275" i="11"/>
  <c r="B250" i="11" a="1"/>
  <c r="B250" i="11" s="1"/>
  <c r="M276" i="11"/>
  <c r="M272" i="11"/>
  <c r="B18" i="11"/>
  <c r="C12" i="11"/>
  <c r="F250" i="11" a="1"/>
  <c r="F250" i="11" s="1"/>
  <c r="E248" i="11" a="1"/>
  <c r="E248" i="11" s="1"/>
  <c r="M260" i="11"/>
  <c r="B249" i="11" a="1"/>
  <c r="B249" i="11" s="1"/>
  <c r="M264" i="11"/>
  <c r="G249" i="11" a="1"/>
  <c r="G249" i="11" s="1"/>
  <c r="G247" i="11" a="1"/>
  <c r="G247" i="11" s="1"/>
  <c r="M278" i="11"/>
  <c r="C17" i="9"/>
  <c r="C16" i="9"/>
  <c r="B13" i="9"/>
  <c r="D13" i="9" s="1"/>
  <c r="P22" i="7"/>
  <c r="O22" i="7"/>
  <c r="N22" i="7"/>
  <c r="M22" i="7"/>
  <c r="L22" i="7"/>
  <c r="K22" i="7"/>
  <c r="J22" i="7"/>
  <c r="C17" i="7"/>
  <c r="C16" i="7"/>
  <c r="B13" i="7"/>
  <c r="D13" i="7" s="1"/>
  <c r="J250" i="7" a="1"/>
  <c r="J250" i="7" s="1"/>
  <c r="I250" i="7" a="1"/>
  <c r="I250" i="7" s="1"/>
  <c r="J249" i="7" a="1"/>
  <c r="J249" i="7" s="1"/>
  <c r="I249" i="7" a="1"/>
  <c r="I249" i="7" s="1"/>
  <c r="J248" i="7" a="1"/>
  <c r="J248" i="7" s="1"/>
  <c r="I248" i="7" a="1"/>
  <c r="I248" i="7" s="1"/>
  <c r="J247" i="7" a="1"/>
  <c r="J247" i="7" s="1"/>
  <c r="I247" i="7" a="1"/>
  <c r="I247" i="7" s="1"/>
  <c r="J250" i="9" a="1"/>
  <c r="J250" i="9" s="1"/>
  <c r="J249" i="9" a="1"/>
  <c r="J249" i="9" s="1"/>
  <c r="J248" i="9" a="1"/>
  <c r="J248" i="9" s="1"/>
  <c r="J247" i="9" a="1"/>
  <c r="J247" i="9" s="1"/>
  <c r="I250" i="9" a="1"/>
  <c r="I250" i="9" s="1"/>
  <c r="I249" i="9" a="1"/>
  <c r="I249" i="9" s="1"/>
  <c r="I248" i="9" a="1"/>
  <c r="I248" i="9" s="1"/>
  <c r="I247" i="9" a="1"/>
  <c r="I247" i="9" s="1"/>
  <c r="C9" i="9"/>
  <c r="B7" i="9"/>
  <c r="C7" i="9" s="1"/>
  <c r="C6" i="9"/>
  <c r="C3" i="9"/>
  <c r="C2" i="9"/>
  <c r="C9" i="7"/>
  <c r="B7" i="7"/>
  <c r="C7" i="7" s="1"/>
  <c r="C6" i="7"/>
  <c r="C3" i="7"/>
  <c r="C2" i="7"/>
  <c r="G264" i="11" a="1"/>
  <c r="J260" i="9" a="1"/>
  <c r="M33" i="9" a="1"/>
  <c r="J267" i="7" a="1"/>
  <c r="J23" i="9" a="1"/>
  <c r="N34" i="7" a="1"/>
  <c r="M31" i="7" a="1"/>
  <c r="P34" i="9" a="1"/>
  <c r="L29" i="9" a="1"/>
  <c r="J29" i="9" a="1"/>
  <c r="D257" i="11" a="1"/>
  <c r="E274" i="11" a="1"/>
  <c r="K33" i="7" a="1"/>
  <c r="B262" i="11" a="1"/>
  <c r="I273" i="9" a="1"/>
  <c r="F259" i="11" a="1"/>
  <c r="E276" i="11" a="1"/>
  <c r="J26" i="7" a="1"/>
  <c r="B278" i="11" a="1"/>
  <c r="O35" i="9" a="1"/>
  <c r="P30" i="7" a="1"/>
  <c r="N23" i="7" a="1"/>
  <c r="J30" i="7" a="1"/>
  <c r="D271" i="11" a="1"/>
  <c r="K35" i="9" a="1"/>
  <c r="I262" i="7" a="1"/>
  <c r="I276" i="7" a="1"/>
  <c r="E279" i="11" a="1"/>
  <c r="I279" i="9" a="1"/>
  <c r="C279" i="11" a="1"/>
  <c r="J273" i="9" a="1"/>
  <c r="N28" i="7" a="1"/>
  <c r="F277" i="11" a="1"/>
  <c r="E258" i="11" a="1"/>
  <c r="M35" i="7" a="1"/>
  <c r="J275" i="9" a="1"/>
  <c r="H277" i="11" a="1"/>
  <c r="J263" i="7" a="1"/>
  <c r="B265" i="11" a="1"/>
  <c r="I259" i="7" a="1"/>
  <c r="E270" i="11" a="1"/>
  <c r="J32" i="9" a="1"/>
  <c r="C262" i="11" a="1"/>
  <c r="H270" i="11" a="1"/>
  <c r="N31" i="9" a="1"/>
  <c r="K25" i="9" a="1"/>
  <c r="F264" i="11" a="1"/>
  <c r="E273" i="11" a="1"/>
  <c r="G280" i="11" a="1"/>
  <c r="C277" i="11" a="1"/>
  <c r="H274" i="11" a="1"/>
  <c r="L27" i="7" a="1"/>
  <c r="J264" i="9" a="1"/>
  <c r="F280" i="11" a="1"/>
  <c r="B261" i="11" a="1"/>
  <c r="C275" i="11" a="1"/>
  <c r="J257" i="9" a="1"/>
  <c r="J278" i="7" a="1"/>
  <c r="J279" i="7" a="1"/>
  <c r="J262" i="9" a="1"/>
  <c r="J273" i="7" a="1"/>
  <c r="B267" i="11" a="1"/>
  <c r="N30" i="9" a="1"/>
  <c r="I258" i="9" a="1"/>
  <c r="J261" i="7" a="1"/>
  <c r="L26" i="9" a="1"/>
  <c r="J277" i="9" a="1"/>
  <c r="G265" i="11" a="1"/>
  <c r="K32" i="7" a="1"/>
  <c r="J35" i="7" a="1"/>
  <c r="H265" i="11" a="1"/>
  <c r="O31" i="7" a="1"/>
  <c r="J275" i="7" a="1"/>
  <c r="N33" i="9" a="1"/>
  <c r="P25" i="7" a="1"/>
  <c r="D268" i="11" a="1"/>
  <c r="G275" i="11" a="1"/>
  <c r="C278" i="11" a="1"/>
  <c r="H264" i="11" a="1"/>
  <c r="I276" i="9" a="1"/>
  <c r="J272" i="7" a="1"/>
  <c r="J28" i="7" a="1"/>
  <c r="M34" i="7" a="1"/>
  <c r="F275" i="11" a="1"/>
  <c r="E280" i="11" a="1"/>
  <c r="L33" i="7" a="1"/>
  <c r="G267" i="11" a="1"/>
  <c r="C257" i="11" a="1"/>
  <c r="N27" i="9" a="1"/>
  <c r="H262" i="11" a="1"/>
  <c r="J25" i="7" a="1"/>
  <c r="I269" i="7" a="1"/>
  <c r="I277" i="9" a="1"/>
  <c r="J34" i="9" a="1"/>
  <c r="N25" i="9" a="1"/>
  <c r="F272" i="11" a="1"/>
  <c r="D266" i="11" a="1"/>
  <c r="E267" i="11" a="1"/>
  <c r="I257" i="7" a="1"/>
  <c r="O25" i="7" a="1"/>
  <c r="I266" i="7" a="1"/>
  <c r="C260" i="11" a="1"/>
  <c r="H279" i="11" a="1"/>
  <c r="J32" i="7" a="1"/>
  <c r="N26" i="9" a="1"/>
  <c r="J24" i="9" a="1"/>
  <c r="F262" i="11" a="1"/>
  <c r="E260" i="11" a="1"/>
  <c r="K24" i="9" a="1"/>
  <c r="C268" i="11" a="1"/>
  <c r="J259" i="9" a="1"/>
  <c r="H271" i="11" a="1"/>
  <c r="M24" i="9" a="1"/>
  <c r="O26" i="9" a="1"/>
  <c r="E277" i="11" a="1"/>
  <c r="O31" i="9" a="1"/>
  <c r="H266" i="11" a="1"/>
  <c r="P34" i="7" a="1"/>
  <c r="P27" i="9" a="1"/>
  <c r="F260" i="11" a="1"/>
  <c r="E268" i="11" a="1"/>
  <c r="M32" i="7" a="1"/>
  <c r="L32" i="9" a="1"/>
  <c r="C266" i="11" a="1"/>
  <c r="I265" i="7" a="1"/>
  <c r="I278" i="7" a="1"/>
  <c r="M27" i="7" a="1"/>
  <c r="O24" i="7" a="1"/>
  <c r="O34" i="9" a="1"/>
  <c r="F269" i="11" a="1"/>
  <c r="D276" i="11" a="1"/>
  <c r="B270" i="11" a="1"/>
  <c r="J31" i="7" a="1"/>
  <c r="C274" i="11" a="1"/>
  <c r="P29" i="9" a="1"/>
  <c r="K24" i="7" a="1"/>
  <c r="O35" i="7" a="1"/>
  <c r="L23" i="7" a="1"/>
  <c r="O34" i="7" a="1"/>
  <c r="F273" i="11" a="1"/>
  <c r="D280" i="11" a="1"/>
  <c r="E272" i="11" a="1"/>
  <c r="G279" i="11" a="1"/>
  <c r="L34" i="7" a="1"/>
  <c r="C261" i="11" a="1"/>
  <c r="K25" i="7" a="1"/>
  <c r="I273" i="7" a="1"/>
  <c r="J278" i="9" a="1"/>
  <c r="J31" i="9" a="1"/>
  <c r="D265" i="11" a="1"/>
  <c r="L31" i="9" a="1"/>
  <c r="I267" i="7" a="1"/>
  <c r="L30" i="7" a="1"/>
  <c r="L28" i="7" a="1"/>
  <c r="J270" i="7" a="1"/>
  <c r="D267" i="11" a="1"/>
  <c r="B276" i="11" a="1"/>
  <c r="L27" i="9" a="1"/>
  <c r="O23" i="9" a="1"/>
  <c r="B12" i="9" a="1"/>
  <c r="E275" i="11" a="1"/>
  <c r="L34" i="9" a="1"/>
  <c r="H263" i="11" a="1"/>
  <c r="J262" i="7" a="1"/>
  <c r="I280" i="7" a="1"/>
  <c r="F278" i="11" a="1"/>
  <c r="E259" i="11" a="1"/>
  <c r="B264" i="11" a="1"/>
  <c r="G274" i="11" a="1"/>
  <c r="P35" i="7" a="1"/>
  <c r="C280" i="11" a="1"/>
  <c r="M30" i="9" a="1"/>
  <c r="P28" i="9" a="1"/>
  <c r="O23" i="7" a="1"/>
  <c r="K27" i="9" a="1"/>
  <c r="P26" i="9" a="1"/>
  <c r="B266" i="11" a="1"/>
  <c r="D273" i="11" a="1"/>
  <c r="P28" i="7" a="1"/>
  <c r="J27" i="9" a="1"/>
  <c r="I264" i="7" a="1"/>
  <c r="M34" i="9" a="1"/>
  <c r="D270" i="11" a="1"/>
  <c r="O29" i="7" a="1"/>
  <c r="I266" i="9" a="1"/>
  <c r="G262" i="11" a="1"/>
  <c r="C270" i="11" a="1"/>
  <c r="L24" i="7" a="1"/>
  <c r="H267" i="11" a="1"/>
  <c r="O27" i="9" a="1"/>
  <c r="J34" i="7" a="1"/>
  <c r="I280" i="9" a="1"/>
  <c r="K26" i="7" a="1"/>
  <c r="P23" i="7" a="1"/>
  <c r="F267" i="11" a="1"/>
  <c r="D258" i="11" a="1"/>
  <c r="E261" i="11" a="1"/>
  <c r="J263" i="9" a="1"/>
  <c r="J29" i="7" a="1"/>
  <c r="J265" i="7" a="1"/>
  <c r="J274" i="9" a="1"/>
  <c r="D279" i="11" a="1"/>
  <c r="N33" i="7" a="1"/>
  <c r="I268" i="7" a="1"/>
  <c r="O30" i="7" a="1"/>
  <c r="I264" i="9" a="1"/>
  <c r="D277" i="11" a="1"/>
  <c r="L28" i="9" a="1"/>
  <c r="O32" i="9" a="1"/>
  <c r="K30" i="9" a="1"/>
  <c r="J24" i="7" a="1"/>
  <c r="F271" i="11" a="1"/>
  <c r="D264" i="11" a="1"/>
  <c r="M26" i="7" a="1"/>
  <c r="L25" i="9" a="1"/>
  <c r="P32" i="9" a="1"/>
  <c r="H258" i="11" a="1"/>
  <c r="M24" i="7" a="1"/>
  <c r="I257" i="9" a="1"/>
  <c r="N23" i="9" a="1"/>
  <c r="D259" i="11" a="1"/>
  <c r="J280" i="9" a="1"/>
  <c r="L29" i="7" a="1"/>
  <c r="C276" i="11" a="1"/>
  <c r="I260" i="7" a="1"/>
  <c r="J269" i="9" a="1"/>
  <c r="J266" i="9" a="1"/>
  <c r="J276" i="7" a="1"/>
  <c r="D275" i="11" a="1"/>
  <c r="B273" i="11" a="1"/>
  <c r="H257" i="11" a="1"/>
  <c r="L24" i="9" a="1"/>
  <c r="F268" i="11" a="1"/>
  <c r="B260" i="11" a="1"/>
  <c r="I270" i="9" a="1"/>
  <c r="I271" i="7" a="1"/>
  <c r="I272" i="9" a="1"/>
  <c r="D261" i="11" a="1"/>
  <c r="B268" i="11" a="1"/>
  <c r="P26" i="7" a="1"/>
  <c r="K33" i="9" a="1"/>
  <c r="D269" i="11" a="1"/>
  <c r="G261" i="11" a="1"/>
  <c r="C264" i="11" a="1"/>
  <c r="M26" i="9" a="1"/>
  <c r="M33" i="7" a="1"/>
  <c r="N26" i="7" a="1"/>
  <c r="K31" i="9" a="1"/>
  <c r="D272" i="11" a="1"/>
  <c r="H278" i="11" a="1"/>
  <c r="O29" i="9" a="1"/>
  <c r="M23" i="7" a="1"/>
  <c r="J258" i="7" a="1"/>
  <c r="D262" i="11" a="1"/>
  <c r="P24" i="9" a="1"/>
  <c r="B259" i="11" a="1"/>
  <c r="K31" i="7" a="1"/>
  <c r="N29" i="9" a="1"/>
  <c r="J261" i="9" a="1"/>
  <c r="I269" i="9" a="1"/>
  <c r="B269" i="11" a="1"/>
  <c r="I272" i="7" a="1"/>
  <c r="I279" i="7" a="1"/>
  <c r="K23" i="9" a="1"/>
  <c r="B271" i="11" a="1"/>
  <c r="G266" i="11" a="1"/>
  <c r="I270" i="7" a="1"/>
  <c r="J259" i="7" a="1"/>
  <c r="J276" i="9" a="1"/>
  <c r="E269" i="11" a="1"/>
  <c r="J269" i="7" a="1"/>
  <c r="I258" i="7" a="1"/>
  <c r="E266" i="11" a="1"/>
  <c r="G268" i="11" a="1"/>
  <c r="K27" i="7" a="1"/>
  <c r="M35" i="9" a="1"/>
  <c r="E265" i="11" a="1"/>
  <c r="O27" i="7" a="1"/>
  <c r="N30" i="7" a="1"/>
  <c r="N25" i="7" a="1"/>
  <c r="C273" i="11" a="1"/>
  <c r="P31" i="9" a="1"/>
  <c r="H275" i="11" a="1"/>
  <c r="N27" i="7" a="1"/>
  <c r="J270" i="9" a="1"/>
  <c r="M28" i="7" a="1"/>
  <c r="P24" i="7" a="1"/>
  <c r="N29" i="7" a="1"/>
  <c r="F257" i="11" a="1"/>
  <c r="D274" i="11" a="1"/>
  <c r="E264" i="11" a="1"/>
  <c r="M25" i="9" a="1"/>
  <c r="O26" i="7" a="1"/>
  <c r="F270" i="11" a="1"/>
  <c r="C271" i="11" a="1"/>
  <c r="H268" i="11" a="1"/>
  <c r="J264" i="7" a="1"/>
  <c r="K32" i="9" a="1"/>
  <c r="H269" i="11" a="1"/>
  <c r="J25" i="9" a="1"/>
  <c r="E271" i="11" a="1"/>
  <c r="G263" i="11" a="1"/>
  <c r="M32" i="9" a="1"/>
  <c r="G276" i="11" a="1"/>
  <c r="O33" i="7" a="1"/>
  <c r="C258" i="11" a="1"/>
  <c r="J35" i="9" a="1"/>
  <c r="H272" i="11" a="1"/>
  <c r="I267" i="9" a="1"/>
  <c r="K29" i="7" a="1"/>
  <c r="J28" i="9" a="1"/>
  <c r="K28" i="9" a="1"/>
  <c r="K30" i="7" a="1"/>
  <c r="F274" i="11" a="1"/>
  <c r="D263" i="11" a="1"/>
  <c r="E257" i="11" a="1"/>
  <c r="B257" i="11" a="1"/>
  <c r="G260" i="11" a="1"/>
  <c r="C269" i="11" a="1"/>
  <c r="H259" i="11" a="1"/>
  <c r="N32" i="7" a="1"/>
  <c r="N24" i="9" a="1"/>
  <c r="F261" i="11" a="1"/>
  <c r="E262" i="11" a="1"/>
  <c r="B12" i="7" a="1"/>
  <c r="F276" i="11" a="1"/>
  <c r="J268" i="7" a="1"/>
  <c r="O24" i="9" a="1"/>
  <c r="B263" i="11" a="1"/>
  <c r="G271" i="11" a="1"/>
  <c r="N31" i="7" a="1"/>
  <c r="I263" i="9" a="1"/>
  <c r="M27" i="9" a="1"/>
  <c r="L32" i="7" a="1"/>
  <c r="I274" i="9" a="1"/>
  <c r="B258" i="11" a="1"/>
  <c r="N35" i="7" a="1"/>
  <c r="J33" i="9" a="1"/>
  <c r="K29" i="9" a="1"/>
  <c r="I275" i="9" a="1"/>
  <c r="J267" i="9" a="1"/>
  <c r="G257" i="11" a="1"/>
  <c r="J26" i="9" a="1"/>
  <c r="J265" i="9" a="1"/>
  <c r="I277" i="7" a="1"/>
  <c r="I262" i="9" a="1"/>
  <c r="I271" i="9" a="1"/>
  <c r="I260" i="9" a="1"/>
  <c r="L30" i="9" a="1"/>
  <c r="E278" i="11" a="1"/>
  <c r="L23" i="9" a="1"/>
  <c r="N32" i="9" a="1"/>
  <c r="D260" i="11" a="1"/>
  <c r="P32" i="7" a="1"/>
  <c r="J279" i="9" a="1"/>
  <c r="E263" i="11" a="1"/>
  <c r="M29" i="7" a="1"/>
  <c r="P23" i="9" a="1"/>
  <c r="G277" i="11" a="1"/>
  <c r="G273" i="11" a="1"/>
  <c r="J272" i="9" a="1"/>
  <c r="M29" i="9" a="1"/>
  <c r="I263" i="7" a="1"/>
  <c r="L31" i="7" a="1"/>
  <c r="I275" i="7" a="1"/>
  <c r="J30" i="9" a="1"/>
  <c r="G278" i="11" a="1"/>
  <c r="P25" i="9" a="1"/>
  <c r="C263" i="11" a="1"/>
  <c r="O28" i="9" a="1"/>
  <c r="H261" i="11" a="1"/>
  <c r="J268" i="9" a="1"/>
  <c r="P30" i="9" a="1"/>
  <c r="O25" i="9" a="1"/>
  <c r="L35" i="9" a="1"/>
  <c r="I261" i="7" a="1"/>
  <c r="F265" i="11" a="1"/>
  <c r="N34" i="9" a="1"/>
  <c r="I261" i="9" a="1"/>
  <c r="B274" i="11" a="1"/>
  <c r="G259" i="11" a="1"/>
  <c r="M30" i="7" a="1"/>
  <c r="C265" i="11" a="1"/>
  <c r="O32" i="7" a="1"/>
  <c r="H280" i="11" a="1"/>
  <c r="I268" i="9" a="1"/>
  <c r="M25" i="7" a="1"/>
  <c r="P33" i="9" a="1"/>
  <c r="J271" i="7" a="1"/>
  <c r="K26" i="9" a="1"/>
  <c r="F258" i="11" a="1"/>
  <c r="I278" i="9" a="1"/>
  <c r="N28" i="9" a="1"/>
  <c r="B277" i="11" a="1"/>
  <c r="G272" i="11" a="1"/>
  <c r="J260" i="7" a="1"/>
  <c r="C267" i="11" a="1"/>
  <c r="J266" i="7" a="1"/>
  <c r="H273" i="11" a="1"/>
  <c r="I274" i="7" a="1"/>
  <c r="J280" i="7" a="1"/>
  <c r="N35" i="9" a="1"/>
  <c r="J271" i="9" a="1"/>
  <c r="J277" i="7" a="1"/>
  <c r="F263" i="11" a="1"/>
  <c r="L35" i="7" a="1"/>
  <c r="M28" i="9" a="1"/>
  <c r="B279" i="11" a="1"/>
  <c r="G270" i="11" a="1"/>
  <c r="M31" i="9" a="1"/>
  <c r="C272" i="11" a="1"/>
  <c r="K34" i="9" a="1"/>
  <c r="H260" i="11" a="1"/>
  <c r="K28" i="7" a="1"/>
  <c r="L25" i="7" a="1"/>
  <c r="P33" i="7" a="1"/>
  <c r="P35" i="9" a="1"/>
  <c r="L33" i="9" a="1"/>
  <c r="F279" i="11" a="1"/>
  <c r="J27" i="7" a="1"/>
  <c r="M23" i="9" a="1"/>
  <c r="B280" i="11" a="1"/>
  <c r="G269" i="11" a="1"/>
  <c r="P29" i="7" a="1"/>
  <c r="C259" i="11" a="1"/>
  <c r="N24" i="7" a="1"/>
  <c r="H276" i="11" a="1"/>
  <c r="J23" i="7" a="1"/>
  <c r="J257" i="7" a="1"/>
  <c r="I259" i="9" a="1"/>
  <c r="K23" i="7" a="1"/>
  <c r="I265" i="9" a="1"/>
  <c r="F266" i="11" a="1"/>
  <c r="K34" i="7" a="1"/>
  <c r="K35" i="7" a="1"/>
  <c r="B272" i="11" a="1"/>
  <c r="P27" i="7" a="1"/>
  <c r="O28" i="7" a="1"/>
  <c r="J274" i="7" a="1"/>
  <c r="O30" i="9" a="1"/>
  <c r="P31" i="7" a="1"/>
  <c r="J33" i="7" a="1"/>
  <c r="O33" i="9" a="1"/>
  <c r="G258" i="11" a="1"/>
  <c r="L26" i="7" a="1"/>
  <c r="D278" i="11" a="1"/>
  <c r="B275" i="11" a="1"/>
  <c r="J258" i="9" a="1"/>
  <c r="O259" i="11" l="1"/>
  <c r="B278" i="11"/>
  <c r="B262" i="11"/>
  <c r="B275" i="11"/>
  <c r="B259" i="11"/>
  <c r="B271" i="11"/>
  <c r="B269" i="11"/>
  <c r="B258" i="11"/>
  <c r="B267" i="11"/>
  <c r="B263" i="11"/>
  <c r="B272" i="11"/>
  <c r="B280" i="11"/>
  <c r="B279" i="11"/>
  <c r="B277" i="11"/>
  <c r="B274" i="11"/>
  <c r="B266" i="11"/>
  <c r="B264" i="11"/>
  <c r="B261" i="11"/>
  <c r="B276" i="11"/>
  <c r="B257" i="11"/>
  <c r="B268" i="11"/>
  <c r="B260" i="11"/>
  <c r="B265" i="11"/>
  <c r="B270" i="11"/>
  <c r="B273" i="11"/>
  <c r="E259" i="11"/>
  <c r="E275" i="11"/>
  <c r="E262" i="11"/>
  <c r="E257" i="11"/>
  <c r="E273" i="11"/>
  <c r="E270" i="11"/>
  <c r="E272" i="11"/>
  <c r="E271" i="11"/>
  <c r="E268" i="11"/>
  <c r="E258" i="11"/>
  <c r="E279" i="11"/>
  <c r="E277" i="11"/>
  <c r="E260" i="11"/>
  <c r="E264" i="11"/>
  <c r="E267" i="11"/>
  <c r="E280" i="11"/>
  <c r="E261" i="11"/>
  <c r="E276" i="11"/>
  <c r="E274" i="11"/>
  <c r="E278" i="11"/>
  <c r="E263" i="11"/>
  <c r="E265" i="11"/>
  <c r="E266" i="11"/>
  <c r="E269" i="11"/>
  <c r="D272" i="11"/>
  <c r="D269" i="11"/>
  <c r="D267" i="11"/>
  <c r="D263" i="11"/>
  <c r="D261" i="11"/>
  <c r="D265" i="11"/>
  <c r="D280" i="11"/>
  <c r="D276" i="11"/>
  <c r="D275" i="11"/>
  <c r="D259" i="11"/>
  <c r="D264" i="11"/>
  <c r="D277" i="11"/>
  <c r="D271" i="11"/>
  <c r="D274" i="11"/>
  <c r="D266" i="11"/>
  <c r="D279" i="11"/>
  <c r="D258" i="11"/>
  <c r="D268" i="11"/>
  <c r="D257" i="11"/>
  <c r="D278" i="11"/>
  <c r="D270" i="11"/>
  <c r="D262" i="11"/>
  <c r="D260" i="11"/>
  <c r="D273" i="11"/>
  <c r="F266" i="11"/>
  <c r="F279" i="11"/>
  <c r="F263" i="11"/>
  <c r="F258" i="11"/>
  <c r="F265" i="11"/>
  <c r="F276" i="11"/>
  <c r="F278" i="11"/>
  <c r="F280" i="11"/>
  <c r="F261" i="11"/>
  <c r="F274" i="11"/>
  <c r="F264" i="11"/>
  <c r="F268" i="11"/>
  <c r="F273" i="11"/>
  <c r="F269" i="11"/>
  <c r="F260" i="11"/>
  <c r="F277" i="11"/>
  <c r="F271" i="11"/>
  <c r="F270" i="11"/>
  <c r="F262" i="11"/>
  <c r="F257" i="11"/>
  <c r="F272" i="11"/>
  <c r="F275" i="11"/>
  <c r="F267" i="11"/>
  <c r="F259" i="11"/>
  <c r="H276" i="11"/>
  <c r="H260" i="11"/>
  <c r="H273" i="11"/>
  <c r="H280" i="11"/>
  <c r="H261" i="11"/>
  <c r="H278" i="11"/>
  <c r="H263" i="11"/>
  <c r="H274" i="11"/>
  <c r="H259" i="11"/>
  <c r="H272" i="11"/>
  <c r="H270" i="11"/>
  <c r="H257" i="11"/>
  <c r="H277" i="11"/>
  <c r="H269" i="11"/>
  <c r="H266" i="11"/>
  <c r="H258" i="11"/>
  <c r="H268" i="11"/>
  <c r="H271" i="11"/>
  <c r="H279" i="11"/>
  <c r="H275" i="11"/>
  <c r="H262" i="11"/>
  <c r="H264" i="11"/>
  <c r="H267" i="11"/>
  <c r="H265" i="11"/>
  <c r="C275" i="11"/>
  <c r="C259" i="11"/>
  <c r="C272" i="11"/>
  <c r="C267" i="11"/>
  <c r="C265" i="11"/>
  <c r="C263" i="11"/>
  <c r="C280" i="11"/>
  <c r="C264" i="11"/>
  <c r="C277" i="11"/>
  <c r="C269" i="11"/>
  <c r="C258" i="11"/>
  <c r="C262" i="11"/>
  <c r="C261" i="11"/>
  <c r="C274" i="11"/>
  <c r="C266" i="11"/>
  <c r="C276" i="11"/>
  <c r="C279" i="11"/>
  <c r="C271" i="11"/>
  <c r="C268" i="11"/>
  <c r="C260" i="11"/>
  <c r="C273" i="11"/>
  <c r="C257" i="11"/>
  <c r="C278" i="11"/>
  <c r="C270" i="11"/>
  <c r="G267" i="11"/>
  <c r="G275" i="11"/>
  <c r="G262" i="11"/>
  <c r="G265" i="11"/>
  <c r="G264" i="11"/>
  <c r="G257" i="11"/>
  <c r="G258" i="11"/>
  <c r="G268" i="11"/>
  <c r="G277" i="11"/>
  <c r="G273" i="11"/>
  <c r="G271" i="11"/>
  <c r="G266" i="11"/>
  <c r="G269" i="11"/>
  <c r="G270" i="11"/>
  <c r="G272" i="11"/>
  <c r="G259" i="11"/>
  <c r="G278" i="11"/>
  <c r="G274" i="11"/>
  <c r="G261" i="11"/>
  <c r="G280" i="11"/>
  <c r="G260" i="11"/>
  <c r="G276" i="11"/>
  <c r="G263" i="11"/>
  <c r="G279" i="11"/>
  <c r="D16" i="11"/>
  <c r="D17" i="11"/>
  <c r="E17" i="11" s="1"/>
  <c r="O258" i="11"/>
  <c r="O256" i="11"/>
  <c r="O257" i="11"/>
  <c r="M257" i="11"/>
  <c r="C19" i="9"/>
  <c r="C19" i="7"/>
  <c r="M22" i="9"/>
  <c r="J22" i="9"/>
  <c r="K22" i="9"/>
  <c r="N22" i="9"/>
  <c r="L22" i="9"/>
  <c r="O22" i="9"/>
  <c r="P22" i="9"/>
  <c r="K28" i="9"/>
  <c r="P30" i="9"/>
  <c r="J28" i="9"/>
  <c r="J32" i="9"/>
  <c r="K30" i="9"/>
  <c r="J30" i="9"/>
  <c r="J24" i="9"/>
  <c r="K24" i="9"/>
  <c r="P32" i="9"/>
  <c r="K26" i="9"/>
  <c r="J34" i="9"/>
  <c r="P26" i="9"/>
  <c r="P34" i="9"/>
  <c r="P28" i="9"/>
  <c r="K32" i="9"/>
  <c r="P24" i="9"/>
  <c r="J26" i="9"/>
  <c r="K34" i="9"/>
  <c r="L24" i="9"/>
  <c r="L26" i="9"/>
  <c r="L28" i="9"/>
  <c r="L30" i="9"/>
  <c r="L32" i="9"/>
  <c r="L34" i="9"/>
  <c r="M24" i="9"/>
  <c r="M26" i="9"/>
  <c r="M28" i="9"/>
  <c r="M30" i="9"/>
  <c r="M32" i="9"/>
  <c r="M34" i="9"/>
  <c r="N24" i="9"/>
  <c r="N26" i="9"/>
  <c r="N28" i="9"/>
  <c r="N30" i="9"/>
  <c r="N32" i="9"/>
  <c r="N34" i="9"/>
  <c r="O24" i="9"/>
  <c r="O26" i="9"/>
  <c r="O28" i="9"/>
  <c r="O30" i="9"/>
  <c r="O32" i="9"/>
  <c r="O34" i="9"/>
  <c r="J35" i="9"/>
  <c r="K29" i="9"/>
  <c r="O35" i="9"/>
  <c r="J29" i="9"/>
  <c r="J31" i="9"/>
  <c r="P33" i="9"/>
  <c r="M35" i="9"/>
  <c r="K33" i="9"/>
  <c r="J23" i="9"/>
  <c r="J25" i="9"/>
  <c r="J27" i="9"/>
  <c r="J33" i="9"/>
  <c r="K23" i="9"/>
  <c r="K25" i="9"/>
  <c r="K27" i="9"/>
  <c r="K31" i="9"/>
  <c r="K35" i="9"/>
  <c r="L23" i="9"/>
  <c r="L25" i="9"/>
  <c r="L27" i="9"/>
  <c r="L29" i="9"/>
  <c r="L31" i="9"/>
  <c r="L33" i="9"/>
  <c r="L35" i="9"/>
  <c r="M23" i="9"/>
  <c r="M25" i="9"/>
  <c r="M27" i="9"/>
  <c r="M29" i="9"/>
  <c r="M31" i="9"/>
  <c r="M33" i="9"/>
  <c r="N23" i="9"/>
  <c r="N25" i="9"/>
  <c r="N27" i="9"/>
  <c r="N29" i="9"/>
  <c r="N31" i="9"/>
  <c r="N33" i="9"/>
  <c r="N35" i="9"/>
  <c r="O23" i="9"/>
  <c r="O25" i="9"/>
  <c r="O27" i="9"/>
  <c r="O29" i="9"/>
  <c r="O31" i="9"/>
  <c r="O33" i="9"/>
  <c r="P23" i="9"/>
  <c r="P25" i="9"/>
  <c r="P27" i="9"/>
  <c r="P29" i="9"/>
  <c r="P31" i="9"/>
  <c r="P35" i="9"/>
  <c r="B12" i="9"/>
  <c r="J32" i="7"/>
  <c r="L24" i="7"/>
  <c r="L26" i="7"/>
  <c r="L28" i="7"/>
  <c r="L30" i="7"/>
  <c r="L32" i="7"/>
  <c r="L34" i="7"/>
  <c r="M24" i="7"/>
  <c r="M26" i="7"/>
  <c r="M28" i="7"/>
  <c r="M30" i="7"/>
  <c r="M32" i="7"/>
  <c r="M34" i="7"/>
  <c r="N24" i="7"/>
  <c r="N26" i="7"/>
  <c r="N28" i="7"/>
  <c r="N30" i="7"/>
  <c r="N32" i="7"/>
  <c r="N34" i="7"/>
  <c r="O24" i="7"/>
  <c r="O26" i="7"/>
  <c r="O28" i="7"/>
  <c r="O30" i="7"/>
  <c r="O32" i="7"/>
  <c r="O34" i="7"/>
  <c r="J30" i="7"/>
  <c r="P28" i="7"/>
  <c r="J23" i="7"/>
  <c r="J25" i="7"/>
  <c r="J27" i="7"/>
  <c r="J29" i="7"/>
  <c r="J31" i="7"/>
  <c r="J33" i="7"/>
  <c r="J35" i="7"/>
  <c r="P26" i="7"/>
  <c r="K31" i="7"/>
  <c r="L29" i="7"/>
  <c r="M23" i="7"/>
  <c r="M25" i="7"/>
  <c r="M27" i="7"/>
  <c r="M29" i="7"/>
  <c r="M31" i="7"/>
  <c r="M33" i="7"/>
  <c r="M35" i="7"/>
  <c r="K32" i="7"/>
  <c r="O35" i="7"/>
  <c r="J28" i="7"/>
  <c r="K28" i="7"/>
  <c r="P24" i="7"/>
  <c r="P34" i="7"/>
  <c r="K23" i="7"/>
  <c r="K33" i="7"/>
  <c r="L23" i="7"/>
  <c r="L25" i="7"/>
  <c r="L31" i="7"/>
  <c r="N23" i="7"/>
  <c r="N25" i="7"/>
  <c r="N27" i="7"/>
  <c r="N29" i="7"/>
  <c r="N31" i="7"/>
  <c r="N33" i="7"/>
  <c r="N35" i="7"/>
  <c r="O23" i="7"/>
  <c r="O25" i="7"/>
  <c r="O27" i="7"/>
  <c r="O29" i="7"/>
  <c r="O31" i="7"/>
  <c r="O33" i="7"/>
  <c r="P23" i="7"/>
  <c r="P25" i="7"/>
  <c r="P27" i="7"/>
  <c r="P29" i="7"/>
  <c r="P31" i="7"/>
  <c r="P33" i="7"/>
  <c r="P35" i="7"/>
  <c r="J26" i="7"/>
  <c r="K26" i="7"/>
  <c r="J34" i="7"/>
  <c r="K30" i="7"/>
  <c r="P30" i="7"/>
  <c r="L27" i="7"/>
  <c r="L35" i="7"/>
  <c r="J24" i="7"/>
  <c r="K24" i="7"/>
  <c r="K34" i="7"/>
  <c r="P32" i="7"/>
  <c r="K25" i="7"/>
  <c r="K27" i="7"/>
  <c r="K29" i="7"/>
  <c r="K35" i="7"/>
  <c r="L33" i="7"/>
  <c r="B12" i="7"/>
  <c r="I262" i="7"/>
  <c r="I269" i="7"/>
  <c r="I260" i="7"/>
  <c r="J269" i="7"/>
  <c r="I276" i="7"/>
  <c r="I258" i="7"/>
  <c r="J260" i="7"/>
  <c r="I267" i="7"/>
  <c r="J276" i="7"/>
  <c r="J258" i="7"/>
  <c r="J267" i="7"/>
  <c r="I274" i="7"/>
  <c r="I278" i="7"/>
  <c r="I265" i="7"/>
  <c r="J274" i="7"/>
  <c r="I263" i="7"/>
  <c r="J263" i="7"/>
  <c r="I270" i="7"/>
  <c r="J270" i="7"/>
  <c r="I277" i="7"/>
  <c r="I259" i="7"/>
  <c r="J277" i="7"/>
  <c r="J259" i="7"/>
  <c r="I266" i="7"/>
  <c r="J275" i="7"/>
  <c r="I272" i="7"/>
  <c r="J265" i="7"/>
  <c r="J272" i="7"/>
  <c r="I279" i="7"/>
  <c r="I261" i="7"/>
  <c r="J279" i="7"/>
  <c r="J261" i="7"/>
  <c r="I268" i="7"/>
  <c r="J268" i="7"/>
  <c r="I275" i="7"/>
  <c r="J257" i="7"/>
  <c r="J266" i="7"/>
  <c r="J273" i="7"/>
  <c r="J262" i="7"/>
  <c r="I271" i="7"/>
  <c r="J278" i="7"/>
  <c r="I264" i="7"/>
  <c r="J271" i="7"/>
  <c r="I280" i="7"/>
  <c r="I257" i="7"/>
  <c r="J264" i="7"/>
  <c r="I273" i="7"/>
  <c r="J280" i="7"/>
  <c r="J276" i="9"/>
  <c r="J272" i="9"/>
  <c r="J258" i="9"/>
  <c r="J261" i="9"/>
  <c r="J262" i="9"/>
  <c r="J263" i="9"/>
  <c r="J279" i="9"/>
  <c r="J257" i="9"/>
  <c r="J274" i="9"/>
  <c r="J259" i="9"/>
  <c r="J260" i="9"/>
  <c r="J277" i="9"/>
  <c r="J264" i="9"/>
  <c r="J280" i="9"/>
  <c r="J265" i="9"/>
  <c r="J266" i="9"/>
  <c r="J267" i="9"/>
  <c r="J268" i="9"/>
  <c r="J269" i="9"/>
  <c r="J270" i="9"/>
  <c r="J271" i="9"/>
  <c r="J273" i="9"/>
  <c r="J275" i="9"/>
  <c r="J278" i="9"/>
  <c r="I259" i="9"/>
  <c r="I265" i="9"/>
  <c r="I271" i="9"/>
  <c r="I261" i="9"/>
  <c r="I267" i="9"/>
  <c r="I263" i="9"/>
  <c r="I275" i="9"/>
  <c r="I277" i="9"/>
  <c r="I273" i="9"/>
  <c r="I279" i="9"/>
  <c r="I269" i="9"/>
  <c r="I257" i="9"/>
  <c r="I258" i="9"/>
  <c r="I260" i="9"/>
  <c r="I262" i="9"/>
  <c r="I264" i="9"/>
  <c r="I266" i="9"/>
  <c r="I268" i="9"/>
  <c r="I270" i="9"/>
  <c r="I272" i="9"/>
  <c r="I274" i="9"/>
  <c r="I276" i="9"/>
  <c r="I278" i="9"/>
  <c r="I280" i="9"/>
  <c r="E19" i="11" a="1"/>
  <c r="E19" i="11" l="1"/>
  <c r="E249" i="7" a="1"/>
  <c r="E249" i="7" s="1"/>
  <c r="E16" i="11"/>
  <c r="E248" i="7" a="1"/>
  <c r="E248" i="7" s="1"/>
  <c r="D249" i="7" a="1"/>
  <c r="D249" i="7" s="1"/>
  <c r="F250" i="7" a="1"/>
  <c r="F250" i="7" s="1"/>
  <c r="E249" i="9" a="1"/>
  <c r="E249" i="9" s="1"/>
  <c r="H247" i="7" a="1"/>
  <c r="H247" i="7" s="1"/>
  <c r="G250" i="7" a="1"/>
  <c r="G250" i="7" s="1"/>
  <c r="G247" i="7" a="1"/>
  <c r="G247" i="7" s="1"/>
  <c r="G248" i="7" a="1"/>
  <c r="G248" i="7" s="1"/>
  <c r="F248" i="7" a="1"/>
  <c r="F248" i="7" s="1"/>
  <c r="D247" i="7" a="1"/>
  <c r="D247" i="7" s="1"/>
  <c r="C247" i="7" a="1"/>
  <c r="C247" i="7" s="1"/>
  <c r="E250" i="9" a="1"/>
  <c r="E250" i="9" s="1"/>
  <c r="E247" i="9" a="1"/>
  <c r="E247" i="9" s="1"/>
  <c r="E248" i="9" a="1"/>
  <c r="E248" i="9" s="1"/>
  <c r="B18" i="9"/>
  <c r="C12" i="9"/>
  <c r="C248" i="7" a="1"/>
  <c r="C248" i="7" s="1"/>
  <c r="H250" i="7" a="1"/>
  <c r="H250" i="7" s="1"/>
  <c r="C250" i="7" a="1"/>
  <c r="C250" i="7" s="1"/>
  <c r="E247" i="7" a="1"/>
  <c r="E247" i="7" s="1"/>
  <c r="C249" i="7" a="1"/>
  <c r="C249" i="7" s="1"/>
  <c r="E250" i="7" a="1"/>
  <c r="E250" i="7" s="1"/>
  <c r="H249" i="7" a="1"/>
  <c r="H249" i="7" s="1"/>
  <c r="F249" i="7" a="1"/>
  <c r="F249" i="7" s="1"/>
  <c r="D250" i="7" a="1"/>
  <c r="D250" i="7" s="1"/>
  <c r="D248" i="7" a="1"/>
  <c r="D248" i="7" s="1"/>
  <c r="H248" i="7" a="1"/>
  <c r="H248" i="7" s="1"/>
  <c r="F247" i="7" a="1"/>
  <c r="F247" i="7" s="1"/>
  <c r="G249" i="7" a="1"/>
  <c r="G249" i="7" s="1"/>
  <c r="B18" i="7"/>
  <c r="C12" i="7"/>
  <c r="B249" i="7" a="1"/>
  <c r="B249" i="7" s="1"/>
  <c r="B250" i="7" a="1"/>
  <c r="B250" i="7" s="1"/>
  <c r="B248" i="7" a="1"/>
  <c r="B248" i="7" s="1"/>
  <c r="B247" i="7" a="1"/>
  <c r="B247" i="7" s="1"/>
  <c r="B248" i="9" a="1"/>
  <c r="B248" i="9" s="1"/>
  <c r="B247" i="9" a="1"/>
  <c r="B247" i="9" s="1"/>
  <c r="B250" i="9" a="1"/>
  <c r="B250" i="9" s="1"/>
  <c r="B249" i="9" a="1"/>
  <c r="B249" i="9" s="1"/>
  <c r="C250" i="9" a="1"/>
  <c r="C250" i="9" s="1"/>
  <c r="C249" i="9" a="1"/>
  <c r="C249" i="9" s="1"/>
  <c r="C248" i="9" a="1"/>
  <c r="C248" i="9" s="1"/>
  <c r="C247" i="9" a="1"/>
  <c r="C247" i="9" s="1"/>
  <c r="H250" i="9" a="1"/>
  <c r="H250" i="9" s="1"/>
  <c r="H248" i="9" a="1"/>
  <c r="H248" i="9" s="1"/>
  <c r="H247" i="9" a="1"/>
  <c r="H247" i="9" s="1"/>
  <c r="H249" i="9" a="1"/>
  <c r="H249" i="9" s="1"/>
  <c r="F248" i="9" a="1"/>
  <c r="F248" i="9" s="1"/>
  <c r="F249" i="9" a="1"/>
  <c r="F249" i="9" s="1"/>
  <c r="F247" i="9" a="1"/>
  <c r="F247" i="9" s="1"/>
  <c r="F250" i="9" a="1"/>
  <c r="F250" i="9" s="1"/>
  <c r="G248" i="9" a="1"/>
  <c r="G248" i="9" s="1"/>
  <c r="G250" i="9" a="1"/>
  <c r="G250" i="9" s="1"/>
  <c r="G247" i="9" a="1"/>
  <c r="G247" i="9" s="1"/>
  <c r="G249" i="9" a="1"/>
  <c r="G249" i="9" s="1"/>
  <c r="D249" i="9" a="1"/>
  <c r="D249" i="9" s="1"/>
  <c r="D247" i="9" a="1"/>
  <c r="D247" i="9" s="1"/>
  <c r="D248" i="9" a="1"/>
  <c r="D248" i="9" s="1"/>
  <c r="D250" i="9" a="1"/>
  <c r="D250" i="9" s="1"/>
  <c r="Q28" i="11" a="1"/>
  <c r="H260" i="7" a="1"/>
  <c r="H269" i="9" a="1"/>
  <c r="E271" i="7" a="1"/>
  <c r="B266" i="7" a="1"/>
  <c r="B261" i="9" a="1"/>
  <c r="F280" i="9" a="1"/>
  <c r="B262" i="9" a="1"/>
  <c r="F278" i="9" a="1"/>
  <c r="B279" i="7" a="1"/>
  <c r="F274" i="7" a="1"/>
  <c r="Q26" i="11" a="1"/>
  <c r="F277" i="9" a="1"/>
  <c r="D279" i="9" a="1"/>
  <c r="D276" i="9" a="1"/>
  <c r="E258" i="9" a="1"/>
  <c r="G272" i="7" a="1"/>
  <c r="B271" i="9" a="1"/>
  <c r="D273" i="9" a="1"/>
  <c r="F259" i="7" a="1"/>
  <c r="D280" i="7" a="1"/>
  <c r="B269" i="9" a="1"/>
  <c r="Q34" i="11" a="1"/>
  <c r="G265" i="7" a="1"/>
  <c r="F258" i="9" a="1"/>
  <c r="D257" i="9" a="1"/>
  <c r="E273" i="9" a="1"/>
  <c r="C273" i="9" a="1"/>
  <c r="H268" i="7" a="1"/>
  <c r="G266" i="9" a="1"/>
  <c r="F261" i="9" a="1"/>
  <c r="D259" i="9" a="1"/>
  <c r="F269" i="7" a="1"/>
  <c r="G279" i="7" a="1"/>
  <c r="D267" i="7" a="1"/>
  <c r="D260" i="9" a="1"/>
  <c r="F267" i="7" a="1"/>
  <c r="D266" i="9" a="1"/>
  <c r="F279" i="7" a="1"/>
  <c r="G262" i="9" a="1"/>
  <c r="G261" i="9" a="1"/>
  <c r="B267" i="7" a="1"/>
  <c r="D261" i="9" a="1"/>
  <c r="G276" i="7" a="1"/>
  <c r="B259" i="7" a="1"/>
  <c r="G271" i="7" a="1"/>
  <c r="D277" i="9" a="1"/>
  <c r="B275" i="9" a="1"/>
  <c r="H277" i="9" a="1"/>
  <c r="B261" i="7" a="1"/>
  <c r="F277" i="7" a="1"/>
  <c r="F274" i="9" a="1"/>
  <c r="D279" i="7" a="1"/>
  <c r="H272" i="9" a="1"/>
  <c r="D272" i="7" a="1"/>
  <c r="F279" i="9" a="1"/>
  <c r="F280" i="7" a="1"/>
  <c r="B259" i="9" a="1"/>
  <c r="H276" i="7" a="1"/>
  <c r="E257" i="9" a="1"/>
  <c r="E272" i="7" a="1"/>
  <c r="C279" i="7" a="1"/>
  <c r="F271" i="9" a="1"/>
  <c r="C268" i="7" a="1"/>
  <c r="C274" i="7" a="1"/>
  <c r="C262" i="7" a="1"/>
  <c r="D270" i="9" a="1"/>
  <c r="E276" i="9" a="1"/>
  <c r="C268" i="9" a="1"/>
  <c r="F263" i="9" a="1"/>
  <c r="H274" i="9" a="1"/>
  <c r="H259" i="9" a="1"/>
  <c r="D278" i="9" a="1"/>
  <c r="H259" i="7" a="1"/>
  <c r="Q24" i="11" a="1"/>
  <c r="F268" i="7" a="1"/>
  <c r="H264" i="9" a="1"/>
  <c r="F272" i="7" a="1"/>
  <c r="H262" i="7" a="1"/>
  <c r="B257" i="9" a="1"/>
  <c r="E271" i="9" a="1"/>
  <c r="G278" i="7" a="1"/>
  <c r="C274" i="9" a="1"/>
  <c r="Q25" i="11" a="1"/>
  <c r="H257" i="7" a="1"/>
  <c r="G279" i="9" a="1"/>
  <c r="H270" i="9" a="1"/>
  <c r="C270" i="7" a="1"/>
  <c r="D267" i="9" a="1"/>
  <c r="B278" i="9" a="1"/>
  <c r="H258" i="7" a="1"/>
  <c r="H266" i="7" a="1"/>
  <c r="B264" i="9" a="1"/>
  <c r="Q29" i="11" a="1"/>
  <c r="E270" i="9" a="1"/>
  <c r="B272" i="7" a="1"/>
  <c r="F276" i="9" a="1"/>
  <c r="D274" i="9" a="1"/>
  <c r="B274" i="9" a="1"/>
  <c r="G280" i="9" a="1"/>
  <c r="H266" i="9" a="1"/>
  <c r="E275" i="9" a="1"/>
  <c r="F271" i="7" a="1"/>
  <c r="E266" i="7" a="1"/>
  <c r="C272" i="9" a="1"/>
  <c r="H274" i="7" a="1"/>
  <c r="E263" i="7" a="1"/>
  <c r="H270" i="7" a="1"/>
  <c r="H267" i="9" a="1"/>
  <c r="G271" i="9" a="1"/>
  <c r="D271" i="9" a="1"/>
  <c r="C277" i="7" a="1"/>
  <c r="C280" i="9" a="1"/>
  <c r="B280" i="7" a="1"/>
  <c r="F270" i="9" a="1"/>
  <c r="B271" i="7" a="1"/>
  <c r="H275" i="7" a="1"/>
  <c r="F268" i="9" a="1"/>
  <c r="F269" i="9" a="1"/>
  <c r="C264" i="7" a="1"/>
  <c r="E272" i="9" a="1"/>
  <c r="B277" i="9" a="1"/>
  <c r="E276" i="7" a="1"/>
  <c r="C273" i="7" a="1"/>
  <c r="F265" i="9" a="1"/>
  <c r="G268" i="7" a="1"/>
  <c r="G270" i="7" a="1"/>
  <c r="B273" i="7" a="1"/>
  <c r="G262" i="7" a="1"/>
  <c r="E263" i="9" a="1"/>
  <c r="B257" i="7" a="1"/>
  <c r="C266" i="9" a="1"/>
  <c r="F264" i="7" a="1"/>
  <c r="C260" i="7" a="1"/>
  <c r="H278" i="7" a="1"/>
  <c r="F262" i="7" a="1"/>
  <c r="E267" i="7" a="1"/>
  <c r="H276" i="9" a="1"/>
  <c r="B278" i="7" a="1"/>
  <c r="C267" i="7" a="1"/>
  <c r="E259" i="7" a="1"/>
  <c r="C265" i="7" a="1"/>
  <c r="D277" i="7" a="1"/>
  <c r="B276" i="9" a="1"/>
  <c r="G261" i="7" a="1"/>
  <c r="G267" i="9" a="1"/>
  <c r="F263" i="7" a="1"/>
  <c r="D276" i="7" a="1"/>
  <c r="D268" i="7" a="1"/>
  <c r="D261" i="7" a="1"/>
  <c r="E278" i="7" a="1"/>
  <c r="Q23" i="11" a="1"/>
  <c r="D270" i="7" a="1"/>
  <c r="B263" i="7" a="1"/>
  <c r="B274" i="7" a="1"/>
  <c r="D258" i="7" a="1"/>
  <c r="B260" i="7" a="1"/>
  <c r="C275" i="7" a="1"/>
  <c r="F265" i="7" a="1"/>
  <c r="H272" i="7" a="1"/>
  <c r="E261" i="9" a="1"/>
  <c r="E259" i="9" a="1"/>
  <c r="Q27" i="11" a="1"/>
  <c r="H279" i="7" a="1"/>
  <c r="G277" i="7" a="1"/>
  <c r="Q31" i="11" a="1"/>
  <c r="B268" i="9" a="1"/>
  <c r="C257" i="9" a="1"/>
  <c r="D273" i="7" a="1"/>
  <c r="G259" i="7" a="1"/>
  <c r="H271" i="7" a="1"/>
  <c r="E277" i="9" a="1"/>
  <c r="Q35" i="11" a="1"/>
  <c r="H263" i="7" a="1"/>
  <c r="H278" i="9" a="1"/>
  <c r="H269" i="7" a="1"/>
  <c r="C278" i="7" a="1"/>
  <c r="E277" i="7" a="1"/>
  <c r="G259" i="9" a="1"/>
  <c r="F273" i="9" a="1"/>
  <c r="B275" i="7" a="1"/>
  <c r="F276" i="7" a="1"/>
  <c r="H271" i="9" a="1"/>
  <c r="F275" i="9" a="1"/>
  <c r="F266" i="9" a="1"/>
  <c r="G269" i="9" a="1"/>
  <c r="H280" i="9" a="1"/>
  <c r="B270" i="9" a="1"/>
  <c r="C263" i="9" a="1"/>
  <c r="C266" i="7" a="1"/>
  <c r="B276" i="7" a="1"/>
  <c r="F257" i="7" a="1"/>
  <c r="G267" i="7" a="1"/>
  <c r="F261" i="7" a="1"/>
  <c r="G272" i="9" a="1"/>
  <c r="C271" i="9" a="1"/>
  <c r="Q32" i="11" a="1"/>
  <c r="G258" i="9" a="1"/>
  <c r="F260" i="9" a="1"/>
  <c r="G270" i="9" a="1"/>
  <c r="C262" i="9" a="1"/>
  <c r="G269" i="7" a="1"/>
  <c r="D269" i="7" a="1"/>
  <c r="E274" i="9" a="1"/>
  <c r="E265" i="7" a="1"/>
  <c r="B273" i="9" a="1"/>
  <c r="G273" i="9" a="1"/>
  <c r="H265" i="9" a="1"/>
  <c r="E257" i="7" a="1"/>
  <c r="C278" i="9" a="1"/>
  <c r="C276" i="9" a="1"/>
  <c r="D265" i="7" a="1"/>
  <c r="D260" i="7" a="1"/>
  <c r="B258" i="7" a="1"/>
  <c r="D274" i="7" a="1"/>
  <c r="D264" i="7" a="1"/>
  <c r="B266" i="9" a="1"/>
  <c r="B264" i="7" a="1"/>
  <c r="F273" i="7" a="1"/>
  <c r="G274" i="9" a="1"/>
  <c r="G263" i="7" a="1"/>
  <c r="G257" i="7" a="1"/>
  <c r="C265" i="9" a="1"/>
  <c r="C279" i="9" a="1"/>
  <c r="D275" i="9" a="1"/>
  <c r="C269" i="7" a="1"/>
  <c r="B277" i="7" a="1"/>
  <c r="D257" i="7" a="1"/>
  <c r="D268" i="9" a="1"/>
  <c r="H280" i="7" a="1"/>
  <c r="C275" i="9" a="1"/>
  <c r="E266" i="9" a="1"/>
  <c r="C272" i="7" a="1"/>
  <c r="E262" i="9" a="1"/>
  <c r="E264" i="7" a="1"/>
  <c r="E264" i="9" a="1"/>
  <c r="B268" i="7" a="1"/>
  <c r="E273" i="7" a="1"/>
  <c r="G260" i="7" a="1"/>
  <c r="C270" i="9" a="1"/>
  <c r="E269" i="7" a="1"/>
  <c r="E269" i="9" a="1"/>
  <c r="Q30" i="11" a="1"/>
  <c r="F260" i="7" a="1"/>
  <c r="C269" i="9" a="1"/>
  <c r="C258" i="7" a="1"/>
  <c r="H265" i="7" a="1"/>
  <c r="Q33" i="11" a="1"/>
  <c r="F262" i="9" a="1"/>
  <c r="G264" i="7" a="1"/>
  <c r="B272" i="9" a="1"/>
  <c r="E267" i="9" a="1"/>
  <c r="D269" i="9" a="1"/>
  <c r="B280" i="9" a="1"/>
  <c r="H264" i="7" a="1"/>
  <c r="E268" i="7" a="1"/>
  <c r="E280" i="9" a="1"/>
  <c r="D272" i="9" a="1"/>
  <c r="D275" i="7" a="1"/>
  <c r="F278" i="7" a="1"/>
  <c r="B258" i="9" a="1"/>
  <c r="G275" i="7" a="1"/>
  <c r="H263" i="9" a="1"/>
  <c r="C261" i="9" a="1"/>
  <c r="H279" i="9" a="1"/>
  <c r="F272" i="9" a="1"/>
  <c r="C259" i="9" a="1"/>
  <c r="F270" i="7" a="1"/>
  <c r="B267" i="9" a="1"/>
  <c r="C259" i="7" a="1"/>
  <c r="C280" i="7" a="1"/>
  <c r="B269" i="7" a="1"/>
  <c r="G266" i="7" a="1"/>
  <c r="E278" i="9" a="1"/>
  <c r="D280" i="9" a="1"/>
  <c r="G277" i="9" a="1"/>
  <c r="E279" i="7" a="1"/>
  <c r="F275" i="7" a="1"/>
  <c r="E275" i="7" a="1"/>
  <c r="B262" i="7" a="1"/>
  <c r="C263" i="7" a="1"/>
  <c r="G268" i="9" a="1"/>
  <c r="D259" i="7" a="1"/>
  <c r="H262" i="9" a="1"/>
  <c r="C276" i="7" a="1"/>
  <c r="E270" i="7" a="1"/>
  <c r="F258" i="7" a="1"/>
  <c r="D262" i="7" a="1"/>
  <c r="G257" i="9" a="1"/>
  <c r="H260" i="9" a="1"/>
  <c r="D266" i="7" a="1"/>
  <c r="F264" i="9" a="1"/>
  <c r="H277" i="7" a="1"/>
  <c r="G280" i="7" a="1"/>
  <c r="E258" i="7" a="1"/>
  <c r="C267" i="9" a="1"/>
  <c r="E261" i="7" a="1"/>
  <c r="H268" i="9" a="1"/>
  <c r="F266" i="7" a="1"/>
  <c r="H261" i="7" a="1"/>
  <c r="E260" i="9" a="1"/>
  <c r="C261" i="7" a="1"/>
  <c r="G263" i="9" a="1"/>
  <c r="B265" i="9" a="1"/>
  <c r="G258" i="7" a="1"/>
  <c r="G274" i="7" a="1"/>
  <c r="H258" i="9" a="1"/>
  <c r="E268" i="9" a="1"/>
  <c r="C258" i="9" a="1"/>
  <c r="C260" i="9" a="1"/>
  <c r="D264" i="9" a="1"/>
  <c r="E260" i="7" a="1"/>
  <c r="C264" i="9" a="1"/>
  <c r="D271" i="7" a="1"/>
  <c r="D263" i="9" a="1"/>
  <c r="E262" i="7" a="1"/>
  <c r="E280" i="7" a="1"/>
  <c r="G260" i="9" a="1"/>
  <c r="B279" i="9" a="1"/>
  <c r="G273" i="7" a="1"/>
  <c r="D265" i="9" a="1"/>
  <c r="C277" i="9" a="1"/>
  <c r="C271" i="7" a="1"/>
  <c r="H273" i="7" a="1"/>
  <c r="B270" i="7" a="1"/>
  <c r="E265" i="9" a="1"/>
  <c r="H275" i="9" a="1"/>
  <c r="B260" i="9" a="1"/>
  <c r="G276" i="9" a="1"/>
  <c r="G264" i="9" a="1"/>
  <c r="H261" i="9" a="1"/>
  <c r="E279" i="9" a="1"/>
  <c r="G275" i="9" a="1"/>
  <c r="E274" i="7" a="1"/>
  <c r="F259" i="9" a="1"/>
  <c r="D278" i="7" a="1"/>
  <c r="H257" i="9" a="1"/>
  <c r="D263" i="7" a="1"/>
  <c r="F257" i="9" a="1"/>
  <c r="B263" i="9" a="1"/>
  <c r="F267" i="9" a="1"/>
  <c r="G265" i="9" a="1"/>
  <c r="C257" i="7" a="1"/>
  <c r="D262" i="9" a="1"/>
  <c r="D258" i="9" a="1"/>
  <c r="H273" i="9" a="1"/>
  <c r="H267" i="7" a="1"/>
  <c r="G278" i="9" a="1"/>
  <c r="B265" i="7" a="1"/>
  <c r="Q35" i="11" l="1"/>
  <c r="Q33" i="11"/>
  <c r="Q31" i="11"/>
  <c r="Q29" i="11"/>
  <c r="Q27" i="11"/>
  <c r="Q25" i="11"/>
  <c r="Q23" i="11"/>
  <c r="Q24" i="11"/>
  <c r="Q34" i="11"/>
  <c r="Q26" i="11"/>
  <c r="Q28" i="11"/>
  <c r="Q32" i="11"/>
  <c r="Q30" i="11"/>
  <c r="H272" i="9"/>
  <c r="H280" i="9"/>
  <c r="H264" i="9"/>
  <c r="H279" i="9"/>
  <c r="H257" i="9"/>
  <c r="H277" i="9"/>
  <c r="H276" i="9"/>
  <c r="H273" i="9"/>
  <c r="H265" i="9"/>
  <c r="H278" i="9"/>
  <c r="H262" i="9"/>
  <c r="H275" i="9"/>
  <c r="H269" i="9"/>
  <c r="H261" i="9"/>
  <c r="H266" i="9"/>
  <c r="H258" i="9"/>
  <c r="H263" i="9"/>
  <c r="H268" i="9"/>
  <c r="H267" i="9"/>
  <c r="H274" i="9"/>
  <c r="H271" i="9"/>
  <c r="H260" i="9"/>
  <c r="H270" i="9"/>
  <c r="H259" i="9"/>
  <c r="G267" i="9"/>
  <c r="G280" i="9"/>
  <c r="G272" i="9"/>
  <c r="G264" i="9"/>
  <c r="G269" i="9"/>
  <c r="G279" i="9"/>
  <c r="G276" i="9"/>
  <c r="G273" i="9"/>
  <c r="G270" i="9"/>
  <c r="G277" i="9"/>
  <c r="G266" i="9"/>
  <c r="G268" i="9"/>
  <c r="G257" i="9"/>
  <c r="G261" i="9"/>
  <c r="G274" i="9"/>
  <c r="G258" i="9"/>
  <c r="G263" i="9"/>
  <c r="G265" i="9"/>
  <c r="G278" i="9"/>
  <c r="G271" i="9"/>
  <c r="G260" i="9"/>
  <c r="G262" i="9"/>
  <c r="G275" i="9"/>
  <c r="G259" i="9"/>
  <c r="F275" i="9"/>
  <c r="F267" i="9"/>
  <c r="F259" i="9"/>
  <c r="F277" i="9"/>
  <c r="F261" i="9"/>
  <c r="F266" i="9"/>
  <c r="F279" i="9"/>
  <c r="F263" i="9"/>
  <c r="F268" i="9"/>
  <c r="F265" i="9"/>
  <c r="F278" i="9"/>
  <c r="F262" i="9"/>
  <c r="F269" i="9"/>
  <c r="F280" i="9"/>
  <c r="F272" i="9"/>
  <c r="F264" i="9"/>
  <c r="F274" i="9"/>
  <c r="F273" i="9"/>
  <c r="F257" i="9"/>
  <c r="F258" i="9"/>
  <c r="F271" i="9"/>
  <c r="F276" i="9"/>
  <c r="F260" i="9"/>
  <c r="F270" i="9"/>
  <c r="E275" i="9"/>
  <c r="E267" i="9"/>
  <c r="E280" i="9"/>
  <c r="E261" i="9"/>
  <c r="E258" i="9"/>
  <c r="E265" i="9"/>
  <c r="E278" i="9"/>
  <c r="E262" i="9"/>
  <c r="E259" i="9"/>
  <c r="E272" i="9"/>
  <c r="E264" i="9"/>
  <c r="E277" i="9"/>
  <c r="E266" i="9"/>
  <c r="E276" i="9"/>
  <c r="E268" i="9"/>
  <c r="E257" i="9"/>
  <c r="E269" i="9"/>
  <c r="E274" i="9"/>
  <c r="E279" i="9"/>
  <c r="E263" i="9"/>
  <c r="E270" i="9"/>
  <c r="E271" i="9"/>
  <c r="E260" i="9"/>
  <c r="E273" i="9"/>
  <c r="D278" i="9"/>
  <c r="D270" i="9"/>
  <c r="D262" i="9"/>
  <c r="D271" i="9"/>
  <c r="D276" i="9"/>
  <c r="D264" i="9"/>
  <c r="D277" i="9"/>
  <c r="D269" i="9"/>
  <c r="D261" i="9"/>
  <c r="D266" i="9"/>
  <c r="D265" i="9"/>
  <c r="D275" i="9"/>
  <c r="D267" i="9"/>
  <c r="D259" i="9"/>
  <c r="D272" i="9"/>
  <c r="D274" i="9"/>
  <c r="D258" i="9"/>
  <c r="D279" i="9"/>
  <c r="D263" i="9"/>
  <c r="D268" i="9"/>
  <c r="D273" i="9"/>
  <c r="D257" i="9"/>
  <c r="D280" i="9"/>
  <c r="D260" i="9"/>
  <c r="C278" i="9"/>
  <c r="C270" i="9"/>
  <c r="C262" i="9"/>
  <c r="C259" i="9"/>
  <c r="C280" i="9"/>
  <c r="C272" i="9"/>
  <c r="C269" i="9"/>
  <c r="C266" i="9"/>
  <c r="C263" i="9"/>
  <c r="C277" i="9"/>
  <c r="C274" i="9"/>
  <c r="C258" i="9"/>
  <c r="C276" i="9"/>
  <c r="C268" i="9"/>
  <c r="C273" i="9"/>
  <c r="C265" i="9"/>
  <c r="C275" i="9"/>
  <c r="C267" i="9"/>
  <c r="C264" i="9"/>
  <c r="C279" i="9"/>
  <c r="C260" i="9"/>
  <c r="C257" i="9"/>
  <c r="C261" i="9"/>
  <c r="C271" i="9"/>
  <c r="B280" i="9"/>
  <c r="B264" i="9"/>
  <c r="B272" i="9"/>
  <c r="B269" i="9"/>
  <c r="B267" i="9"/>
  <c r="B279" i="9"/>
  <c r="B263" i="9"/>
  <c r="B278" i="9"/>
  <c r="B262" i="9"/>
  <c r="B277" i="9"/>
  <c r="B261" i="9"/>
  <c r="B276" i="9"/>
  <c r="B260" i="9"/>
  <c r="B275" i="9"/>
  <c r="B259" i="9"/>
  <c r="B274" i="9"/>
  <c r="B258" i="9"/>
  <c r="B273" i="9"/>
  <c r="B271" i="9"/>
  <c r="B270" i="9"/>
  <c r="B268" i="9"/>
  <c r="B266" i="9"/>
  <c r="B265" i="9"/>
  <c r="B257" i="9"/>
  <c r="H268" i="7"/>
  <c r="H280" i="7"/>
  <c r="H272" i="7"/>
  <c r="H264" i="7"/>
  <c r="H277" i="7"/>
  <c r="H269" i="7"/>
  <c r="H261" i="7"/>
  <c r="H274" i="7"/>
  <c r="H266" i="7"/>
  <c r="H258" i="7"/>
  <c r="H260" i="7"/>
  <c r="H279" i="7"/>
  <c r="H271" i="7"/>
  <c r="H263" i="7"/>
  <c r="H276" i="7"/>
  <c r="H273" i="7"/>
  <c r="H265" i="7"/>
  <c r="H257" i="7"/>
  <c r="H278" i="7"/>
  <c r="H270" i="7"/>
  <c r="H267" i="7"/>
  <c r="H275" i="7"/>
  <c r="H259" i="7"/>
  <c r="H262" i="7"/>
  <c r="G260" i="7"/>
  <c r="G272" i="7"/>
  <c r="G264" i="7"/>
  <c r="G274" i="7"/>
  <c r="G266" i="7"/>
  <c r="G258" i="7"/>
  <c r="G279" i="7"/>
  <c r="G263" i="7"/>
  <c r="G276" i="7"/>
  <c r="G268" i="7"/>
  <c r="G271" i="7"/>
  <c r="G280" i="7"/>
  <c r="G277" i="7"/>
  <c r="G269" i="7"/>
  <c r="G261" i="7"/>
  <c r="G273" i="7"/>
  <c r="G265" i="7"/>
  <c r="G257" i="7"/>
  <c r="G275" i="7"/>
  <c r="G278" i="7"/>
  <c r="G270" i="7"/>
  <c r="G262" i="7"/>
  <c r="G267" i="7"/>
  <c r="G259" i="7"/>
  <c r="F273" i="7"/>
  <c r="F262" i="7"/>
  <c r="F270" i="7"/>
  <c r="F278" i="7"/>
  <c r="F257" i="7"/>
  <c r="F265" i="7"/>
  <c r="F260" i="7"/>
  <c r="F268" i="7"/>
  <c r="F276" i="7"/>
  <c r="F258" i="7"/>
  <c r="F274" i="7"/>
  <c r="F279" i="7"/>
  <c r="F269" i="7"/>
  <c r="F271" i="7"/>
  <c r="F266" i="7"/>
  <c r="F261" i="7"/>
  <c r="F272" i="7"/>
  <c r="F259" i="7"/>
  <c r="F267" i="7"/>
  <c r="F275" i="7"/>
  <c r="F263" i="7"/>
  <c r="F277" i="7"/>
  <c r="F264" i="7"/>
  <c r="F280" i="7"/>
  <c r="E275" i="7"/>
  <c r="E266" i="7"/>
  <c r="E259" i="7"/>
  <c r="E261" i="7"/>
  <c r="E258" i="7"/>
  <c r="E263" i="7"/>
  <c r="E277" i="7"/>
  <c r="E279" i="7"/>
  <c r="E267" i="7"/>
  <c r="E269" i="7"/>
  <c r="E271" i="7"/>
  <c r="E280" i="7"/>
  <c r="E272" i="7"/>
  <c r="E264" i="7"/>
  <c r="E274" i="7"/>
  <c r="E276" i="7"/>
  <c r="E268" i="7"/>
  <c r="E260" i="7"/>
  <c r="E278" i="7"/>
  <c r="E273" i="7"/>
  <c r="E265" i="7"/>
  <c r="E257" i="7"/>
  <c r="E270" i="7"/>
  <c r="E262" i="7"/>
  <c r="D264" i="7"/>
  <c r="D261" i="7"/>
  <c r="D266" i="7"/>
  <c r="D258" i="7"/>
  <c r="D278" i="7"/>
  <c r="D270" i="7"/>
  <c r="D262" i="7"/>
  <c r="D267" i="7"/>
  <c r="D259" i="7"/>
  <c r="D275" i="7"/>
  <c r="D272" i="7"/>
  <c r="D274" i="7"/>
  <c r="D280" i="7"/>
  <c r="D277" i="7"/>
  <c r="D269" i="7"/>
  <c r="D279" i="7"/>
  <c r="D271" i="7"/>
  <c r="D263" i="7"/>
  <c r="D273" i="7"/>
  <c r="D257" i="7"/>
  <c r="D276" i="7"/>
  <c r="D268" i="7"/>
  <c r="D260" i="7"/>
  <c r="D265" i="7"/>
  <c r="C280" i="7"/>
  <c r="C278" i="7"/>
  <c r="C270" i="7"/>
  <c r="C262" i="7"/>
  <c r="C261" i="7"/>
  <c r="C266" i="7"/>
  <c r="C258" i="7"/>
  <c r="C277" i="7"/>
  <c r="C275" i="7"/>
  <c r="C267" i="7"/>
  <c r="C259" i="7"/>
  <c r="C272" i="7"/>
  <c r="C264" i="7"/>
  <c r="C269" i="7"/>
  <c r="C274" i="7"/>
  <c r="C279" i="7"/>
  <c r="C271" i="7"/>
  <c r="C276" i="7"/>
  <c r="C260" i="7"/>
  <c r="C263" i="7"/>
  <c r="C268" i="7"/>
  <c r="C273" i="7"/>
  <c r="C265" i="7"/>
  <c r="C257" i="7"/>
  <c r="B261" i="7"/>
  <c r="B258" i="7"/>
  <c r="B280" i="7"/>
  <c r="B264" i="7"/>
  <c r="B263" i="7"/>
  <c r="B262" i="7"/>
  <c r="B277" i="7"/>
  <c r="B276" i="7"/>
  <c r="B269" i="7"/>
  <c r="B279" i="7"/>
  <c r="B272" i="7"/>
  <c r="B267" i="7"/>
  <c r="B266" i="7"/>
  <c r="B260" i="7"/>
  <c r="B275" i="7"/>
  <c r="B278" i="7"/>
  <c r="B259" i="7"/>
  <c r="B274" i="7"/>
  <c r="B271" i="7"/>
  <c r="B273" i="7"/>
  <c r="B268" i="7"/>
  <c r="B270" i="7"/>
  <c r="B265" i="7"/>
  <c r="B257" i="7"/>
  <c r="D17" i="9"/>
  <c r="E17" i="9" s="1"/>
  <c r="D16" i="9"/>
  <c r="D17" i="7"/>
  <c r="E17" i="7" s="1"/>
  <c r="D16" i="7"/>
  <c r="E19" i="9" a="1"/>
  <c r="E19" i="7" a="1"/>
  <c r="E19" i="9" l="1"/>
  <c r="E16" i="9"/>
  <c r="E19" i="7"/>
  <c r="E16" i="7"/>
  <c r="Q23" i="7" a="1"/>
  <c r="Q24" i="9" a="1"/>
  <c r="Q26" i="9" a="1"/>
  <c r="Q35" i="9" a="1"/>
  <c r="Q27" i="7" a="1"/>
  <c r="Q34" i="7" a="1"/>
  <c r="Q28" i="7" a="1"/>
  <c r="Q30" i="9" a="1"/>
  <c r="Q31" i="7" a="1"/>
  <c r="Q29" i="9" a="1"/>
  <c r="Q32" i="9" a="1"/>
  <c r="Q25" i="9" a="1"/>
  <c r="Q35" i="7" a="1"/>
  <c r="Q34" i="9" a="1"/>
  <c r="Q33" i="9" a="1"/>
  <c r="Q33" i="7" a="1"/>
  <c r="Q26" i="7" a="1"/>
  <c r="Q29" i="7" a="1"/>
  <c r="Q23" i="9" a="1"/>
  <c r="Q30" i="7" a="1"/>
  <c r="Q27" i="9" a="1"/>
  <c r="Q25" i="7" a="1"/>
  <c r="Q31" i="9" a="1"/>
  <c r="Q24" i="7" a="1"/>
  <c r="Q32" i="7" a="1"/>
  <c r="Q28" i="9" a="1"/>
  <c r="Q29" i="7" l="1"/>
  <c r="Q32" i="7"/>
  <c r="Q30" i="7"/>
  <c r="Q35" i="7"/>
  <c r="Q28" i="7"/>
  <c r="Q26" i="7"/>
  <c r="Q31" i="7"/>
  <c r="Q34" i="7"/>
  <c r="Q24" i="7"/>
  <c r="Q25" i="7"/>
  <c r="Q23" i="7"/>
  <c r="Q33" i="7"/>
  <c r="Q27" i="7"/>
  <c r="Q25" i="9"/>
  <c r="Q30" i="9"/>
  <c r="Q35" i="9"/>
  <c r="Q32" i="9"/>
  <c r="Q31" i="9"/>
  <c r="Q34" i="9"/>
  <c r="Q23" i="9"/>
  <c r="Q26" i="9"/>
  <c r="Q28" i="9"/>
  <c r="Q27" i="9"/>
  <c r="Q33" i="9"/>
  <c r="Q29" i="9"/>
  <c r="Q24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<sst xmlns="http://schemas.openxmlformats.org/spreadsheetml/2006/main" count="598" uniqueCount="113">
  <si>
    <t>Caliber</t>
  </si>
  <si>
    <t>Shooting Angle(deg)</t>
  </si>
  <si>
    <t>Wind (m/s)</t>
  </si>
  <si>
    <t>Relative Wind Direction (deg)</t>
  </si>
  <si>
    <t>Range(m)</t>
  </si>
  <si>
    <t>Scope</t>
  </si>
  <si>
    <t>50m zero</t>
  </si>
  <si>
    <t>100m zero</t>
  </si>
  <si>
    <t>150m zero</t>
  </si>
  <si>
    <t>200m zero</t>
  </si>
  <si>
    <t>300m zero</t>
  </si>
  <si>
    <t>BC: G7</t>
  </si>
  <si>
    <t>Range</t>
  </si>
  <si>
    <t>Velocity</t>
  </si>
  <si>
    <t>Energy</t>
  </si>
  <si>
    <t>Trajectory</t>
  </si>
  <si>
    <t>Come Up (MOA)</t>
  </si>
  <si>
    <t>Come Up (MILS)</t>
  </si>
  <si>
    <t>Cartridge</t>
  </si>
  <si>
    <t>Computed Muzzle Velocity(m/s)</t>
  </si>
  <si>
    <t>Bullet Weight(gr)</t>
  </si>
  <si>
    <t>BC: G1</t>
  </si>
  <si>
    <t>Measured Muzzle Energy(J)</t>
  </si>
  <si>
    <t>Measured Energy(J)</t>
  </si>
  <si>
    <t>Measured Elevation Angle (scope units)</t>
  </si>
  <si>
    <t>Calculated Trajectory(cm)</t>
  </si>
  <si>
    <t>Scope Height(cm)</t>
  </si>
  <si>
    <t>Hornady Standard Ballistics Calculator</t>
  </si>
  <si>
    <t>Soft Point</t>
  </si>
  <si>
    <t>Estimated Error</t>
  </si>
  <si>
    <t>(cm)</t>
  </si>
  <si>
    <t>300 Winchester Magnum</t>
  </si>
  <si>
    <t>Federal Terminal Ascent</t>
  </si>
  <si>
    <t>400m zero</t>
  </si>
  <si>
    <t>500m zero</t>
  </si>
  <si>
    <t>50m zero(G1 BC)</t>
  </si>
  <si>
    <t>Federal Power-Shok</t>
  </si>
  <si>
    <t>Wind Drift</t>
  </si>
  <si>
    <t>Wind Drift (MOA)</t>
  </si>
  <si>
    <t>Wind Drift (MILS)</t>
  </si>
  <si>
    <t>Remington Core-Lokt Copper</t>
  </si>
  <si>
    <t>Hollow Point</t>
  </si>
  <si>
    <t>Trajectory Drop Polynomial Coefficients</t>
  </si>
  <si>
    <t>Energy Polynomial Coefficients</t>
  </si>
  <si>
    <t>a0</t>
  </si>
  <si>
    <t>a1</t>
  </si>
  <si>
    <t>a2</t>
  </si>
  <si>
    <t>a3</t>
  </si>
  <si>
    <t>a4</t>
  </si>
  <si>
    <t>a5</t>
  </si>
  <si>
    <t>a6</t>
  </si>
  <si>
    <t>Hornady Energy Coefficients</t>
  </si>
  <si>
    <t>Calculated ComeUps(MILS)</t>
  </si>
  <si>
    <t>Energy(J)</t>
  </si>
  <si>
    <t>Rifle Precision(MOA)</t>
  </si>
  <si>
    <t>Rifle Precision(MILS), Error(MILS)</t>
  </si>
  <si>
    <t>Bushnell Elite Tactical FFP @21x</t>
  </si>
  <si>
    <t>HunterSense POI Diameter</t>
  </si>
  <si>
    <t>SU</t>
  </si>
  <si>
    <t>Error(SU)</t>
  </si>
  <si>
    <t>MILS</t>
  </si>
  <si>
    <t>Error(MILS)</t>
  </si>
  <si>
    <t>Outer Circle(scope units),(MILS)</t>
  </si>
  <si>
    <t>Inner Circle(scope units),(MILS)</t>
  </si>
  <si>
    <t>Angular Resolution Scale Factor(su to mils)</t>
  </si>
  <si>
    <t>Probable Error</t>
  </si>
  <si>
    <t>Manufacturer's Data Sheet</t>
  </si>
  <si>
    <t>Bullet Weight(gr),(g)</t>
  </si>
  <si>
    <t>Caliber(in),(mm)</t>
  </si>
  <si>
    <t>n/a</t>
  </si>
  <si>
    <t>Muzzle Energy(flb),(J)</t>
  </si>
  <si>
    <t>Muzzle Velocity(fps),(m/s)</t>
  </si>
  <si>
    <t>50m Zero(G7 BC)</t>
  </si>
  <si>
    <t>100m Zero(G7 BC)</t>
  </si>
  <si>
    <t>150m Zero(G7 BC)</t>
  </si>
  <si>
    <t>200m Zero(G7 BC)</t>
  </si>
  <si>
    <t>300m Zero(G7 BC)</t>
  </si>
  <si>
    <t>500m Zero(G7 BC)</t>
  </si>
  <si>
    <t>500m zero(G1 BC)</t>
  </si>
  <si>
    <t>400m zero(G1 BC)</t>
  </si>
  <si>
    <t>300m zero(G1 BC)</t>
  </si>
  <si>
    <t>200m zero(G1 BC)</t>
  </si>
  <si>
    <t>150m zero(G1 BC)</t>
  </si>
  <si>
    <t>100m zero(G1 BC)</t>
  </si>
  <si>
    <t>400m Zero(G7 BC)</t>
  </si>
  <si>
    <t>50m Zero(G1 BC)</t>
  </si>
  <si>
    <t>100m Zero(G1 BC)</t>
  </si>
  <si>
    <t>150m Zero(G1 BC)</t>
  </si>
  <si>
    <t>200m Zero(G1 BC)</t>
  </si>
  <si>
    <t>300m Zero(G1 BC)</t>
  </si>
  <si>
    <t>400m Zero(G1 BC)</t>
  </si>
  <si>
    <t>500m Zero(G1 BC)</t>
  </si>
  <si>
    <t>50m Zero</t>
  </si>
  <si>
    <t>100m Zero</t>
  </si>
  <si>
    <t>150m Zero</t>
  </si>
  <si>
    <t>200m Zero</t>
  </si>
  <si>
    <t>300m Zero</t>
  </si>
  <si>
    <t>400m Zero</t>
  </si>
  <si>
    <t>500m Zero</t>
  </si>
  <si>
    <t>Hornady Energy Coefficients(G1 BC)</t>
  </si>
  <si>
    <t>Hornady Energy Coefficients(G7 BC)</t>
  </si>
  <si>
    <t>Energy Difference(Measured-HG1)</t>
  </si>
  <si>
    <t>Statistics</t>
  </si>
  <si>
    <t>Average Diff</t>
  </si>
  <si>
    <t>Std Dev</t>
  </si>
  <si>
    <t>Mean Square Error</t>
  </si>
  <si>
    <t>% Diff(Delta/avg)</t>
  </si>
  <si>
    <t>Average % Error</t>
  </si>
  <si>
    <t>Remington 700 Long Range</t>
  </si>
  <si>
    <t>Remington 700 LR/300 Win Mag</t>
  </si>
  <si>
    <t>Polymer Tipped Hollow Point/After Patch</t>
  </si>
  <si>
    <t>24" barrel test</t>
  </si>
  <si>
    <t>26" barrel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</si>
</sst>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000E+00"/>
    <numFmt numFmtId="166" formatCode="0.0000"/>
    <numFmt numFmtId="167" formatCode="#,##0.000"/>
    <numFmt numFmtId="168" formatCode="0.000%"/>
  </numFmts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24994659260841701"/>
        <bgColor indexed="64"/>
      </patternFill>
    </fill>
    <fill>
      <patternFill patternType="solid">
        <fgColor theme="3" tint="0.899960325937681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51">
    <xf numFmtId="0" fontId="0" fillId="0" borderId="0" xfId="0"/>
    <xf numFmtId="2" fontId="0" fillId="0" borderId="0" xfId="0" applyNumberFormat="1"/>
    <xf numFmtId="164" fontId="0" fillId="0" borderId="0" xfId="0" applyNumberFormat="1"/>
    <xf numFmtId="0" fontId="0" fillId="2" borderId="2" xfId="0" applyFill="1" applyBorder="1"/>
    <xf numFmtId="164" fontId="0" fillId="2" borderId="3" xfId="0" applyNumberFormat="1" applyFill="1" applyBorder="1"/>
    <xf numFmtId="164" fontId="0" fillId="2" borderId="4" xfId="0" applyNumberFormat="1" applyFill="1" applyBorder="1"/>
    <xf numFmtId="164" fontId="0" fillId="0" borderId="1" xfId="0" applyNumberFormat="1" applyBorder="1"/>
    <xf numFmtId="164" fontId="0" fillId="3" borderId="1" xfId="0" applyNumberFormat="1" applyFill="1" applyBorder="1"/>
    <xf numFmtId="2" fontId="0" fillId="4" borderId="1" xfId="0" applyNumberFormat="1" applyFill="1" applyBorder="1"/>
    <xf numFmtId="2" fontId="0" fillId="0" borderId="1" xfId="0" applyNumberFormat="1" applyBorder="1"/>
    <xf numFmtId="2" fontId="0" fillId="3" borderId="0" xfId="0" applyNumberFormat="1" applyFill="1"/>
    <xf numFmtId="0" fontId="1" fillId="5" borderId="0" xfId="0" applyFont="1" applyFill="1"/>
    <xf numFmtId="164" fontId="1" fillId="5" borderId="0" xfId="0" applyNumberFormat="1" applyFont="1" applyFill="1"/>
    <xf numFmtId="0" fontId="0" fillId="0" borderId="0" xfId="0" applyAlignment="1">
      <alignment horizontal="center"/>
    </xf>
    <xf numFmtId="164" fontId="0" fillId="0" borderId="2" xfId="0" applyNumberFormat="1" applyBorder="1"/>
    <xf numFmtId="164" fontId="0" fillId="3" borderId="2" xfId="0" applyNumberFormat="1" applyFill="1" applyBorder="1"/>
    <xf numFmtId="0" fontId="0" fillId="0" borderId="1" xfId="0" applyBorder="1"/>
    <xf numFmtId="164" fontId="0" fillId="6" borderId="1" xfId="0" applyNumberFormat="1" applyFill="1" applyBorder="1"/>
    <xf numFmtId="164" fontId="0" fillId="6" borderId="2" xfId="0" applyNumberFormat="1" applyFill="1" applyBorder="1"/>
    <xf numFmtId="2" fontId="0" fillId="2" borderId="5" xfId="0" applyNumberFormat="1" applyFill="1" applyBorder="1"/>
    <xf numFmtId="2" fontId="0" fillId="2" borderId="0" xfId="0" applyNumberFormat="1" applyFill="1"/>
    <xf numFmtId="2" fontId="0" fillId="7" borderId="0" xfId="0" applyNumberFormat="1" applyFill="1"/>
    <xf numFmtId="165" fontId="0" fillId="0" borderId="0" xfId="0" applyNumberFormat="1"/>
    <xf numFmtId="165" fontId="0" fillId="0" borderId="0" xfId="0" applyNumberFormat="1" applyAlignment="1">
      <alignment horizontal="right"/>
    </xf>
    <xf numFmtId="164" fontId="0" fillId="0" borderId="0" xfId="0" applyNumberFormat="1" applyAlignment="1">
      <alignment horizontal="right"/>
    </xf>
    <xf numFmtId="0" fontId="0" fillId="0" borderId="0" xfId="0" applyAlignment="1">
      <alignment horizontal="center" wrapText="1"/>
    </xf>
    <xf numFmtId="49" fontId="1" fillId="3" borderId="0" xfId="0" applyNumberFormat="1" applyFont="1" applyFill="1"/>
    <xf numFmtId="49" fontId="1" fillId="3" borderId="0" xfId="0" applyNumberFormat="1" applyFont="1" applyFill="1" applyAlignment="1">
      <alignment horizontal="center"/>
    </xf>
    <xf numFmtId="49" fontId="1" fillId="3" borderId="0" xfId="0" applyNumberFormat="1" applyFont="1" applyFill="1" applyAlignment="1">
      <alignment horizontal="center" wrapText="1"/>
    </xf>
    <xf numFmtId="0" fontId="0" fillId="3" borderId="0" xfId="0" applyFill="1"/>
    <xf numFmtId="49" fontId="1" fillId="3" borderId="0" xfId="0" applyNumberFormat="1" applyFont="1" applyFill="1" applyAlignment="1">
      <alignment horizontal="right"/>
    </xf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right"/>
    </xf>
    <xf numFmtId="166" fontId="0" fillId="0" borderId="0" xfId="0" applyNumberFormat="1"/>
    <xf numFmtId="0" fontId="1" fillId="6" borderId="0" xfId="0" applyFont="1" applyFill="1"/>
    <xf numFmtId="164" fontId="1" fillId="6" borderId="0" xfId="0" applyNumberFormat="1" applyFont="1" applyFill="1"/>
    <xf numFmtId="0" fontId="0" fillId="4" borderId="1" xfId="0" applyFill="1" applyBorder="1"/>
    <xf numFmtId="0" fontId="0" fillId="0" borderId="2" xfId="0" applyBorder="1"/>
    <xf numFmtId="2" fontId="0" fillId="4" borderId="2" xfId="0" applyNumberFormat="1" applyFill="1" applyBorder="1"/>
    <xf numFmtId="2" fontId="1" fillId="4" borderId="1" xfId="0" applyNumberFormat="1" applyFont="1" applyFill="1" applyBorder="1"/>
    <xf numFmtId="2" fontId="0" fillId="0" borderId="2" xfId="0" applyNumberFormat="1" applyBorder="1"/>
    <xf numFmtId="49" fontId="1" fillId="0" borderId="0" xfId="0" applyNumberFormat="1" applyFont="1" applyAlignment="1">
      <alignment horizontal="right"/>
    </xf>
    <xf numFmtId="10" fontId="0" fillId="0" borderId="0" xfId="0" applyNumberFormat="1"/>
    <xf numFmtId="49" fontId="1" fillId="0" borderId="0" xfId="0" applyNumberFormat="1" applyFont="1" applyAlignment="1">
      <alignment horizontal="center"/>
    </xf>
    <xf numFmtId="167" fontId="0" fillId="0" borderId="0" xfId="0" applyNumberFormat="1"/>
    <xf numFmtId="168" fontId="0" fillId="0" borderId="0" xfId="0" applyNumberFormat="1"/>
    <xf numFmtId="49" fontId="1" fillId="3" borderId="0" xfId="0" applyNumberFormat="1" applyFont="1" applyFill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49" fontId="0" fillId="3" borderId="0" xfId="0" applyNumberFormat="1" applyFill="1" applyAlignment="1">
      <alignment horizontal="center"/>
    </xf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1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2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5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6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Measured</a:t>
            </a:r>
            <a:r>
              <a:rPr lang="en-CA" baseline="0"/>
              <a:t> Energy vs Range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7174242661898341E-2"/>
          <c:y val="0.13030524989873093"/>
          <c:w val="0.70888493776987549"/>
          <c:h val="0.79879324480188618"/>
        </c:manualLayout>
      </c:layout>
      <c:scatterChart>
        <c:scatterStyle val="smoothMarker"/>
        <c:varyColors val="0"/>
        <c:ser>
          <c:idx val="0"/>
          <c:order val="0"/>
          <c:tx>
            <c:v>Measured Energy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3.4882736432139533E-4"/>
                  <c:y val="-0.1817346629202222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 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 '!$B$22:$B$35</c:f>
              <c:numCache>
                <c:formatCode>0.00</c:formatCode>
                <c:ptCount val="14"/>
                <c:pt idx="0">
                  <c:v>4753.7</c:v>
                </c:pt>
                <c:pt idx="1">
                  <c:v>4542.3999999999996</c:v>
                </c:pt>
                <c:pt idx="2">
                  <c:v>4279.2</c:v>
                </c:pt>
                <c:pt idx="3">
                  <c:v>3998.5</c:v>
                </c:pt>
                <c:pt idx="4">
                  <c:v>3776.2</c:v>
                </c:pt>
                <c:pt idx="5">
                  <c:v>3536.9</c:v>
                </c:pt>
                <c:pt idx="6">
                  <c:v>3318.7</c:v>
                </c:pt>
                <c:pt idx="7">
                  <c:v>2930.4</c:v>
                </c:pt>
                <c:pt idx="8">
                  <c:v>2555.8000000000002</c:v>
                </c:pt>
                <c:pt idx="9">
                  <c:v>2241.1999999999998</c:v>
                </c:pt>
                <c:pt idx="10">
                  <c:v>1946.3</c:v>
                </c:pt>
                <c:pt idx="11">
                  <c:v>1690.4</c:v>
                </c:pt>
                <c:pt idx="12">
                  <c:v>1470.1</c:v>
                </c:pt>
                <c:pt idx="13">
                  <c:v>1274.7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382-4704-BB1D-577F518E0D66}"/>
            </c:ext>
          </c:extLst>
        </c:ser>
        <c:ser>
          <c:idx val="1"/>
          <c:order val="1"/>
          <c:tx>
            <c:strRef>
              <c:f>'Terminal Ascent PHP '!$A$78</c:f>
              <c:strCache>
                <c:ptCount val="1"/>
                <c:pt idx="0">
                  <c:v>50m zero(G1 BC)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9.4300440267547206E-2"/>
                  <c:y val="9.740152204655655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 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 '!$C$80:$C$100</c:f>
              <c:numCache>
                <c:formatCode>0.00</c:formatCode>
                <c:ptCount val="21"/>
                <c:pt idx="0">
                  <c:v>4754</c:v>
                </c:pt>
                <c:pt idx="1">
                  <c:v>4485</c:v>
                </c:pt>
                <c:pt idx="2">
                  <c:v>4230</c:v>
                </c:pt>
                <c:pt idx="3">
                  <c:v>3986</c:v>
                </c:pt>
                <c:pt idx="4">
                  <c:v>3754</c:v>
                </c:pt>
                <c:pt idx="5">
                  <c:v>3533</c:v>
                </c:pt>
                <c:pt idx="6">
                  <c:v>3321</c:v>
                </c:pt>
                <c:pt idx="7">
                  <c:v>3120</c:v>
                </c:pt>
                <c:pt idx="8">
                  <c:v>2928</c:v>
                </c:pt>
                <c:pt idx="9">
                  <c:v>2746</c:v>
                </c:pt>
                <c:pt idx="10">
                  <c:v>2572</c:v>
                </c:pt>
                <c:pt idx="11">
                  <c:v>2408</c:v>
                </c:pt>
                <c:pt idx="12">
                  <c:v>2252</c:v>
                </c:pt>
                <c:pt idx="13">
                  <c:v>2104</c:v>
                </c:pt>
                <c:pt idx="14">
                  <c:v>1964</c:v>
                </c:pt>
                <c:pt idx="15">
                  <c:v>1833</c:v>
                </c:pt>
                <c:pt idx="16">
                  <c:v>1709</c:v>
                </c:pt>
                <c:pt idx="17">
                  <c:v>1593</c:v>
                </c:pt>
                <c:pt idx="18">
                  <c:v>1484</c:v>
                </c:pt>
                <c:pt idx="19">
                  <c:v>1383</c:v>
                </c:pt>
                <c:pt idx="20">
                  <c:v>1292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382-4704-BB1D-577F518E0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793088"/>
        <c:axId val="538794048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'Terminal Ascent PHP '!$H$78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'Terminal Ascent PHP '!$H$80:$H$100</c15:sqref>
                        </c15:formulaRef>
                      </c:ext>
                    </c:extLst>
                    <c:numCache>
                      <c:formatCode>0.00</c:formatCode>
                      <c:ptCount val="21"/>
                      <c:pt idx="0">
                        <c:v>0</c:v>
                      </c:pt>
                      <c:pt idx="1">
                        <c:v>-1</c:v>
                      </c:pt>
                      <c:pt idx="2">
                        <c:v>-1</c:v>
                      </c:pt>
                      <c:pt idx="3">
                        <c:v>-2</c:v>
                      </c:pt>
                      <c:pt idx="4">
                        <c:v>-2</c:v>
                      </c:pt>
                      <c:pt idx="5">
                        <c:v>-3</c:v>
                      </c:pt>
                      <c:pt idx="6">
                        <c:v>-4</c:v>
                      </c:pt>
                      <c:pt idx="7">
                        <c:v>-4</c:v>
                      </c:pt>
                      <c:pt idx="8">
                        <c:v>-5</c:v>
                      </c:pt>
                      <c:pt idx="9">
                        <c:v>-6</c:v>
                      </c:pt>
                      <c:pt idx="10">
                        <c:v>-6</c:v>
                      </c:pt>
                      <c:pt idx="11">
                        <c:v>-7</c:v>
                      </c:pt>
                      <c:pt idx="12">
                        <c:v>-8</c:v>
                      </c:pt>
                      <c:pt idx="13">
                        <c:v>-9</c:v>
                      </c:pt>
                      <c:pt idx="14">
                        <c:v>-10</c:v>
                      </c:pt>
                      <c:pt idx="15">
                        <c:v>-10</c:v>
                      </c:pt>
                      <c:pt idx="16">
                        <c:v>-11</c:v>
                      </c:pt>
                      <c:pt idx="17">
                        <c:v>-12</c:v>
                      </c:pt>
                      <c:pt idx="18">
                        <c:v>-13</c:v>
                      </c:pt>
                      <c:pt idx="19">
                        <c:v>-14</c:v>
                      </c:pt>
                      <c:pt idx="20">
                        <c:v>-15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'Terminal Ascent PHP '!$J$80:$J$100</c15:sqref>
                        </c15:formulaRef>
                      </c:ext>
                    </c:extLst>
                    <c:numCache>
                      <c:formatCode>0.00</c:formatCode>
                      <c:ptCount val="2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3382-4704-BB1D-577F518E0D66}"/>
                  </c:ext>
                </c:extLst>
              </c15:ser>
            </c15:filteredScatterSeries>
          </c:ext>
        </c:extLst>
      </c:scatterChart>
      <c:valAx>
        <c:axId val="538793088"/>
        <c:scaling>
          <c:orientation val="minMax"/>
          <c:max val="5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4048"/>
        <c:crosses val="autoZero"/>
        <c:crossBetween val="midCat"/>
        <c:majorUnit val="50"/>
        <c:minorUnit val="25"/>
      </c:valAx>
      <c:valAx>
        <c:axId val="538794048"/>
        <c:scaling>
          <c:orientation val="minMax"/>
          <c:min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Energy(J)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3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Trajectory(cm)</a:t>
            </a:r>
            <a:r>
              <a:rPr lang="en-CA" baseline="0"/>
              <a:t> for each zero setting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'Terminal Ascent PHP '!$J$21</c:f>
              <c:strCache>
                <c:ptCount val="1"/>
                <c:pt idx="0">
                  <c:v>50m zero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 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 '!$J$22:$J$35</c:f>
              <c:numCache>
                <c:formatCode>0.00</c:formatCode>
                <c:ptCount val="14"/>
                <c:pt idx="0">
                  <c:v>-3.81</c:v>
                </c:pt>
                <c:pt idx="1">
                  <c:v>-1.7578127896786311</c:v>
                </c:pt>
                <c:pt idx="2">
                  <c:v>0</c:v>
                </c:pt>
                <c:pt idx="3">
                  <c:v>5.6193760515268378</c:v>
                </c:pt>
                <c:pt idx="4">
                  <c:v>7.4925014020357841</c:v>
                </c:pt>
                <c:pt idx="5">
                  <c:v>7.0312507415772414</c:v>
                </c:pt>
                <c:pt idx="6">
                  <c:v>0</c:v>
                </c:pt>
                <c:pt idx="7">
                  <c:v>-5.6250001483154337</c:v>
                </c:pt>
                <c:pt idx="8">
                  <c:v>-21.093755005647179</c:v>
                </c:pt>
                <c:pt idx="9">
                  <c:v>-44.955033648881447</c:v>
                </c:pt>
                <c:pt idx="10">
                  <c:v>-65.67757708912346</c:v>
                </c:pt>
                <c:pt idx="11">
                  <c:v>-112.50029663179792</c:v>
                </c:pt>
                <c:pt idx="12">
                  <c:v>-168.68329007122648</c:v>
                </c:pt>
                <c:pt idx="13">
                  <c:v>-225.00151876230197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78F-49B8-BA7E-A78048F6B056}"/>
            </c:ext>
          </c:extLst>
        </c:ser>
        <c:ser>
          <c:idx val="1"/>
          <c:order val="1"/>
          <c:tx>
            <c:strRef>
              <c:f>'Terminal Ascent PHP '!$K$21</c:f>
              <c:strCache>
                <c:ptCount val="1"/>
                <c:pt idx="0">
                  <c:v>100m zero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5737087044509687"/>
                  <c:y val="5.244559374727605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 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 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-2.3437506866457491</c:v>
                </c:pt>
                <c:pt idx="2">
                  <c:v>-1.5562500502547187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-4.668750150764156</c:v>
                </c:pt>
                <c:pt idx="7">
                  <c:v>-9.3750006866455688</c:v>
                </c:pt>
                <c:pt idx="8">
                  <c:v>-29.296888411052436</c:v>
                </c:pt>
                <c:pt idx="9">
                  <c:v>-42.187527809165061</c:v>
                </c:pt>
                <c:pt idx="10">
                  <c:v>-65.62507690440502</c:v>
                </c:pt>
                <c:pt idx="11">
                  <c:v>-124.950406414542</c:v>
                </c:pt>
                <c:pt idx="12">
                  <c:v>-160.31317820046442</c:v>
                </c:pt>
                <c:pt idx="13">
                  <c:v>-234.37671662885705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78F-49B8-BA7E-A78048F6B056}"/>
            </c:ext>
          </c:extLst>
        </c:ser>
        <c:ser>
          <c:idx val="2"/>
          <c:order val="2"/>
          <c:tx>
            <c:strRef>
              <c:f>'Terminal Ascent PHP '!$L$21</c:f>
              <c:strCache>
                <c:ptCount val="1"/>
                <c:pt idx="0">
                  <c:v>150m zero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753195865819113"/>
                  <c:y val="1.070130071379453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 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 '!$L$22:$L$35</c:f>
              <c:numCache>
                <c:formatCode>0.00</c:formatCode>
                <c:ptCount val="14"/>
                <c:pt idx="0">
                  <c:v>-3.81</c:v>
                </c:pt>
                <c:pt idx="1">
                  <c:v>-1.9218753785944496</c:v>
                </c:pt>
                <c:pt idx="2">
                  <c:v>0</c:v>
                </c:pt>
                <c:pt idx="3">
                  <c:v>2.552250098520334</c:v>
                </c:pt>
                <c:pt idx="4">
                  <c:v>3.4030001313604452</c:v>
                </c:pt>
                <c:pt idx="5">
                  <c:v>4.2537501642005564</c:v>
                </c:pt>
                <c:pt idx="6">
                  <c:v>0</c:v>
                </c:pt>
                <c:pt idx="7">
                  <c:v>-5.1250001121761102</c:v>
                </c:pt>
                <c:pt idx="8">
                  <c:v>-19.218753785944497</c:v>
                </c:pt>
                <c:pt idx="9">
                  <c:v>-40.959025449812941</c:v>
                </c:pt>
                <c:pt idx="10">
                  <c:v>-59.839558305165511</c:v>
                </c:pt>
                <c:pt idx="11">
                  <c:v>-102.50022435280283</c:v>
                </c:pt>
                <c:pt idx="12">
                  <c:v>-153.6890975577175</c:v>
                </c:pt>
                <c:pt idx="13">
                  <c:v>-205.0011486910571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78F-49B8-BA7E-A78048F6B056}"/>
            </c:ext>
          </c:extLst>
        </c:ser>
        <c:ser>
          <c:idx val="3"/>
          <c:order val="3"/>
          <c:tx>
            <c:strRef>
              <c:f>'Terminal Ascent PHP '!$M$21</c:f>
              <c:strCache>
                <c:ptCount val="1"/>
                <c:pt idx="0">
                  <c:v>200m zero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4839651237668974"/>
                  <c:y val="-1.570870984300394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 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 '!$M$22:$M$35</c:f>
              <c:numCache>
                <c:formatCode>0.00</c:formatCode>
                <c:ptCount val="14"/>
                <c:pt idx="0">
                  <c:v>-3.81</c:v>
                </c:pt>
                <c:pt idx="1">
                  <c:v>-1.3281251249440653</c:v>
                </c:pt>
                <c:pt idx="2">
                  <c:v>1.763750073155981</c:v>
                </c:pt>
                <c:pt idx="3">
                  <c:v>3.9843753748321964</c:v>
                </c:pt>
                <c:pt idx="4">
                  <c:v>5.3125004997762613</c:v>
                </c:pt>
                <c:pt idx="5">
                  <c:v>6.640625624720327</c:v>
                </c:pt>
                <c:pt idx="6">
                  <c:v>7.9687507496643928</c:v>
                </c:pt>
                <c:pt idx="7">
                  <c:v>0</c:v>
                </c:pt>
                <c:pt idx="8">
                  <c:v>-13.281251249440654</c:v>
                </c:pt>
                <c:pt idx="9">
                  <c:v>-31.875011994634324</c:v>
                </c:pt>
                <c:pt idx="10">
                  <c:v>-55.781297228899298</c:v>
                </c:pt>
                <c:pt idx="11">
                  <c:v>-99.110202820690802</c:v>
                </c:pt>
                <c:pt idx="12">
                  <c:v>-133.87539496053887</c:v>
                </c:pt>
                <c:pt idx="13">
                  <c:v>-185.93835712093184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278F-49B8-BA7E-A78048F6B056}"/>
            </c:ext>
          </c:extLst>
        </c:ser>
        <c:ser>
          <c:idx val="4"/>
          <c:order val="4"/>
          <c:tx>
            <c:strRef>
              <c:f>'Terminal Ascent PHP '!$N$21</c:f>
              <c:strCache>
                <c:ptCount val="1"/>
                <c:pt idx="0">
                  <c:v>300m zero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9.4550363966246317E-2"/>
                  <c:y val="-8.0647935613214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 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 '!$N$22:$N$35</c:f>
              <c:numCache>
                <c:formatCode>0.00</c:formatCode>
                <c:ptCount val="14"/>
                <c:pt idx="0">
                  <c:v>-3.81</c:v>
                </c:pt>
                <c:pt idx="1">
                  <c:v>1.2500001041666768</c:v>
                </c:pt>
                <c:pt idx="2">
                  <c:v>6.6600039387800765</c:v>
                </c:pt>
                <c:pt idx="3">
                  <c:v>11.250008437507594</c:v>
                </c:pt>
                <c:pt idx="4">
                  <c:v>15.200011706037486</c:v>
                </c:pt>
                <c:pt idx="5">
                  <c:v>19.000014632546858</c:v>
                </c:pt>
                <c:pt idx="6">
                  <c:v>22.800017559056229</c:v>
                </c:pt>
                <c:pt idx="7">
                  <c:v>20.000006666669336</c:v>
                </c:pt>
                <c:pt idx="8">
                  <c:v>12.500001041666769</c:v>
                </c:pt>
                <c:pt idx="9">
                  <c:v>0</c:v>
                </c:pt>
                <c:pt idx="10">
                  <c:v>-17.500001458333479</c:v>
                </c:pt>
                <c:pt idx="11">
                  <c:v>-53.280031510240612</c:v>
                </c:pt>
                <c:pt idx="12">
                  <c:v>-90.000120000191998</c:v>
                </c:pt>
                <c:pt idx="13">
                  <c:v>-133.40031652459513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278F-49B8-BA7E-A78048F6B056}"/>
            </c:ext>
          </c:extLst>
        </c:ser>
        <c:ser>
          <c:idx val="5"/>
          <c:order val="5"/>
          <c:tx>
            <c:strRef>
              <c:f>'Terminal Ascent PHP '!$O$21</c:f>
              <c:strCache>
                <c:ptCount val="1"/>
                <c:pt idx="0">
                  <c:v>400m zero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 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 '!$O$22:$O$35</c:f>
              <c:numCache>
                <c:formatCode>0.00</c:formatCode>
                <c:ptCount val="14"/>
                <c:pt idx="0">
                  <c:v>-3.81</c:v>
                </c:pt>
                <c:pt idx="1">
                  <c:v>4.1250037434415763</c:v>
                </c:pt>
                <c:pt idx="2">
                  <c:v>12.500026041731772</c:v>
                </c:pt>
                <c:pt idx="3">
                  <c:v>20.010047478689266</c:v>
                </c:pt>
                <c:pt idx="4">
                  <c:v>26.68006330491902</c:v>
                </c:pt>
                <c:pt idx="5">
                  <c:v>34.375086653907957</c:v>
                </c:pt>
                <c:pt idx="6">
                  <c:v>41.250103984689545</c:v>
                </c:pt>
                <c:pt idx="7">
                  <c:v>46.640084546439695</c:v>
                </c:pt>
                <c:pt idx="8">
                  <c:v>41.700038672956637</c:v>
                </c:pt>
                <c:pt idx="9">
                  <c:v>39.960023632680461</c:v>
                </c:pt>
                <c:pt idx="10">
                  <c:v>17.500001458333479</c:v>
                </c:pt>
                <c:pt idx="11">
                  <c:v>0</c:v>
                </c:pt>
                <c:pt idx="12">
                  <c:v>-22.500001875000187</c:v>
                </c:pt>
                <c:pt idx="13">
                  <c:v>-75.000056250050633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278F-49B8-BA7E-A78048F6B056}"/>
            </c:ext>
          </c:extLst>
        </c:ser>
        <c:ser>
          <c:idx val="6"/>
          <c:order val="6"/>
          <c:tx>
            <c:strRef>
              <c:f>'Terminal Ascent PHP '!$P$21</c:f>
              <c:strCache>
                <c:ptCount val="1"/>
                <c:pt idx="0">
                  <c:v>500m zero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 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 '!$P$22:$P$35</c:f>
              <c:numCache>
                <c:formatCode>0.00</c:formatCode>
                <c:ptCount val="14"/>
                <c:pt idx="0">
                  <c:v>-3.81</c:v>
                </c:pt>
                <c:pt idx="1">
                  <c:v>6.5000146467062718</c:v>
                </c:pt>
                <c:pt idx="2">
                  <c:v>21.000123480871284</c:v>
                </c:pt>
                <c:pt idx="3">
                  <c:v>35.010254294130526</c:v>
                </c:pt>
                <c:pt idx="4">
                  <c:v>48.000368643397415</c:v>
                </c:pt>
                <c:pt idx="5">
                  <c:v>58.350423823550877</c:v>
                </c:pt>
                <c:pt idx="6">
                  <c:v>63.000370442613864</c:v>
                </c:pt>
                <c:pt idx="7">
                  <c:v>80.000426669397356</c:v>
                </c:pt>
                <c:pt idx="8">
                  <c:v>87.500357293417409</c:v>
                </c:pt>
                <c:pt idx="9">
                  <c:v>90.000270000972023</c:v>
                </c:pt>
                <c:pt idx="10">
                  <c:v>79.380136105863073</c:v>
                </c:pt>
                <c:pt idx="11">
                  <c:v>60.000045000040501</c:v>
                </c:pt>
                <c:pt idx="12">
                  <c:v>45.000015000006002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278F-49B8-BA7E-A78048F6B0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20432"/>
        <c:axId val="1264928592"/>
      </c:scatterChart>
      <c:valAx>
        <c:axId val="126492043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8592"/>
        <c:crosses val="autoZero"/>
        <c:crossBetween val="midCat"/>
      </c:valAx>
      <c:valAx>
        <c:axId val="126492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Elevation</a:t>
            </a:r>
            <a:r>
              <a:rPr lang="en-CA" baseline="0"/>
              <a:t> Holdovers(scope units)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'Terminal Ascent PHP '!$C$21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0.15085566238792997"/>
                  <c:y val="-6.508398950131233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 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'Terminal Ascent PHP '!$C$23:$C$35</c:f>
              <c:numCache>
                <c:formatCode>0.000</c:formatCode>
                <c:ptCount val="13"/>
                <c:pt idx="0">
                  <c:v>-0.15625</c:v>
                </c:pt>
                <c:pt idx="1">
                  <c:v>0</c:v>
                </c:pt>
                <c:pt idx="2">
                  <c:v>0.16650000000000001</c:v>
                </c:pt>
                <c:pt idx="3">
                  <c:v>0.16650000000000001</c:v>
                </c:pt>
                <c:pt idx="4">
                  <c:v>0.125</c:v>
                </c:pt>
                <c:pt idx="5">
                  <c:v>0</c:v>
                </c:pt>
                <c:pt idx="6">
                  <c:v>-6.25E-2</c:v>
                </c:pt>
                <c:pt idx="7">
                  <c:v>-0.1875</c:v>
                </c:pt>
                <c:pt idx="8">
                  <c:v>-0.33300000000000002</c:v>
                </c:pt>
                <c:pt idx="9">
                  <c:v>-0.41699999999999998</c:v>
                </c:pt>
                <c:pt idx="10">
                  <c:v>-0.625</c:v>
                </c:pt>
                <c:pt idx="11">
                  <c:v>-0.83299999999999996</c:v>
                </c:pt>
                <c:pt idx="12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A6-46D5-B2F4-AFADC0AEEFCC}"/>
            </c:ext>
          </c:extLst>
        </c:ser>
        <c:ser>
          <c:idx val="1"/>
          <c:order val="1"/>
          <c:tx>
            <c:strRef>
              <c:f>'Terminal Ascent PHP '!$D$21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1.3282528921528326E-2"/>
                  <c:y val="2.682714660667416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 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'Terminal Ascent PHP '!$D$23:$D$35</c:f>
              <c:numCache>
                <c:formatCode>0.000</c:formatCode>
                <c:ptCount val="13"/>
                <c:pt idx="0">
                  <c:v>-0.25</c:v>
                </c:pt>
                <c:pt idx="1">
                  <c:v>-8.3000000000000004E-2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-8.3000000000000004E-2</c:v>
                </c:pt>
                <c:pt idx="6">
                  <c:v>-0.125</c:v>
                </c:pt>
                <c:pt idx="7">
                  <c:v>-0.3125</c:v>
                </c:pt>
                <c:pt idx="8">
                  <c:v>-0.375</c:v>
                </c:pt>
                <c:pt idx="9">
                  <c:v>-0.5</c:v>
                </c:pt>
                <c:pt idx="10">
                  <c:v>-0.83299999999999996</c:v>
                </c:pt>
                <c:pt idx="11">
                  <c:v>-0.95</c:v>
                </c:pt>
                <c:pt idx="12">
                  <c:v>-1.25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EA6-46D5-B2F4-AFADC0AEEFCC}"/>
            </c:ext>
          </c:extLst>
        </c:ser>
        <c:ser>
          <c:idx val="2"/>
          <c:order val="2"/>
          <c:tx>
            <c:strRef>
              <c:f>'Terminal Ascent PHP '!$E$21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22172185559612709"/>
                  <c:y val="1.331064866891638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 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'Terminal Ascent PHP '!$E$23:$E$35</c:f>
              <c:numCache>
                <c:formatCode>0.000</c:formatCode>
                <c:ptCount val="13"/>
                <c:pt idx="0">
                  <c:v>-0.1875</c:v>
                </c:pt>
                <c:pt idx="1">
                  <c:v>0</c:v>
                </c:pt>
                <c:pt idx="2">
                  <c:v>8.3000000000000004E-2</c:v>
                </c:pt>
                <c:pt idx="3">
                  <c:v>8.3000000000000004E-2</c:v>
                </c:pt>
                <c:pt idx="4">
                  <c:v>8.3000000000000004E-2</c:v>
                </c:pt>
                <c:pt idx="5">
                  <c:v>0</c:v>
                </c:pt>
                <c:pt idx="6">
                  <c:v>-6.25E-2</c:v>
                </c:pt>
                <c:pt idx="7">
                  <c:v>-0.1875</c:v>
                </c:pt>
                <c:pt idx="8">
                  <c:v>-0.33300000000000002</c:v>
                </c:pt>
                <c:pt idx="9">
                  <c:v>-0.41699999999999998</c:v>
                </c:pt>
                <c:pt idx="10">
                  <c:v>-0.625</c:v>
                </c:pt>
                <c:pt idx="11">
                  <c:v>-0.83299999999999996</c:v>
                </c:pt>
                <c:pt idx="12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EA6-46D5-B2F4-AFADC0AEEFCC}"/>
            </c:ext>
          </c:extLst>
        </c:ser>
        <c:ser>
          <c:idx val="3"/>
          <c:order val="3"/>
          <c:tx>
            <c:strRef>
              <c:f>'Terminal Ascent PHP '!$F$21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9279755716881369"/>
                  <c:y val="-7.615373078365213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 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'Terminal Ascent PHP '!$F$23:$F$35</c:f>
              <c:numCache>
                <c:formatCode>0.000</c:formatCode>
                <c:ptCount val="13"/>
                <c:pt idx="0">
                  <c:v>-0.125</c:v>
                </c:pt>
                <c:pt idx="1">
                  <c:v>8.3000000000000004E-2</c:v>
                </c:pt>
                <c:pt idx="2">
                  <c:v>0.125</c:v>
                </c:pt>
                <c:pt idx="3">
                  <c:v>0.125</c:v>
                </c:pt>
                <c:pt idx="4">
                  <c:v>0.125</c:v>
                </c:pt>
                <c:pt idx="5">
                  <c:v>0.125</c:v>
                </c:pt>
                <c:pt idx="6">
                  <c:v>0</c:v>
                </c:pt>
                <c:pt idx="7">
                  <c:v>-0.125</c:v>
                </c:pt>
                <c:pt idx="8">
                  <c:v>-0.25</c:v>
                </c:pt>
                <c:pt idx="9">
                  <c:v>-0.375</c:v>
                </c:pt>
                <c:pt idx="10">
                  <c:v>-0.58299999999999996</c:v>
                </c:pt>
                <c:pt idx="11">
                  <c:v>-0.7</c:v>
                </c:pt>
                <c:pt idx="12">
                  <c:v>-0.875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6EA6-46D5-B2F4-AFADC0AEEFCC}"/>
            </c:ext>
          </c:extLst>
        </c:ser>
        <c:ser>
          <c:idx val="4"/>
          <c:order val="4"/>
          <c:tx>
            <c:strRef>
              <c:f>'Terminal Ascent PHP '!$G$21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5287085628732297"/>
                  <c:y val="-0.469310836145481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 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'Terminal Ascent PHP '!$G$23:$G$35</c:f>
              <c:numCache>
                <c:formatCode>0.000</c:formatCode>
                <c:ptCount val="13"/>
                <c:pt idx="0">
                  <c:v>0.125</c:v>
                </c:pt>
                <c:pt idx="1">
                  <c:v>0.33300000000000002</c:v>
                </c:pt>
                <c:pt idx="2">
                  <c:v>0.375</c:v>
                </c:pt>
                <c:pt idx="3">
                  <c:v>0.38</c:v>
                </c:pt>
                <c:pt idx="4">
                  <c:v>0.38</c:v>
                </c:pt>
                <c:pt idx="5">
                  <c:v>0.38</c:v>
                </c:pt>
                <c:pt idx="6">
                  <c:v>0.25</c:v>
                </c:pt>
                <c:pt idx="7">
                  <c:v>0.125</c:v>
                </c:pt>
                <c:pt idx="8">
                  <c:v>0</c:v>
                </c:pt>
                <c:pt idx="9">
                  <c:v>-0.125</c:v>
                </c:pt>
                <c:pt idx="10">
                  <c:v>-0.33300000000000002</c:v>
                </c:pt>
                <c:pt idx="11">
                  <c:v>-0.5</c:v>
                </c:pt>
                <c:pt idx="12">
                  <c:v>-0.66700000000000004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6EA6-46D5-B2F4-AFADC0AEEFCC}"/>
            </c:ext>
          </c:extLst>
        </c:ser>
        <c:ser>
          <c:idx val="5"/>
          <c:order val="5"/>
          <c:tx>
            <c:strRef>
              <c:f>'Terminal Ascent PHP '!$H$21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 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'Terminal Ascent PHP '!$H$23:$H$35</c:f>
              <c:numCache>
                <c:formatCode>0.000</c:formatCode>
                <c:ptCount val="13"/>
                <c:pt idx="0">
                  <c:v>0.41249999999999998</c:v>
                </c:pt>
                <c:pt idx="1">
                  <c:v>0.625</c:v>
                </c:pt>
                <c:pt idx="2">
                  <c:v>0.66700000000000004</c:v>
                </c:pt>
                <c:pt idx="3">
                  <c:v>0.66700000000000004</c:v>
                </c:pt>
                <c:pt idx="4">
                  <c:v>0.6875</c:v>
                </c:pt>
                <c:pt idx="5">
                  <c:v>0.6875</c:v>
                </c:pt>
                <c:pt idx="6">
                  <c:v>0.58299999999999996</c:v>
                </c:pt>
                <c:pt idx="7">
                  <c:v>0.41699999999999998</c:v>
                </c:pt>
                <c:pt idx="8">
                  <c:v>0.33300000000000002</c:v>
                </c:pt>
                <c:pt idx="9">
                  <c:v>0.125</c:v>
                </c:pt>
                <c:pt idx="10">
                  <c:v>0</c:v>
                </c:pt>
                <c:pt idx="11">
                  <c:v>-0.125</c:v>
                </c:pt>
                <c:pt idx="12">
                  <c:v>-0.375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EA6-46D5-B2F4-AFADC0AEEFCC}"/>
            </c:ext>
          </c:extLst>
        </c:ser>
        <c:ser>
          <c:idx val="6"/>
          <c:order val="6"/>
          <c:tx>
            <c:strRef>
              <c:f>'Terminal Ascent PHP '!$I$21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 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'Terminal Ascent PHP '!$I$23:$I$35</c:f>
              <c:numCache>
                <c:formatCode>0.000</c:formatCode>
                <c:ptCount val="13"/>
                <c:pt idx="0">
                  <c:v>0.65</c:v>
                </c:pt>
                <c:pt idx="1">
                  <c:v>1.05</c:v>
                </c:pt>
                <c:pt idx="2">
                  <c:v>1.167</c:v>
                </c:pt>
                <c:pt idx="3">
                  <c:v>1.2</c:v>
                </c:pt>
                <c:pt idx="4">
                  <c:v>1.167</c:v>
                </c:pt>
                <c:pt idx="5">
                  <c:v>1.05</c:v>
                </c:pt>
                <c:pt idx="6">
                  <c:v>1</c:v>
                </c:pt>
                <c:pt idx="7">
                  <c:v>0.875</c:v>
                </c:pt>
                <c:pt idx="8">
                  <c:v>0.75</c:v>
                </c:pt>
                <c:pt idx="9">
                  <c:v>0.56699999999999995</c:v>
                </c:pt>
                <c:pt idx="10">
                  <c:v>0.375</c:v>
                </c:pt>
                <c:pt idx="11">
                  <c:v>0.25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EA6-46D5-B2F4-AFADC0AEE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16592"/>
        <c:axId val="1264912752"/>
      </c:scatterChart>
      <c:valAx>
        <c:axId val="1264916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2752"/>
        <c:crosses val="autoZero"/>
        <c:crossBetween val="midCat"/>
      </c:valAx>
      <c:valAx>
        <c:axId val="126491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Hornady Calculated at 50m zero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6356377658827906E-2"/>
          <c:y val="0.12032441200324413"/>
          <c:w val="0.72057013058755004"/>
          <c:h val="0.7946632948253731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'Terminal Ascent PHP '!$J$21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1393772105009507"/>
                  <c:y val="-0.204184659399326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 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 '!$J$22:$J$35</c:f>
              <c:numCache>
                <c:formatCode>0.00</c:formatCode>
                <c:ptCount val="14"/>
                <c:pt idx="0">
                  <c:v>-3.81</c:v>
                </c:pt>
                <c:pt idx="1">
                  <c:v>-1.7578127896786311</c:v>
                </c:pt>
                <c:pt idx="2">
                  <c:v>0</c:v>
                </c:pt>
                <c:pt idx="3">
                  <c:v>5.6193760515268378</c:v>
                </c:pt>
                <c:pt idx="4">
                  <c:v>7.4925014020357841</c:v>
                </c:pt>
                <c:pt idx="5">
                  <c:v>7.0312507415772414</c:v>
                </c:pt>
                <c:pt idx="6">
                  <c:v>0</c:v>
                </c:pt>
                <c:pt idx="7">
                  <c:v>-5.6250001483154337</c:v>
                </c:pt>
                <c:pt idx="8">
                  <c:v>-21.093755005647179</c:v>
                </c:pt>
                <c:pt idx="9">
                  <c:v>-44.955033648881447</c:v>
                </c:pt>
                <c:pt idx="10">
                  <c:v>-65.67757708912346</c:v>
                </c:pt>
                <c:pt idx="11">
                  <c:v>-112.50029663179792</c:v>
                </c:pt>
                <c:pt idx="12">
                  <c:v>-168.68329007122648</c:v>
                </c:pt>
                <c:pt idx="13">
                  <c:v>-225.00151876230197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86E-4425-8BBF-E1CC51D00301}"/>
            </c:ext>
          </c:extLst>
        </c:ser>
        <c:ser>
          <c:idx val="1"/>
          <c:order val="1"/>
          <c:tx>
            <c:strRef>
              <c:f>'Terminal Ascent PHP '!$A$78</c:f>
              <c:strCache>
                <c:ptCount val="1"/>
                <c:pt idx="0">
                  <c:v>50m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23232604524098238"/>
                  <c:y val="2.099277736268367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 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 '!$D$80:$D$100</c:f>
              <c:numCache>
                <c:formatCode>0.00</c:formatCode>
                <c:ptCount val="21"/>
                <c:pt idx="0">
                  <c:v>-3.8</c:v>
                </c:pt>
                <c:pt idx="1">
                  <c:v>-1.5</c:v>
                </c:pt>
                <c:pt idx="2">
                  <c:v>0</c:v>
                </c:pt>
                <c:pt idx="3">
                  <c:v>0.5</c:v>
                </c:pt>
                <c:pt idx="4">
                  <c:v>0</c:v>
                </c:pt>
                <c:pt idx="5">
                  <c:v>-1.6</c:v>
                </c:pt>
                <c:pt idx="6">
                  <c:v>-4.4000000000000004</c:v>
                </c:pt>
                <c:pt idx="7">
                  <c:v>-8.3000000000000007</c:v>
                </c:pt>
                <c:pt idx="8">
                  <c:v>-13.8</c:v>
                </c:pt>
                <c:pt idx="9">
                  <c:v>-20.399999999999999</c:v>
                </c:pt>
                <c:pt idx="10">
                  <c:v>-28.6</c:v>
                </c:pt>
                <c:pt idx="11">
                  <c:v>-38.799999999999997</c:v>
                </c:pt>
                <c:pt idx="12">
                  <c:v>-50.3</c:v>
                </c:pt>
                <c:pt idx="13">
                  <c:v>-63.7</c:v>
                </c:pt>
                <c:pt idx="14">
                  <c:v>-79.7</c:v>
                </c:pt>
                <c:pt idx="15">
                  <c:v>-97.4</c:v>
                </c:pt>
                <c:pt idx="16">
                  <c:v>-117.4</c:v>
                </c:pt>
                <c:pt idx="17">
                  <c:v>-140.80000000000001</c:v>
                </c:pt>
                <c:pt idx="18">
                  <c:v>-166.1</c:v>
                </c:pt>
                <c:pt idx="19">
                  <c:v>-194.4</c:v>
                </c:pt>
                <c:pt idx="20">
                  <c:v>-225.8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86E-4425-8BBF-E1CC51D00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38672"/>
        <c:axId val="1264916112"/>
      </c:scatterChart>
      <c:valAx>
        <c:axId val="1264938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112"/>
        <c:crosses val="autoZero"/>
        <c:crossBetween val="midCat"/>
        <c:majorUnit val="100"/>
        <c:minorUnit val="25"/>
      </c:valAx>
      <c:valAx>
        <c:axId val="12649161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38672"/>
        <c:crosses val="autoZero"/>
        <c:crossBetween val="midCat"/>
        <c:majorUnit val="100"/>
        <c:minorUnit val="2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'Terminal Ascent PHP '!$D$21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5.5415246083343084E-2"/>
                  <c:y val="-0.3721250121512588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 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 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-2.3437506866457491</c:v>
                </c:pt>
                <c:pt idx="2">
                  <c:v>-1.5562500502547187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-4.668750150764156</c:v>
                </c:pt>
                <c:pt idx="7">
                  <c:v>-9.3750006866455688</c:v>
                </c:pt>
                <c:pt idx="8">
                  <c:v>-29.296888411052436</c:v>
                </c:pt>
                <c:pt idx="9">
                  <c:v>-42.187527809165061</c:v>
                </c:pt>
                <c:pt idx="10">
                  <c:v>-65.62507690440502</c:v>
                </c:pt>
                <c:pt idx="11">
                  <c:v>-124.950406414542</c:v>
                </c:pt>
                <c:pt idx="12">
                  <c:v>-160.31317820046442</c:v>
                </c:pt>
                <c:pt idx="13">
                  <c:v>-234.37671662885705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67C-406D-82F9-ACC3C5C68B8C}"/>
            </c:ext>
          </c:extLst>
        </c:ser>
        <c:ser>
          <c:idx val="1"/>
          <c:order val="1"/>
          <c:tx>
            <c:strRef>
              <c:f>'Terminal Ascent PHP '!$A$102</c:f>
              <c:strCache>
                <c:ptCount val="1"/>
                <c:pt idx="0">
                  <c:v>100m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1572305449544006"/>
                  <c:y val="-0.100145086030912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 '!$A$104:$A$124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 '!$D$104:$D$124</c:f>
              <c:numCache>
                <c:formatCode>0.00</c:formatCode>
                <c:ptCount val="21"/>
                <c:pt idx="0">
                  <c:v>-3.8</c:v>
                </c:pt>
                <c:pt idx="1">
                  <c:v>-1.5</c:v>
                </c:pt>
                <c:pt idx="2">
                  <c:v>0</c:v>
                </c:pt>
                <c:pt idx="3">
                  <c:v>0.5</c:v>
                </c:pt>
                <c:pt idx="4">
                  <c:v>0</c:v>
                </c:pt>
                <c:pt idx="5">
                  <c:v>-1.6</c:v>
                </c:pt>
                <c:pt idx="6">
                  <c:v>-4.3</c:v>
                </c:pt>
                <c:pt idx="7">
                  <c:v>-8.1999999999999993</c:v>
                </c:pt>
                <c:pt idx="8">
                  <c:v>-13.7</c:v>
                </c:pt>
                <c:pt idx="9">
                  <c:v>-20.3</c:v>
                </c:pt>
                <c:pt idx="10">
                  <c:v>-28.5</c:v>
                </c:pt>
                <c:pt idx="11">
                  <c:v>-38.700000000000003</c:v>
                </c:pt>
                <c:pt idx="12">
                  <c:v>-50.2</c:v>
                </c:pt>
                <c:pt idx="13">
                  <c:v>-63.6</c:v>
                </c:pt>
                <c:pt idx="14">
                  <c:v>-79.599999999999994</c:v>
                </c:pt>
                <c:pt idx="15">
                  <c:v>-97.3</c:v>
                </c:pt>
                <c:pt idx="16">
                  <c:v>-117.2</c:v>
                </c:pt>
                <c:pt idx="17">
                  <c:v>-140.6</c:v>
                </c:pt>
                <c:pt idx="18">
                  <c:v>-165.9</c:v>
                </c:pt>
                <c:pt idx="19">
                  <c:v>-194.2</c:v>
                </c:pt>
                <c:pt idx="20">
                  <c:v>-225.6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67C-406D-82F9-ACC3C5C68B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150m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'Terminal Ascent PHP '!$E$21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9.8578818448808808E-2"/>
                  <c:y val="-0.3359830368426168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 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 '!$L$22:$L$35</c:f>
              <c:numCache>
                <c:formatCode>0.00</c:formatCode>
                <c:ptCount val="14"/>
                <c:pt idx="0">
                  <c:v>-3.81</c:v>
                </c:pt>
                <c:pt idx="1">
                  <c:v>-1.9218753785944496</c:v>
                </c:pt>
                <c:pt idx="2">
                  <c:v>0</c:v>
                </c:pt>
                <c:pt idx="3">
                  <c:v>2.552250098520334</c:v>
                </c:pt>
                <c:pt idx="4">
                  <c:v>3.4030001313604452</c:v>
                </c:pt>
                <c:pt idx="5">
                  <c:v>4.2537501642005564</c:v>
                </c:pt>
                <c:pt idx="6">
                  <c:v>0</c:v>
                </c:pt>
                <c:pt idx="7">
                  <c:v>-5.1250001121761102</c:v>
                </c:pt>
                <c:pt idx="8">
                  <c:v>-19.218753785944497</c:v>
                </c:pt>
                <c:pt idx="9">
                  <c:v>-40.959025449812941</c:v>
                </c:pt>
                <c:pt idx="10">
                  <c:v>-59.839558305165511</c:v>
                </c:pt>
                <c:pt idx="11">
                  <c:v>-102.50022435280283</c:v>
                </c:pt>
                <c:pt idx="12">
                  <c:v>-153.6890975577175</c:v>
                </c:pt>
                <c:pt idx="13">
                  <c:v>-205.0011486910571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759-465F-8D40-DA6CB9666C7C}"/>
            </c:ext>
          </c:extLst>
        </c:ser>
        <c:ser>
          <c:idx val="1"/>
          <c:order val="1"/>
          <c:tx>
            <c:strRef>
              <c:f>'Terminal Ascent PHP '!$A$126</c:f>
              <c:strCache>
                <c:ptCount val="1"/>
                <c:pt idx="0">
                  <c:v>150m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4776937505165413"/>
                  <c:y val="-0.1796609798775153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 '!$A$128:$A$148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 '!$D$128:$D$148</c:f>
              <c:numCache>
                <c:formatCode>0.00</c:formatCode>
                <c:ptCount val="21"/>
                <c:pt idx="0">
                  <c:v>-3.8</c:v>
                </c:pt>
                <c:pt idx="1">
                  <c:v>-0.8</c:v>
                </c:pt>
                <c:pt idx="2">
                  <c:v>1.5</c:v>
                </c:pt>
                <c:pt idx="3">
                  <c:v>2.7</c:v>
                </c:pt>
                <c:pt idx="4">
                  <c:v>2.9</c:v>
                </c:pt>
                <c:pt idx="5">
                  <c:v>2</c:v>
                </c:pt>
                <c:pt idx="6">
                  <c:v>0</c:v>
                </c:pt>
                <c:pt idx="7">
                  <c:v>-3.2</c:v>
                </c:pt>
                <c:pt idx="8">
                  <c:v>-7.9</c:v>
                </c:pt>
                <c:pt idx="9">
                  <c:v>-13.9</c:v>
                </c:pt>
                <c:pt idx="10">
                  <c:v>-21.3</c:v>
                </c:pt>
                <c:pt idx="11">
                  <c:v>-30.7</c:v>
                </c:pt>
                <c:pt idx="12">
                  <c:v>-41.6</c:v>
                </c:pt>
                <c:pt idx="13">
                  <c:v>-54.3</c:v>
                </c:pt>
                <c:pt idx="14">
                  <c:v>-69.599999999999994</c:v>
                </c:pt>
                <c:pt idx="15">
                  <c:v>-86.5</c:v>
                </c:pt>
                <c:pt idx="16">
                  <c:v>-105.8</c:v>
                </c:pt>
                <c:pt idx="17">
                  <c:v>-128.4</c:v>
                </c:pt>
                <c:pt idx="18">
                  <c:v>-153</c:v>
                </c:pt>
                <c:pt idx="19">
                  <c:v>-180.6</c:v>
                </c:pt>
                <c:pt idx="20">
                  <c:v>-211.3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759-465F-8D40-DA6CB9666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200m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'Terminal Ascent PHP '!$M$21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8.1761998790187376E-2"/>
                  <c:y val="-0.3680375716924273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 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 '!$M$22:$M$35</c:f>
              <c:numCache>
                <c:formatCode>0.00</c:formatCode>
                <c:ptCount val="14"/>
                <c:pt idx="0">
                  <c:v>-3.81</c:v>
                </c:pt>
                <c:pt idx="1">
                  <c:v>-1.3281251249440653</c:v>
                </c:pt>
                <c:pt idx="2">
                  <c:v>1.763750073155981</c:v>
                </c:pt>
                <c:pt idx="3">
                  <c:v>3.9843753748321964</c:v>
                </c:pt>
                <c:pt idx="4">
                  <c:v>5.3125004997762613</c:v>
                </c:pt>
                <c:pt idx="5">
                  <c:v>6.640625624720327</c:v>
                </c:pt>
                <c:pt idx="6">
                  <c:v>7.9687507496643928</c:v>
                </c:pt>
                <c:pt idx="7">
                  <c:v>0</c:v>
                </c:pt>
                <c:pt idx="8">
                  <c:v>-13.281251249440654</c:v>
                </c:pt>
                <c:pt idx="9">
                  <c:v>-31.875011994634324</c:v>
                </c:pt>
                <c:pt idx="10">
                  <c:v>-55.781297228899298</c:v>
                </c:pt>
                <c:pt idx="11">
                  <c:v>-99.110202820690802</c:v>
                </c:pt>
                <c:pt idx="12">
                  <c:v>-133.87539496053887</c:v>
                </c:pt>
                <c:pt idx="13">
                  <c:v>-185.93835712093184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741-4DF7-876A-A4978BB042F6}"/>
            </c:ext>
          </c:extLst>
        </c:ser>
        <c:ser>
          <c:idx val="1"/>
          <c:order val="1"/>
          <c:tx>
            <c:strRef>
              <c:f>'Terminal Ascent PHP '!$A$150</c:f>
              <c:strCache>
                <c:ptCount val="1"/>
                <c:pt idx="0">
                  <c:v>200m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8691756749101979"/>
                  <c:y val="-0.2124227179935841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 '!$A$152:$A$172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 '!$D$152:$D$172</c:f>
              <c:numCache>
                <c:formatCode>0.00</c:formatCode>
                <c:ptCount val="21"/>
                <c:pt idx="0">
                  <c:v>-3.8</c:v>
                </c:pt>
                <c:pt idx="1">
                  <c:v>0.2</c:v>
                </c:pt>
                <c:pt idx="2">
                  <c:v>3.5</c:v>
                </c:pt>
                <c:pt idx="3">
                  <c:v>5.6</c:v>
                </c:pt>
                <c:pt idx="4">
                  <c:v>6.8</c:v>
                </c:pt>
                <c:pt idx="5">
                  <c:v>7</c:v>
                </c:pt>
                <c:pt idx="6">
                  <c:v>5.9</c:v>
                </c:pt>
                <c:pt idx="7">
                  <c:v>3.7</c:v>
                </c:pt>
                <c:pt idx="8">
                  <c:v>0</c:v>
                </c:pt>
                <c:pt idx="9">
                  <c:v>-5</c:v>
                </c:pt>
                <c:pt idx="10">
                  <c:v>-11.5</c:v>
                </c:pt>
                <c:pt idx="11">
                  <c:v>-19.899999999999999</c:v>
                </c:pt>
                <c:pt idx="12">
                  <c:v>-29.7</c:v>
                </c:pt>
                <c:pt idx="13">
                  <c:v>-41.4</c:v>
                </c:pt>
                <c:pt idx="14">
                  <c:v>-55.7</c:v>
                </c:pt>
                <c:pt idx="15">
                  <c:v>-71.7</c:v>
                </c:pt>
                <c:pt idx="16">
                  <c:v>-90</c:v>
                </c:pt>
                <c:pt idx="17">
                  <c:v>-111.6</c:v>
                </c:pt>
                <c:pt idx="18">
                  <c:v>-135.19999999999999</c:v>
                </c:pt>
                <c:pt idx="19">
                  <c:v>-161.80000000000001</c:v>
                </c:pt>
                <c:pt idx="20">
                  <c:v>-191.6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741-4DF7-876A-A4978BB042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300m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'Terminal Ascent PHP '!$N$21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0173712862189166"/>
                  <c:y val="-0.3010741712841450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 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 '!$N$22:$N$35</c:f>
              <c:numCache>
                <c:formatCode>0.00</c:formatCode>
                <c:ptCount val="14"/>
                <c:pt idx="0">
                  <c:v>-3.81</c:v>
                </c:pt>
                <c:pt idx="1">
                  <c:v>1.2500001041666768</c:v>
                </c:pt>
                <c:pt idx="2">
                  <c:v>6.6600039387800765</c:v>
                </c:pt>
                <c:pt idx="3">
                  <c:v>11.250008437507594</c:v>
                </c:pt>
                <c:pt idx="4">
                  <c:v>15.200011706037486</c:v>
                </c:pt>
                <c:pt idx="5">
                  <c:v>19.000014632546858</c:v>
                </c:pt>
                <c:pt idx="6">
                  <c:v>22.800017559056229</c:v>
                </c:pt>
                <c:pt idx="7">
                  <c:v>20.000006666669336</c:v>
                </c:pt>
                <c:pt idx="8">
                  <c:v>12.500001041666769</c:v>
                </c:pt>
                <c:pt idx="9">
                  <c:v>0</c:v>
                </c:pt>
                <c:pt idx="10">
                  <c:v>-17.500001458333479</c:v>
                </c:pt>
                <c:pt idx="11">
                  <c:v>-53.280031510240612</c:v>
                </c:pt>
                <c:pt idx="12">
                  <c:v>-90.000120000191998</c:v>
                </c:pt>
                <c:pt idx="13">
                  <c:v>-133.40031652459513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7F4-4EBB-B43A-0BDC8981AAEB}"/>
            </c:ext>
          </c:extLst>
        </c:ser>
        <c:ser>
          <c:idx val="1"/>
          <c:order val="1"/>
          <c:tx>
            <c:strRef>
              <c:f>'Terminal Ascent PHP '!$A$174</c:f>
              <c:strCache>
                <c:ptCount val="1"/>
                <c:pt idx="0">
                  <c:v>300m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23258053089950581"/>
                  <c:y val="-0.1484186351706036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 '!$A$176:$A$196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 '!$D$176:$D$196</c:f>
              <c:numCache>
                <c:formatCode>0.00</c:formatCode>
                <c:ptCount val="21"/>
                <c:pt idx="0">
                  <c:v>-3.8</c:v>
                </c:pt>
                <c:pt idx="1">
                  <c:v>2.7</c:v>
                </c:pt>
                <c:pt idx="2">
                  <c:v>8.5</c:v>
                </c:pt>
                <c:pt idx="3">
                  <c:v>13.1</c:v>
                </c:pt>
                <c:pt idx="4">
                  <c:v>16.7</c:v>
                </c:pt>
                <c:pt idx="5">
                  <c:v>19.399999999999999</c:v>
                </c:pt>
                <c:pt idx="6">
                  <c:v>20.8</c:v>
                </c:pt>
                <c:pt idx="7">
                  <c:v>21</c:v>
                </c:pt>
                <c:pt idx="8">
                  <c:v>19.899999999999999</c:v>
                </c:pt>
                <c:pt idx="9">
                  <c:v>17.3</c:v>
                </c:pt>
                <c:pt idx="10">
                  <c:v>13.3</c:v>
                </c:pt>
                <c:pt idx="11">
                  <c:v>7.4</c:v>
                </c:pt>
                <c:pt idx="12">
                  <c:v>0</c:v>
                </c:pt>
                <c:pt idx="13">
                  <c:v>-9.1999999999999993</c:v>
                </c:pt>
                <c:pt idx="14">
                  <c:v>-21</c:v>
                </c:pt>
                <c:pt idx="15">
                  <c:v>-34.5</c:v>
                </c:pt>
                <c:pt idx="16">
                  <c:v>-50.3</c:v>
                </c:pt>
                <c:pt idx="17">
                  <c:v>-69.400000000000006</c:v>
                </c:pt>
                <c:pt idx="18">
                  <c:v>-90.6</c:v>
                </c:pt>
                <c:pt idx="19">
                  <c:v>-114.7</c:v>
                </c:pt>
                <c:pt idx="20">
                  <c:v>-142.1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7F4-4EBB-B43A-0BDC8981AA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400m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'Terminal Ascent PHP '!$O$21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9497036203601747"/>
                  <c:y val="-0.1583909303003791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 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 '!$O$22:$O$35</c:f>
              <c:numCache>
                <c:formatCode>0.00</c:formatCode>
                <c:ptCount val="14"/>
                <c:pt idx="0">
                  <c:v>-3.81</c:v>
                </c:pt>
                <c:pt idx="1">
                  <c:v>4.1250037434415763</c:v>
                </c:pt>
                <c:pt idx="2">
                  <c:v>12.500026041731772</c:v>
                </c:pt>
                <c:pt idx="3">
                  <c:v>20.010047478689266</c:v>
                </c:pt>
                <c:pt idx="4">
                  <c:v>26.68006330491902</c:v>
                </c:pt>
                <c:pt idx="5">
                  <c:v>34.375086653907957</c:v>
                </c:pt>
                <c:pt idx="6">
                  <c:v>41.250103984689545</c:v>
                </c:pt>
                <c:pt idx="7">
                  <c:v>46.640084546439695</c:v>
                </c:pt>
                <c:pt idx="8">
                  <c:v>41.700038672956637</c:v>
                </c:pt>
                <c:pt idx="9">
                  <c:v>39.960023632680461</c:v>
                </c:pt>
                <c:pt idx="10">
                  <c:v>17.500001458333479</c:v>
                </c:pt>
                <c:pt idx="11">
                  <c:v>0</c:v>
                </c:pt>
                <c:pt idx="12">
                  <c:v>-22.500001875000187</c:v>
                </c:pt>
                <c:pt idx="13">
                  <c:v>-75.000056250050633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350-4C5C-A35D-8401A01716FE}"/>
            </c:ext>
          </c:extLst>
        </c:ser>
        <c:ser>
          <c:idx val="1"/>
          <c:order val="1"/>
          <c:tx>
            <c:strRef>
              <c:f>'Terminal Ascent PHP '!$A$198</c:f>
              <c:strCache>
                <c:ptCount val="1"/>
                <c:pt idx="0">
                  <c:v>400m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8935986962025786"/>
                  <c:y val="-0.62377588218139401"/>
                </c:manualLayout>
              </c:layout>
              <c:numFmt formatCode="General" sourceLinked="0"/>
              <c:spPr>
                <a:noFill/>
                <a:ln>
                  <a:solidFill>
                    <a:srgbClr val="E97132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 '!$A$200:$A$220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 '!$D$200:$D$220</c:f>
              <c:numCache>
                <c:formatCode>0.00</c:formatCode>
                <c:ptCount val="21"/>
                <c:pt idx="0">
                  <c:v>-3.8</c:v>
                </c:pt>
                <c:pt idx="1">
                  <c:v>5.8</c:v>
                </c:pt>
                <c:pt idx="2">
                  <c:v>14.9</c:v>
                </c:pt>
                <c:pt idx="3">
                  <c:v>22.6</c:v>
                </c:pt>
                <c:pt idx="4">
                  <c:v>29.4</c:v>
                </c:pt>
                <c:pt idx="5">
                  <c:v>35.299999999999997</c:v>
                </c:pt>
                <c:pt idx="6">
                  <c:v>39.799999999999997</c:v>
                </c:pt>
                <c:pt idx="7">
                  <c:v>43.2</c:v>
                </c:pt>
                <c:pt idx="8">
                  <c:v>45.3</c:v>
                </c:pt>
                <c:pt idx="9">
                  <c:v>45.9</c:v>
                </c:pt>
                <c:pt idx="10">
                  <c:v>45</c:v>
                </c:pt>
                <c:pt idx="11">
                  <c:v>42.4</c:v>
                </c:pt>
                <c:pt idx="12">
                  <c:v>38.1</c:v>
                </c:pt>
                <c:pt idx="13">
                  <c:v>31.9</c:v>
                </c:pt>
                <c:pt idx="14">
                  <c:v>23.4</c:v>
                </c:pt>
                <c:pt idx="15">
                  <c:v>13.1</c:v>
                </c:pt>
                <c:pt idx="16">
                  <c:v>0.3</c:v>
                </c:pt>
                <c:pt idx="17">
                  <c:v>-15.5</c:v>
                </c:pt>
                <c:pt idx="18">
                  <c:v>-33.6</c:v>
                </c:pt>
                <c:pt idx="19">
                  <c:v>-54.6</c:v>
                </c:pt>
                <c:pt idx="20">
                  <c:v>-78.8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350-4C5C-A35D-8401A01716FE}"/>
            </c:ext>
          </c:extLst>
        </c:ser>
        <c:ser>
          <c:idx val="2"/>
          <c:order val="2"/>
          <c:tx>
            <c:strRef>
              <c:f>'Terminal Ascent PHP '!$H$198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'Terminal Ascent PHP '!$H$200:$H$220</c:f>
              <c:numCache>
                <c:formatCode>0.00</c:formatCode>
                <c:ptCount val="21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-2</c:v>
                </c:pt>
                <c:pt idx="4">
                  <c:v>-2</c:v>
                </c:pt>
                <c:pt idx="5">
                  <c:v>-3</c:v>
                </c:pt>
                <c:pt idx="6">
                  <c:v>-4</c:v>
                </c:pt>
                <c:pt idx="7">
                  <c:v>-4</c:v>
                </c:pt>
                <c:pt idx="8">
                  <c:v>-5</c:v>
                </c:pt>
                <c:pt idx="9">
                  <c:v>-6</c:v>
                </c:pt>
                <c:pt idx="10">
                  <c:v>-6</c:v>
                </c:pt>
                <c:pt idx="11">
                  <c:v>-7</c:v>
                </c:pt>
                <c:pt idx="12">
                  <c:v>-8</c:v>
                </c:pt>
                <c:pt idx="13">
                  <c:v>-9</c:v>
                </c:pt>
                <c:pt idx="14">
                  <c:v>-10</c:v>
                </c:pt>
                <c:pt idx="15">
                  <c:v>-10</c:v>
                </c:pt>
                <c:pt idx="16">
                  <c:v>-11</c:v>
                </c:pt>
                <c:pt idx="17">
                  <c:v>-12</c:v>
                </c:pt>
                <c:pt idx="18">
                  <c:v>-13</c:v>
                </c:pt>
                <c:pt idx="19">
                  <c:v>-14</c:v>
                </c:pt>
                <c:pt idx="20">
                  <c:v>-15</c:v>
                </c:pt>
              </c:numCache>
            </c:numRef>
          </c:xVal>
          <c:yVal>
            <c:numRef>
              <c:f>'Terminal Ascent PHP '!$K$200:$K$220</c:f>
              <c:numCache>
                <c:formatCode>0.00</c:formatCode>
                <c:ptCount val="2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350-4C5C-A35D-8401A01716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500m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'Terminal Ascent PHP '!$P$21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6.0679096371814512E-2"/>
                  <c:y val="-0.6075780110819480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 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 '!$P$22:$P$35</c:f>
              <c:numCache>
                <c:formatCode>0.00</c:formatCode>
                <c:ptCount val="14"/>
                <c:pt idx="0">
                  <c:v>-3.81</c:v>
                </c:pt>
                <c:pt idx="1">
                  <c:v>6.5000146467062718</c:v>
                </c:pt>
                <c:pt idx="2">
                  <c:v>21.000123480871284</c:v>
                </c:pt>
                <c:pt idx="3">
                  <c:v>35.010254294130526</c:v>
                </c:pt>
                <c:pt idx="4">
                  <c:v>48.000368643397415</c:v>
                </c:pt>
                <c:pt idx="5">
                  <c:v>58.350423823550877</c:v>
                </c:pt>
                <c:pt idx="6">
                  <c:v>63.000370442613864</c:v>
                </c:pt>
                <c:pt idx="7">
                  <c:v>80.000426669397356</c:v>
                </c:pt>
                <c:pt idx="8">
                  <c:v>87.500357293417409</c:v>
                </c:pt>
                <c:pt idx="9">
                  <c:v>90.000270000972023</c:v>
                </c:pt>
                <c:pt idx="10">
                  <c:v>79.380136105863073</c:v>
                </c:pt>
                <c:pt idx="11">
                  <c:v>60.000045000040501</c:v>
                </c:pt>
                <c:pt idx="12">
                  <c:v>45.000015000006002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AB-4E77-A52B-A5E49B7A647A}"/>
            </c:ext>
          </c:extLst>
        </c:ser>
        <c:ser>
          <c:idx val="1"/>
          <c:order val="1"/>
          <c:tx>
            <c:strRef>
              <c:f>'Terminal Ascent PHP '!$A$222</c:f>
              <c:strCache>
                <c:ptCount val="1"/>
                <c:pt idx="0">
                  <c:v>500m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8.9867021878468387E-2"/>
                  <c:y val="-0.2084903275979391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rgbClr val="C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 '!$A$224:$A$244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 '!$D$224:$D$244</c:f>
              <c:numCache>
                <c:formatCode>0.00</c:formatCode>
                <c:ptCount val="21"/>
                <c:pt idx="0">
                  <c:v>-3.8</c:v>
                </c:pt>
                <c:pt idx="1">
                  <c:v>9.8000000000000007</c:v>
                </c:pt>
                <c:pt idx="2">
                  <c:v>22.9</c:v>
                </c:pt>
                <c:pt idx="3">
                  <c:v>34.6</c:v>
                </c:pt>
                <c:pt idx="4">
                  <c:v>45.3</c:v>
                </c:pt>
                <c:pt idx="5">
                  <c:v>55.3</c:v>
                </c:pt>
                <c:pt idx="6">
                  <c:v>63.7</c:v>
                </c:pt>
                <c:pt idx="7">
                  <c:v>71</c:v>
                </c:pt>
                <c:pt idx="8">
                  <c:v>77.2</c:v>
                </c:pt>
                <c:pt idx="9">
                  <c:v>81.7</c:v>
                </c:pt>
                <c:pt idx="10">
                  <c:v>84.7</c:v>
                </c:pt>
                <c:pt idx="11">
                  <c:v>86.2</c:v>
                </c:pt>
                <c:pt idx="12">
                  <c:v>85.8</c:v>
                </c:pt>
                <c:pt idx="13">
                  <c:v>83.6</c:v>
                </c:pt>
                <c:pt idx="14">
                  <c:v>79.2</c:v>
                </c:pt>
                <c:pt idx="15">
                  <c:v>72.8</c:v>
                </c:pt>
                <c:pt idx="16">
                  <c:v>64</c:v>
                </c:pt>
                <c:pt idx="17">
                  <c:v>52.2</c:v>
                </c:pt>
                <c:pt idx="18">
                  <c:v>38.1</c:v>
                </c:pt>
                <c:pt idx="19">
                  <c:v>21</c:v>
                </c:pt>
                <c:pt idx="20">
                  <c:v>0.7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7AB-4E77-A52B-A5E49B7A64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428764178473403E-2"/>
          <c:y val="9.4738228392828971E-2"/>
          <c:w val="0.90596628187799444"/>
          <c:h val="0.7543384992070337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'Terminal Ascent PHP '!$L$256</c:f>
              <c:strCache>
                <c:ptCount val="1"/>
                <c:pt idx="0">
                  <c:v>Energy Difference(Measured-HG1)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-3.2671895956554606E-2"/>
                  <c:y val="-0.1479598972389935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 '!$A$258:$A$280</c:f>
              <c:numCache>
                <c:formatCode>0.00</c:formatCode>
                <c:ptCount val="2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145</c:v>
                </c:pt>
                <c:pt idx="6">
                  <c:v>150</c:v>
                </c:pt>
                <c:pt idx="7">
                  <c:v>163.4</c:v>
                </c:pt>
                <c:pt idx="8">
                  <c:v>175</c:v>
                </c:pt>
                <c:pt idx="9">
                  <c:v>200</c:v>
                </c:pt>
                <c:pt idx="10">
                  <c:v>225</c:v>
                </c:pt>
                <c:pt idx="11">
                  <c:v>247.4</c:v>
                </c:pt>
                <c:pt idx="12">
                  <c:v>250</c:v>
                </c:pt>
                <c:pt idx="13">
                  <c:v>275</c:v>
                </c:pt>
                <c:pt idx="14">
                  <c:v>300</c:v>
                </c:pt>
                <c:pt idx="15">
                  <c:v>325</c:v>
                </c:pt>
                <c:pt idx="16">
                  <c:v>350</c:v>
                </c:pt>
                <c:pt idx="17">
                  <c:v>375</c:v>
                </c:pt>
                <c:pt idx="18">
                  <c:v>400</c:v>
                </c:pt>
                <c:pt idx="19">
                  <c:v>425</c:v>
                </c:pt>
                <c:pt idx="20">
                  <c:v>450</c:v>
                </c:pt>
                <c:pt idx="21">
                  <c:v>475</c:v>
                </c:pt>
                <c:pt idx="22">
                  <c:v>500</c:v>
                </c:pt>
              </c:numCache>
            </c:numRef>
          </c:xVal>
          <c:yVal>
            <c:numRef>
              <c:f>'Terminal Ascent PHP '!$L$258:$L$280</c:f>
              <c:numCache>
                <c:formatCode>0.00</c:formatCode>
                <c:ptCount val="23"/>
                <c:pt idx="0">
                  <c:v>28.588242514424564</c:v>
                </c:pt>
                <c:pt idx="1">
                  <c:v>25.090554181074367</c:v>
                </c:pt>
                <c:pt idx="2">
                  <c:v>21.204626451428794</c:v>
                </c:pt>
                <c:pt idx="3">
                  <c:v>17.026653478921617</c:v>
                </c:pt>
                <c:pt idx="4">
                  <c:v>12.652829416985242</c:v>
                </c:pt>
                <c:pt idx="5">
                  <c:v>9.0773998541531</c:v>
                </c:pt>
                <c:pt idx="6">
                  <c:v>8.179348419051621</c:v>
                </c:pt>
                <c:pt idx="7">
                  <c:v>5.774012645734274</c:v>
                </c:pt>
                <c:pt idx="8">
                  <c:v>3.7024046385536167</c:v>
                </c:pt>
                <c:pt idx="9">
                  <c:v>0.68180777107500035</c:v>
                </c:pt>
                <c:pt idx="10">
                  <c:v>4.8770946564027327</c:v>
                </c:pt>
                <c:pt idx="11">
                  <c:v>8.3967213173255004</c:v>
                </c:pt>
                <c:pt idx="12">
                  <c:v>8.7872618639967186</c:v>
                </c:pt>
                <c:pt idx="13">
                  <c:v>12.316115240423642</c:v>
                </c:pt>
                <c:pt idx="14">
                  <c:v>15.367460632252005</c:v>
                </c:pt>
                <c:pt idx="15">
                  <c:v>17.845103886048946</c:v>
                </c:pt>
                <c:pt idx="16">
                  <c:v>19.652850848380695</c:v>
                </c:pt>
                <c:pt idx="17">
                  <c:v>20.69450736581507</c:v>
                </c:pt>
                <c:pt idx="18">
                  <c:v>20.873879284920577</c:v>
                </c:pt>
                <c:pt idx="19">
                  <c:v>20.094772452262305</c:v>
                </c:pt>
                <c:pt idx="20">
                  <c:v>18.260992714409667</c:v>
                </c:pt>
                <c:pt idx="21">
                  <c:v>15.276345917929348</c:v>
                </c:pt>
                <c:pt idx="22">
                  <c:v>11.04463790938803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3D0-4734-A547-F7E00B8E66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6804031"/>
        <c:axId val="816805951"/>
      </c:scatterChart>
      <c:valAx>
        <c:axId val="816804031"/>
        <c:scaling>
          <c:orientation val="minMax"/>
          <c:min val="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6805951"/>
        <c:crosses val="autoZero"/>
        <c:crossBetween val="midCat"/>
      </c:valAx>
      <c:valAx>
        <c:axId val="816805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Delta</a:t>
                </a:r>
                <a:r>
                  <a:rPr lang="en-CA" baseline="0"/>
                  <a:t> E(J)</a:t>
                </a:r>
                <a:endParaRPr lang="en-CA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68040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Measured</a:t>
            </a:r>
            <a:r>
              <a:rPr lang="en-CA" baseline="0"/>
              <a:t> Energy vs Range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311044788756243"/>
          <c:y val="0.13171460936233578"/>
          <c:w val="0.70888493776987549"/>
          <c:h val="0.79879324480188618"/>
        </c:manualLayout>
      </c:layout>
      <c:scatterChart>
        <c:scatterStyle val="smoothMarker"/>
        <c:varyColors val="0"/>
        <c:ser>
          <c:idx val="0"/>
          <c:order val="0"/>
          <c:tx>
            <c:v>Measured Energy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1.6593324019981374E-2"/>
                  <c:y val="-8.725486933662129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SP'!$B$22:$B$35</c:f>
              <c:numCache>
                <c:formatCode>0.00</c:formatCode>
                <c:ptCount val="14"/>
                <c:pt idx="0">
                  <c:v>4480.1000000000004</c:v>
                </c:pt>
                <c:pt idx="1">
                  <c:v>4396.7</c:v>
                </c:pt>
                <c:pt idx="2">
                  <c:v>4306.3</c:v>
                </c:pt>
                <c:pt idx="3">
                  <c:v>4218.5</c:v>
                </c:pt>
                <c:pt idx="4">
                  <c:v>4115.8999999999996</c:v>
                </c:pt>
                <c:pt idx="5">
                  <c:v>4032.6</c:v>
                </c:pt>
                <c:pt idx="6">
                  <c:v>3935.5</c:v>
                </c:pt>
                <c:pt idx="7">
                  <c:v>3765.3</c:v>
                </c:pt>
                <c:pt idx="8">
                  <c:v>3589.5</c:v>
                </c:pt>
                <c:pt idx="9">
                  <c:v>3437.3</c:v>
                </c:pt>
                <c:pt idx="10">
                  <c:v>3280.5</c:v>
                </c:pt>
                <c:pt idx="11">
                  <c:v>3120.8</c:v>
                </c:pt>
                <c:pt idx="12">
                  <c:v>2982.4</c:v>
                </c:pt>
                <c:pt idx="13">
                  <c:v>2841.5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60F-48FA-B84C-E6FD606F265E}"/>
            </c:ext>
          </c:extLst>
        </c:ser>
        <c:ser>
          <c:idx val="1"/>
          <c:order val="1"/>
          <c:tx>
            <c:strRef>
              <c:f>'Power-Shok SP'!$A$78</c:f>
              <c:strCache>
                <c:ptCount val="1"/>
                <c:pt idx="0">
                  <c:v>50m zero(G1 BC)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1.1216979933959868E-2"/>
                  <c:y val="9.856386946291687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'Power-Shok SP'!$C$80:$C$100</c:f>
              <c:numCache>
                <c:formatCode>0.00</c:formatCode>
                <c:ptCount val="21"/>
                <c:pt idx="0">
                  <c:v>4482</c:v>
                </c:pt>
                <c:pt idx="1">
                  <c:v>4282</c:v>
                </c:pt>
                <c:pt idx="2">
                  <c:v>4092</c:v>
                </c:pt>
                <c:pt idx="3">
                  <c:v>3909</c:v>
                </c:pt>
                <c:pt idx="4">
                  <c:v>3733</c:v>
                </c:pt>
                <c:pt idx="5">
                  <c:v>3564</c:v>
                </c:pt>
                <c:pt idx="6">
                  <c:v>3401</c:v>
                </c:pt>
                <c:pt idx="7">
                  <c:v>3244</c:v>
                </c:pt>
                <c:pt idx="8">
                  <c:v>3093</c:v>
                </c:pt>
                <c:pt idx="9">
                  <c:v>2947</c:v>
                </c:pt>
                <c:pt idx="10">
                  <c:v>2807</c:v>
                </c:pt>
                <c:pt idx="11">
                  <c:v>2672</c:v>
                </c:pt>
                <c:pt idx="12">
                  <c:v>2543</c:v>
                </c:pt>
                <c:pt idx="13">
                  <c:v>2418</c:v>
                </c:pt>
                <c:pt idx="14">
                  <c:v>2298</c:v>
                </c:pt>
                <c:pt idx="15">
                  <c:v>2182</c:v>
                </c:pt>
                <c:pt idx="16">
                  <c:v>2072</c:v>
                </c:pt>
                <c:pt idx="17">
                  <c:v>1965</c:v>
                </c:pt>
                <c:pt idx="18">
                  <c:v>1863</c:v>
                </c:pt>
                <c:pt idx="19">
                  <c:v>1765</c:v>
                </c:pt>
                <c:pt idx="20">
                  <c:v>1676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60F-48FA-B84C-E6FD606F265E}"/>
            </c:ext>
          </c:extLst>
        </c:ser>
        <c:ser>
          <c:idx val="2"/>
          <c:order val="2"/>
          <c:tx>
            <c:strRef>
              <c:f>'Power-Shok SP'!$K$78</c:f>
              <c:strCache>
                <c:ptCount val="1"/>
                <c:pt idx="0">
                  <c:v>50m Zero(G7 BC)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'Power-Shok SP'!$K$80:$K$100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'Power-Shok SP'!$M$80:$M$100</c:f>
              <c:numCache>
                <c:formatCode>0.00</c:formatCode>
                <c:ptCount val="21"/>
                <c:pt idx="0">
                  <c:v>4482</c:v>
                </c:pt>
                <c:pt idx="1">
                  <c:v>4384</c:v>
                </c:pt>
                <c:pt idx="2">
                  <c:v>4288</c:v>
                </c:pt>
                <c:pt idx="3">
                  <c:v>4194</c:v>
                </c:pt>
                <c:pt idx="4">
                  <c:v>4101</c:v>
                </c:pt>
                <c:pt idx="5">
                  <c:v>4010</c:v>
                </c:pt>
                <c:pt idx="6">
                  <c:v>3920</c:v>
                </c:pt>
                <c:pt idx="7">
                  <c:v>3833</c:v>
                </c:pt>
                <c:pt idx="8">
                  <c:v>3746</c:v>
                </c:pt>
                <c:pt idx="9">
                  <c:v>3662</c:v>
                </c:pt>
                <c:pt idx="10">
                  <c:v>3578</c:v>
                </c:pt>
                <c:pt idx="11">
                  <c:v>3497</c:v>
                </c:pt>
                <c:pt idx="12">
                  <c:v>3416</c:v>
                </c:pt>
                <c:pt idx="13">
                  <c:v>3337</c:v>
                </c:pt>
                <c:pt idx="14">
                  <c:v>3260</c:v>
                </c:pt>
                <c:pt idx="15">
                  <c:v>3184</c:v>
                </c:pt>
                <c:pt idx="16">
                  <c:v>3109</c:v>
                </c:pt>
                <c:pt idx="17">
                  <c:v>3035</c:v>
                </c:pt>
                <c:pt idx="18">
                  <c:v>2963</c:v>
                </c:pt>
                <c:pt idx="19">
                  <c:v>2892</c:v>
                </c:pt>
                <c:pt idx="20">
                  <c:v>2826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16F-45BC-ACCC-638347C21E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793088"/>
        <c:axId val="538794048"/>
      </c:scatterChart>
      <c:valAx>
        <c:axId val="538793088"/>
        <c:scaling>
          <c:orientation val="minMax"/>
          <c:max val="5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4048"/>
        <c:crosses val="autoZero"/>
        <c:crossBetween val="midCat"/>
        <c:majorUnit val="50"/>
        <c:minorUnit val="25"/>
      </c:valAx>
      <c:valAx>
        <c:axId val="538794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Energy(J)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3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Trajectory(cm)</a:t>
            </a:r>
            <a:r>
              <a:rPr lang="en-CA" baseline="0"/>
              <a:t> for each zero setting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'Power-Shok SP'!$J$21</c:f>
              <c:strCache>
                <c:ptCount val="1"/>
                <c:pt idx="0">
                  <c:v>50m zero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SP'!$J$22:$J$35</c:f>
              <c:numCache>
                <c:formatCode>0.00</c:formatCode>
                <c:ptCount val="14"/>
                <c:pt idx="0">
                  <c:v>-3.81</c:v>
                </c:pt>
                <c:pt idx="1">
                  <c:v>-2.65625099955286</c:v>
                </c:pt>
                <c:pt idx="2">
                  <c:v>0</c:v>
                </c:pt>
                <c:pt idx="3">
                  <c:v>3.1875001919140762</c:v>
                </c:pt>
                <c:pt idx="4">
                  <c:v>5.3125004997762613</c:v>
                </c:pt>
                <c:pt idx="5">
                  <c:v>6.640625624720327</c:v>
                </c:pt>
                <c:pt idx="6">
                  <c:v>7.9687507496643928</c:v>
                </c:pt>
                <c:pt idx="7">
                  <c:v>8.500000511770871</c:v>
                </c:pt>
                <c:pt idx="8">
                  <c:v>-2.656250009995524</c:v>
                </c:pt>
                <c:pt idx="9">
                  <c:v>-15.937501499328786</c:v>
                </c:pt>
                <c:pt idx="10">
                  <c:v>-27.890630903607917</c:v>
                </c:pt>
                <c:pt idx="11">
                  <c:v>-42.500015992845761</c:v>
                </c:pt>
                <c:pt idx="12">
                  <c:v>-71.718810722870529</c:v>
                </c:pt>
                <c:pt idx="13">
                  <c:v>-95.625116587963561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01A-49DF-9E05-061F28355714}"/>
            </c:ext>
          </c:extLst>
        </c:ser>
        <c:ser>
          <c:idx val="1"/>
          <c:order val="1"/>
          <c:tx>
            <c:strRef>
              <c:f>'Power-Shok SP'!$K$21</c:f>
              <c:strCache>
                <c:ptCount val="1"/>
                <c:pt idx="0">
                  <c:v>100m zero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5737087044509687"/>
                  <c:y val="5.244559374727605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-3.7500028125025313</c:v>
                </c:pt>
                <c:pt idx="2">
                  <c:v>-1.5000000450000013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-8.0000004266666931</c:v>
                </c:pt>
                <c:pt idx="8">
                  <c:v>-18.750003515625792</c:v>
                </c:pt>
                <c:pt idx="9">
                  <c:v>-22.500004218750952</c:v>
                </c:pt>
                <c:pt idx="10">
                  <c:v>-36.400013123419015</c:v>
                </c:pt>
                <c:pt idx="11">
                  <c:v>-60.000045000040501</c:v>
                </c:pt>
                <c:pt idx="12">
                  <c:v>-85.500102885148564</c:v>
                </c:pt>
                <c:pt idx="13">
                  <c:v>-110.00017746701025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01A-49DF-9E05-061F28355714}"/>
            </c:ext>
          </c:extLst>
        </c:ser>
        <c:ser>
          <c:idx val="2"/>
          <c:order val="2"/>
          <c:tx>
            <c:strRef>
              <c:f>'Power-Shok SP'!$L$21</c:f>
              <c:strCache>
                <c:ptCount val="1"/>
                <c:pt idx="0">
                  <c:v>150m zero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753195865819113"/>
                  <c:y val="1.070130071379453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SP'!$L$22:$L$35</c:f>
              <c:numCache>
                <c:formatCode>0.00</c:formatCode>
                <c:ptCount val="14"/>
                <c:pt idx="0">
                  <c:v>-3.81</c:v>
                </c:pt>
                <c:pt idx="1">
                  <c:v>-3.1875017272276853</c:v>
                </c:pt>
                <c:pt idx="2">
                  <c:v>-1.3281250312360138</c:v>
                </c:pt>
                <c:pt idx="3">
                  <c:v>0</c:v>
                </c:pt>
                <c:pt idx="4">
                  <c:v>2.6562500624720276</c:v>
                </c:pt>
                <c:pt idx="5">
                  <c:v>2.6562500399820976</c:v>
                </c:pt>
                <c:pt idx="6">
                  <c:v>0</c:v>
                </c:pt>
                <c:pt idx="7">
                  <c:v>-5.3125001249440551</c:v>
                </c:pt>
                <c:pt idx="8">
                  <c:v>-13.281251249440654</c:v>
                </c:pt>
                <c:pt idx="9">
                  <c:v>-19.125002590840264</c:v>
                </c:pt>
                <c:pt idx="10">
                  <c:v>-37.187513993740048</c:v>
                </c:pt>
                <c:pt idx="11">
                  <c:v>-46.750021286479736</c:v>
                </c:pt>
                <c:pt idx="12">
                  <c:v>-76.500073695085206</c:v>
                </c:pt>
                <c:pt idx="13">
                  <c:v>-106.25015992867431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01A-49DF-9E05-061F28355714}"/>
            </c:ext>
          </c:extLst>
        </c:ser>
        <c:ser>
          <c:idx val="3"/>
          <c:order val="3"/>
          <c:tx>
            <c:strRef>
              <c:f>'Power-Shok SP'!$M$21</c:f>
              <c:strCache>
                <c:ptCount val="1"/>
                <c:pt idx="0">
                  <c:v>200m zero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4839651237668974"/>
                  <c:y val="-1.570870984300394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SP'!$M$22:$M$35</c:f>
              <c:numCache>
                <c:formatCode>0.00</c:formatCode>
                <c:ptCount val="14"/>
                <c:pt idx="0">
                  <c:v>-3.81</c:v>
                </c:pt>
                <c:pt idx="1">
                  <c:v>-2.7500011091672039</c:v>
                </c:pt>
                <c:pt idx="2">
                  <c:v>0</c:v>
                </c:pt>
                <c:pt idx="3">
                  <c:v>3.0000001600000106</c:v>
                </c:pt>
                <c:pt idx="4">
                  <c:v>5.0000004166667074</c:v>
                </c:pt>
                <c:pt idx="5">
                  <c:v>5.0000002666666834</c:v>
                </c:pt>
                <c:pt idx="6">
                  <c:v>6.9000004866800415</c:v>
                </c:pt>
                <c:pt idx="7">
                  <c:v>0</c:v>
                </c:pt>
                <c:pt idx="8">
                  <c:v>-6.2500001302083357</c:v>
                </c:pt>
                <c:pt idx="9">
                  <c:v>-15.000001250000123</c:v>
                </c:pt>
                <c:pt idx="10">
                  <c:v>-25.900004727614366</c:v>
                </c:pt>
                <c:pt idx="11">
                  <c:v>-42.400015880220472</c:v>
                </c:pt>
                <c:pt idx="12">
                  <c:v>-67.50005062504556</c:v>
                </c:pt>
                <c:pt idx="13">
                  <c:v>-98.000125492459503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01A-49DF-9E05-061F28355714}"/>
            </c:ext>
          </c:extLst>
        </c:ser>
        <c:ser>
          <c:idx val="4"/>
          <c:order val="4"/>
          <c:tx>
            <c:strRef>
              <c:f>'Power-Shok SP'!$N$21</c:f>
              <c:strCache>
                <c:ptCount val="1"/>
                <c:pt idx="0">
                  <c:v>300m zero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9.4550363966246317E-2"/>
                  <c:y val="-8.0647935613214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SP'!$N$22:$N$35</c:f>
              <c:numCache>
                <c:formatCode>0.00</c:formatCode>
                <c:ptCount val="14"/>
                <c:pt idx="0">
                  <c:v>-3.81</c:v>
                </c:pt>
                <c:pt idx="1">
                  <c:v>-1.7500002858333894</c:v>
                </c:pt>
                <c:pt idx="2">
                  <c:v>2.5000002083333537</c:v>
                </c:pt>
                <c:pt idx="3">
                  <c:v>7.2000022118408156</c:v>
                </c:pt>
                <c:pt idx="4">
                  <c:v>9.9400032736939075</c:v>
                </c:pt>
                <c:pt idx="5">
                  <c:v>12.500004166668335</c:v>
                </c:pt>
                <c:pt idx="6">
                  <c:v>14.700004705961808</c:v>
                </c:pt>
                <c:pt idx="7">
                  <c:v>10.800001049760123</c:v>
                </c:pt>
                <c:pt idx="8">
                  <c:v>12.500001041666769</c:v>
                </c:pt>
                <c:pt idx="9">
                  <c:v>0</c:v>
                </c:pt>
                <c:pt idx="10">
                  <c:v>-16.800001290240115</c:v>
                </c:pt>
                <c:pt idx="11">
                  <c:v>-30.000005625001268</c:v>
                </c:pt>
                <c:pt idx="12">
                  <c:v>-45.000015000006002</c:v>
                </c:pt>
                <c:pt idx="13">
                  <c:v>-65.000036616691418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01A-49DF-9E05-061F28355714}"/>
            </c:ext>
          </c:extLst>
        </c:ser>
        <c:ser>
          <c:idx val="5"/>
          <c:order val="5"/>
          <c:tx>
            <c:strRef>
              <c:f>'Power-Shok SP'!$O$21</c:f>
              <c:strCache>
                <c:ptCount val="1"/>
                <c:pt idx="0">
                  <c:v>400m zero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SP'!$O$22:$O$35</c:f>
              <c:numCache>
                <c:formatCode>0.00</c:formatCode>
                <c:ptCount val="14"/>
                <c:pt idx="0">
                  <c:v>-3.81</c:v>
                </c:pt>
                <c:pt idx="1">
                  <c:v>0</c:v>
                </c:pt>
                <c:pt idx="2">
                  <c:v>5.300001985027559</c:v>
                </c:pt>
                <c:pt idx="3">
                  <c:v>11.250008437507594</c:v>
                </c:pt>
                <c:pt idx="4">
                  <c:v>15.000011250010125</c:v>
                </c:pt>
                <c:pt idx="5">
                  <c:v>18.750014062512658</c:v>
                </c:pt>
                <c:pt idx="6">
                  <c:v>21.900015560693266</c:v>
                </c:pt>
                <c:pt idx="7">
                  <c:v>20.80000749909658</c:v>
                </c:pt>
                <c:pt idx="8">
                  <c:v>25.00000833333667</c:v>
                </c:pt>
                <c:pt idx="9">
                  <c:v>22.500004218750952</c:v>
                </c:pt>
                <c:pt idx="10">
                  <c:v>16.800001290240115</c:v>
                </c:pt>
                <c:pt idx="11">
                  <c:v>0</c:v>
                </c:pt>
                <c:pt idx="12">
                  <c:v>-18.000000960000062</c:v>
                </c:pt>
                <c:pt idx="13">
                  <c:v>-37.500007031251585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F01A-49DF-9E05-061F28355714}"/>
            </c:ext>
          </c:extLst>
        </c:ser>
        <c:ser>
          <c:idx val="6"/>
          <c:order val="6"/>
          <c:tx>
            <c:strRef>
              <c:f>'Power-Shok SP'!$P$21</c:f>
              <c:strCache>
                <c:ptCount val="1"/>
                <c:pt idx="0">
                  <c:v>500m zero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SP'!$P$22:$P$35</c:f>
              <c:numCache>
                <c:formatCode>0.00</c:formatCode>
                <c:ptCount val="14"/>
                <c:pt idx="0">
                  <c:v>-3.81</c:v>
                </c:pt>
                <c:pt idx="1">
                  <c:v>1.8750003515625793</c:v>
                </c:pt>
                <c:pt idx="2">
                  <c:v>9.7000121689916519</c:v>
                </c:pt>
                <c:pt idx="3">
                  <c:v>16.500026620051539</c:v>
                </c:pt>
                <c:pt idx="4">
                  <c:v>25.020052208564092</c:v>
                </c:pt>
                <c:pt idx="5">
                  <c:v>28.750050695940605</c:v>
                </c:pt>
                <c:pt idx="6">
                  <c:v>30.000040000063997</c:v>
                </c:pt>
                <c:pt idx="7">
                  <c:v>40.000053333418663</c:v>
                </c:pt>
                <c:pt idx="8">
                  <c:v>42.500040941713998</c:v>
                </c:pt>
                <c:pt idx="9">
                  <c:v>39.000021970014849</c:v>
                </c:pt>
                <c:pt idx="10">
                  <c:v>35.000011666671341</c:v>
                </c:pt>
                <c:pt idx="11">
                  <c:v>30.000005625001268</c:v>
                </c:pt>
                <c:pt idx="12">
                  <c:v>22.500001875000187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F01A-49DF-9E05-061F283557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20432"/>
        <c:axId val="1264928592"/>
      </c:scatterChart>
      <c:valAx>
        <c:axId val="126492043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8592"/>
        <c:crosses val="autoZero"/>
        <c:crossBetween val="midCat"/>
      </c:valAx>
      <c:valAx>
        <c:axId val="126492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Elevation</a:t>
            </a:r>
            <a:r>
              <a:rPr lang="en-CA" baseline="0"/>
              <a:t> Holdovers(scope units)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'Power-Shok SP'!$C$21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0.15085566238792997"/>
                  <c:y val="-6.508398950131233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'Power-Shok SP'!$C$23:$C$35</c:f>
              <c:numCache>
                <c:formatCode>0.000</c:formatCode>
                <c:ptCount val="13"/>
                <c:pt idx="0">
                  <c:v>-0.25</c:v>
                </c:pt>
                <c:pt idx="1">
                  <c:v>0</c:v>
                </c:pt>
                <c:pt idx="2">
                  <c:v>0.1</c:v>
                </c:pt>
                <c:pt idx="3">
                  <c:v>0.125</c:v>
                </c:pt>
                <c:pt idx="4">
                  <c:v>0.125</c:v>
                </c:pt>
                <c:pt idx="5">
                  <c:v>0.125</c:v>
                </c:pt>
                <c:pt idx="6">
                  <c:v>0.1</c:v>
                </c:pt>
                <c:pt idx="7">
                  <c:v>-2.5000000000000001E-2</c:v>
                </c:pt>
                <c:pt idx="8">
                  <c:v>-0.125</c:v>
                </c:pt>
                <c:pt idx="9">
                  <c:v>-0.1875</c:v>
                </c:pt>
                <c:pt idx="10">
                  <c:v>-0.25</c:v>
                </c:pt>
                <c:pt idx="11">
                  <c:v>-0.375</c:v>
                </c:pt>
                <c:pt idx="12">
                  <c:v>-0.45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4E1-46CD-A99D-303BAE36DD8A}"/>
            </c:ext>
          </c:extLst>
        </c:ser>
        <c:ser>
          <c:idx val="1"/>
          <c:order val="1"/>
          <c:tx>
            <c:strRef>
              <c:f>'Power-Shok SP'!$D$21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1.3282528921528326E-2"/>
                  <c:y val="2.682714660667416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'Power-Shok SP'!$D$23:$D$35</c:f>
              <c:numCache>
                <c:formatCode>0.000</c:formatCode>
                <c:ptCount val="13"/>
                <c:pt idx="0">
                  <c:v>-0.375</c:v>
                </c:pt>
                <c:pt idx="1">
                  <c:v>-7.4999999999999997E-2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-0.1</c:v>
                </c:pt>
                <c:pt idx="7">
                  <c:v>-0.1875</c:v>
                </c:pt>
                <c:pt idx="8">
                  <c:v>-0.1875</c:v>
                </c:pt>
                <c:pt idx="9">
                  <c:v>-0.26</c:v>
                </c:pt>
                <c:pt idx="10">
                  <c:v>-0.375</c:v>
                </c:pt>
                <c:pt idx="11">
                  <c:v>-0.47499999999999998</c:v>
                </c:pt>
                <c:pt idx="12">
                  <c:v>-0.55000000000000004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4E1-46CD-A99D-303BAE36DD8A}"/>
            </c:ext>
          </c:extLst>
        </c:ser>
        <c:ser>
          <c:idx val="2"/>
          <c:order val="2"/>
          <c:tx>
            <c:strRef>
              <c:f>'Power-Shok SP'!$E$21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22172185559612709"/>
                  <c:y val="1.331064866891638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'Power-Shok SP'!$E$23:$E$35</c:f>
              <c:numCache>
                <c:formatCode>0.000</c:formatCode>
                <c:ptCount val="13"/>
                <c:pt idx="0">
                  <c:v>-0.3</c:v>
                </c:pt>
                <c:pt idx="1">
                  <c:v>-6.25E-2</c:v>
                </c:pt>
                <c:pt idx="2">
                  <c:v>0</c:v>
                </c:pt>
                <c:pt idx="3">
                  <c:v>6.25E-2</c:v>
                </c:pt>
                <c:pt idx="4">
                  <c:v>0.05</c:v>
                </c:pt>
                <c:pt idx="5">
                  <c:v>0</c:v>
                </c:pt>
                <c:pt idx="6">
                  <c:v>-6.25E-2</c:v>
                </c:pt>
                <c:pt idx="7">
                  <c:v>-0.125</c:v>
                </c:pt>
                <c:pt idx="8">
                  <c:v>-0.15</c:v>
                </c:pt>
                <c:pt idx="9">
                  <c:v>-0.25</c:v>
                </c:pt>
                <c:pt idx="10">
                  <c:v>-0.27500000000000002</c:v>
                </c:pt>
                <c:pt idx="11">
                  <c:v>-0.4</c:v>
                </c:pt>
                <c:pt idx="12">
                  <c:v>-0.5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4E1-46CD-A99D-303BAE36DD8A}"/>
            </c:ext>
          </c:extLst>
        </c:ser>
        <c:ser>
          <c:idx val="3"/>
          <c:order val="3"/>
          <c:tx>
            <c:strRef>
              <c:f>'Power-Shok SP'!$F$21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9279755716881369"/>
                  <c:y val="-7.615373078365213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'Power-Shok SP'!$F$23:$F$35</c:f>
              <c:numCache>
                <c:formatCode>0.000</c:formatCode>
                <c:ptCount val="13"/>
                <c:pt idx="0">
                  <c:v>-0.27500000000000002</c:v>
                </c:pt>
                <c:pt idx="1">
                  <c:v>0</c:v>
                </c:pt>
                <c:pt idx="2">
                  <c:v>0.1</c:v>
                </c:pt>
                <c:pt idx="3">
                  <c:v>0.125</c:v>
                </c:pt>
                <c:pt idx="4">
                  <c:v>0.1</c:v>
                </c:pt>
                <c:pt idx="5">
                  <c:v>0.115</c:v>
                </c:pt>
                <c:pt idx="6">
                  <c:v>0</c:v>
                </c:pt>
                <c:pt idx="7">
                  <c:v>-6.25E-2</c:v>
                </c:pt>
                <c:pt idx="8">
                  <c:v>-0.125</c:v>
                </c:pt>
                <c:pt idx="9">
                  <c:v>-0.185</c:v>
                </c:pt>
                <c:pt idx="10">
                  <c:v>-0.26500000000000001</c:v>
                </c:pt>
                <c:pt idx="11">
                  <c:v>-0.375</c:v>
                </c:pt>
                <c:pt idx="12">
                  <c:v>-0.49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4E1-46CD-A99D-303BAE36DD8A}"/>
            </c:ext>
          </c:extLst>
        </c:ser>
        <c:ser>
          <c:idx val="4"/>
          <c:order val="4"/>
          <c:tx>
            <c:strRef>
              <c:f>'Power-Shok SP'!$G$21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5287085628732297"/>
                  <c:y val="-0.469310836145481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'Power-Shok SP'!$G$23:$G$35</c:f>
              <c:numCache>
                <c:formatCode>0.000</c:formatCode>
                <c:ptCount val="13"/>
                <c:pt idx="0">
                  <c:v>-0.17499999999999999</c:v>
                </c:pt>
                <c:pt idx="1">
                  <c:v>0.125</c:v>
                </c:pt>
                <c:pt idx="2">
                  <c:v>0.24</c:v>
                </c:pt>
                <c:pt idx="3">
                  <c:v>0.2485</c:v>
                </c:pt>
                <c:pt idx="4">
                  <c:v>0.25</c:v>
                </c:pt>
                <c:pt idx="5">
                  <c:v>0.245</c:v>
                </c:pt>
                <c:pt idx="6">
                  <c:v>0.13500000000000001</c:v>
                </c:pt>
                <c:pt idx="7">
                  <c:v>0.125</c:v>
                </c:pt>
                <c:pt idx="8">
                  <c:v>0</c:v>
                </c:pt>
                <c:pt idx="9">
                  <c:v>-0.12</c:v>
                </c:pt>
                <c:pt idx="10">
                  <c:v>-0.1875</c:v>
                </c:pt>
                <c:pt idx="11">
                  <c:v>-0.25</c:v>
                </c:pt>
                <c:pt idx="12">
                  <c:v>-0.32500000000000001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4E1-46CD-A99D-303BAE36DD8A}"/>
            </c:ext>
          </c:extLst>
        </c:ser>
        <c:ser>
          <c:idx val="5"/>
          <c:order val="5"/>
          <c:tx>
            <c:strRef>
              <c:f>'Power-Shok SP'!$H$21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'Power-Shok SP'!$H$23:$H$35</c:f>
              <c:numCache>
                <c:formatCode>0.000</c:formatCode>
                <c:ptCount val="13"/>
                <c:pt idx="0">
                  <c:v>0</c:v>
                </c:pt>
                <c:pt idx="1">
                  <c:v>0.26500000000000001</c:v>
                </c:pt>
                <c:pt idx="2">
                  <c:v>0.375</c:v>
                </c:pt>
                <c:pt idx="3">
                  <c:v>0.375</c:v>
                </c:pt>
                <c:pt idx="4">
                  <c:v>0.375</c:v>
                </c:pt>
                <c:pt idx="5">
                  <c:v>0.36499999999999999</c:v>
                </c:pt>
                <c:pt idx="6">
                  <c:v>0.26</c:v>
                </c:pt>
                <c:pt idx="7">
                  <c:v>0.25</c:v>
                </c:pt>
                <c:pt idx="8">
                  <c:v>0.1875</c:v>
                </c:pt>
                <c:pt idx="9">
                  <c:v>0.12</c:v>
                </c:pt>
                <c:pt idx="10">
                  <c:v>0</c:v>
                </c:pt>
                <c:pt idx="11">
                  <c:v>-0.1</c:v>
                </c:pt>
                <c:pt idx="12">
                  <c:v>-0.1875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4E1-46CD-A99D-303BAE36DD8A}"/>
            </c:ext>
          </c:extLst>
        </c:ser>
        <c:ser>
          <c:idx val="6"/>
          <c:order val="6"/>
          <c:tx>
            <c:strRef>
              <c:f>'Power-Shok SP'!$I$21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'Power-Shok SP'!$I$23:$I$35</c:f>
              <c:numCache>
                <c:formatCode>0.000</c:formatCode>
                <c:ptCount val="13"/>
                <c:pt idx="0">
                  <c:v>0.1875</c:v>
                </c:pt>
                <c:pt idx="1">
                  <c:v>0.48499999999999999</c:v>
                </c:pt>
                <c:pt idx="2">
                  <c:v>0.55000000000000004</c:v>
                </c:pt>
                <c:pt idx="3">
                  <c:v>0.62549999999999994</c:v>
                </c:pt>
                <c:pt idx="4">
                  <c:v>0.57499999999999996</c:v>
                </c:pt>
                <c:pt idx="5">
                  <c:v>0.5</c:v>
                </c:pt>
                <c:pt idx="6">
                  <c:v>0.5</c:v>
                </c:pt>
                <c:pt idx="7">
                  <c:v>0.42499999999999999</c:v>
                </c:pt>
                <c:pt idx="8">
                  <c:v>0.32500000000000001</c:v>
                </c:pt>
                <c:pt idx="9">
                  <c:v>0.25</c:v>
                </c:pt>
                <c:pt idx="10">
                  <c:v>0.1875</c:v>
                </c:pt>
                <c:pt idx="11">
                  <c:v>0.125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4E1-46CD-A99D-303BAE36D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16592"/>
        <c:axId val="1264912752"/>
      </c:scatterChart>
      <c:valAx>
        <c:axId val="1264916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2752"/>
        <c:crosses val="autoZero"/>
        <c:crossBetween val="midCat"/>
      </c:valAx>
      <c:valAx>
        <c:axId val="126491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Hornady Calculated at 50m zero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'Power-Shok SP'!$J$21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0135027092957666"/>
                  <c:y val="-0.16942506274306954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aseline="0">
                        <a:solidFill>
                          <a:schemeClr val="accent1"/>
                        </a:solidFill>
                      </a:rPr>
                      <a:t>y = -3E-07x</a:t>
                    </a:r>
                    <a:r>
                      <a:rPr lang="en-US" baseline="30000">
                        <a:solidFill>
                          <a:schemeClr val="accent1"/>
                        </a:solidFill>
                      </a:rPr>
                      <a:t>3</a:t>
                    </a:r>
                    <a:r>
                      <a:rPr lang="en-US" baseline="0">
                        <a:solidFill>
                          <a:schemeClr val="accent1"/>
                        </a:solidFill>
                      </a:rPr>
                      <a:t> - 0.0007x</a:t>
                    </a:r>
                    <a:r>
                      <a:rPr lang="en-US" baseline="30000">
                        <a:solidFill>
                          <a:schemeClr val="accent1"/>
                        </a:solidFill>
                      </a:rPr>
                      <a:t>2</a:t>
                    </a:r>
                    <a:r>
                      <a:rPr lang="en-US" baseline="0">
                        <a:solidFill>
                          <a:schemeClr val="accent1"/>
                        </a:solidFill>
                      </a:rPr>
                      <a:t> + 0.2141x - 6.711</a:t>
                    </a:r>
                    <a:br>
                      <a:rPr lang="en-US" baseline="0">
                        <a:solidFill>
                          <a:schemeClr val="accent1"/>
                        </a:solidFill>
                      </a:rPr>
                    </a:br>
                    <a:r>
                      <a:rPr lang="en-US" baseline="0">
                        <a:solidFill>
                          <a:schemeClr val="accent1"/>
                        </a:solidFill>
                      </a:rPr>
                      <a:t>R² = 0.9953</a:t>
                    </a:r>
                    <a:endParaRPr lang="en-US">
                      <a:solidFill>
                        <a:schemeClr val="accent1"/>
                      </a:solidFill>
                    </a:endParaRPr>
                  </a:p>
                </c:rich>
              </c:tx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SP'!$J$22:$J$35</c:f>
              <c:numCache>
                <c:formatCode>0.00</c:formatCode>
                <c:ptCount val="14"/>
                <c:pt idx="0">
                  <c:v>-3.81</c:v>
                </c:pt>
                <c:pt idx="1">
                  <c:v>-2.65625099955286</c:v>
                </c:pt>
                <c:pt idx="2">
                  <c:v>0</c:v>
                </c:pt>
                <c:pt idx="3">
                  <c:v>3.1875001919140762</c:v>
                </c:pt>
                <c:pt idx="4">
                  <c:v>5.3125004997762613</c:v>
                </c:pt>
                <c:pt idx="5">
                  <c:v>6.640625624720327</c:v>
                </c:pt>
                <c:pt idx="6">
                  <c:v>7.9687507496643928</c:v>
                </c:pt>
                <c:pt idx="7">
                  <c:v>8.500000511770871</c:v>
                </c:pt>
                <c:pt idx="8">
                  <c:v>-2.656250009995524</c:v>
                </c:pt>
                <c:pt idx="9">
                  <c:v>-15.937501499328786</c:v>
                </c:pt>
                <c:pt idx="10">
                  <c:v>-27.890630903607917</c:v>
                </c:pt>
                <c:pt idx="11">
                  <c:v>-42.500015992845761</c:v>
                </c:pt>
                <c:pt idx="12">
                  <c:v>-71.718810722870529</c:v>
                </c:pt>
                <c:pt idx="13">
                  <c:v>-95.625116587963561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430-4F76-B979-F476DADACA5E}"/>
            </c:ext>
          </c:extLst>
        </c:ser>
        <c:ser>
          <c:idx val="1"/>
          <c:order val="1"/>
          <c:tx>
            <c:strRef>
              <c:f>'Power-Shok SP'!$A$78</c:f>
              <c:strCache>
                <c:ptCount val="1"/>
                <c:pt idx="0">
                  <c:v>50m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561044614662169"/>
                  <c:y val="0.1387918845910684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'Power-Shok SP'!$D$80:$D$100</c:f>
              <c:numCache>
                <c:formatCode>0.00</c:formatCode>
                <c:ptCount val="21"/>
                <c:pt idx="0">
                  <c:v>-3.8</c:v>
                </c:pt>
                <c:pt idx="1">
                  <c:v>-1.6</c:v>
                </c:pt>
                <c:pt idx="2">
                  <c:v>0</c:v>
                </c:pt>
                <c:pt idx="3">
                  <c:v>0.8</c:v>
                </c:pt>
                <c:pt idx="4">
                  <c:v>0.8</c:v>
                </c:pt>
                <c:pt idx="5">
                  <c:v>0.1</c:v>
                </c:pt>
                <c:pt idx="6">
                  <c:v>-1.6</c:v>
                </c:pt>
                <c:pt idx="7">
                  <c:v>-4.0999999999999996</c:v>
                </c:pt>
                <c:pt idx="8">
                  <c:v>-7.6</c:v>
                </c:pt>
                <c:pt idx="9">
                  <c:v>-12</c:v>
                </c:pt>
                <c:pt idx="10">
                  <c:v>-17.5</c:v>
                </c:pt>
                <c:pt idx="11">
                  <c:v>-24.3</c:v>
                </c:pt>
                <c:pt idx="12">
                  <c:v>-32</c:v>
                </c:pt>
                <c:pt idx="13">
                  <c:v>-41</c:v>
                </c:pt>
                <c:pt idx="14">
                  <c:v>-51.6</c:v>
                </c:pt>
                <c:pt idx="15">
                  <c:v>-63.2</c:v>
                </c:pt>
                <c:pt idx="16">
                  <c:v>-76.2</c:v>
                </c:pt>
                <c:pt idx="17">
                  <c:v>-91.4</c:v>
                </c:pt>
                <c:pt idx="18">
                  <c:v>-107.6</c:v>
                </c:pt>
                <c:pt idx="19">
                  <c:v>-125.6</c:v>
                </c:pt>
                <c:pt idx="20">
                  <c:v>-145.30000000000001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430-4F76-B979-F476DADACA5E}"/>
            </c:ext>
          </c:extLst>
        </c:ser>
        <c:ser>
          <c:idx val="2"/>
          <c:order val="2"/>
          <c:tx>
            <c:strRef>
              <c:f>'Power-Shok SP'!$K$78</c:f>
              <c:strCache>
                <c:ptCount val="1"/>
                <c:pt idx="0">
                  <c:v>50m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'Power-Shok SP'!$K$80:$K$100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'Power-Shok SP'!$N$80:$N$100</c:f>
              <c:numCache>
                <c:formatCode>0.00</c:formatCode>
                <c:ptCount val="21"/>
                <c:pt idx="0">
                  <c:v>-3.8</c:v>
                </c:pt>
                <c:pt idx="1">
                  <c:v>-1.6</c:v>
                </c:pt>
                <c:pt idx="2">
                  <c:v>0</c:v>
                </c:pt>
                <c:pt idx="3">
                  <c:v>0.9</c:v>
                </c:pt>
                <c:pt idx="4">
                  <c:v>1</c:v>
                </c:pt>
                <c:pt idx="5">
                  <c:v>0.4</c:v>
                </c:pt>
                <c:pt idx="6">
                  <c:v>-0.9</c:v>
                </c:pt>
                <c:pt idx="7">
                  <c:v>-3</c:v>
                </c:pt>
                <c:pt idx="8">
                  <c:v>-6</c:v>
                </c:pt>
                <c:pt idx="9">
                  <c:v>-9.6</c:v>
                </c:pt>
                <c:pt idx="10">
                  <c:v>-14.1</c:v>
                </c:pt>
                <c:pt idx="11">
                  <c:v>-19.600000000000001</c:v>
                </c:pt>
                <c:pt idx="12">
                  <c:v>-25.8</c:v>
                </c:pt>
                <c:pt idx="13">
                  <c:v>-32.9</c:v>
                </c:pt>
                <c:pt idx="14">
                  <c:v>-41.2</c:v>
                </c:pt>
                <c:pt idx="15">
                  <c:v>-50.1</c:v>
                </c:pt>
                <c:pt idx="16">
                  <c:v>-59.9</c:v>
                </c:pt>
                <c:pt idx="17">
                  <c:v>-71.2</c:v>
                </c:pt>
                <c:pt idx="18">
                  <c:v>-83</c:v>
                </c:pt>
                <c:pt idx="19">
                  <c:v>-95.9</c:v>
                </c:pt>
                <c:pt idx="20">
                  <c:v>-109.8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002-4AC9-825A-0010959902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38672"/>
        <c:axId val="1264916112"/>
      </c:scatterChart>
      <c:valAx>
        <c:axId val="1264938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112"/>
        <c:crosses val="autoZero"/>
        <c:crossBetween val="midCat"/>
        <c:majorUnit val="100"/>
        <c:minorUnit val="25"/>
      </c:valAx>
      <c:valAx>
        <c:axId val="12649161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38672"/>
        <c:crosses val="autoZero"/>
        <c:crossBetween val="midCat"/>
        <c:majorUnit val="100"/>
        <c:minorUnit val="2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'Power-Shok SP'!$D$21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5.7520786198731653E-2"/>
                  <c:y val="-0.4014297171186935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-3.7500028125025313</c:v>
                </c:pt>
                <c:pt idx="2">
                  <c:v>-1.5000000450000013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-8.0000004266666931</c:v>
                </c:pt>
                <c:pt idx="8">
                  <c:v>-18.750003515625792</c:v>
                </c:pt>
                <c:pt idx="9">
                  <c:v>-22.500004218750952</c:v>
                </c:pt>
                <c:pt idx="10">
                  <c:v>-36.400013123419015</c:v>
                </c:pt>
                <c:pt idx="11">
                  <c:v>-60.000045000040501</c:v>
                </c:pt>
                <c:pt idx="12">
                  <c:v>-85.500102885148564</c:v>
                </c:pt>
                <c:pt idx="13">
                  <c:v>-110.00017746701025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D5-48BC-BA0D-D37C8846C012}"/>
            </c:ext>
          </c:extLst>
        </c:ser>
        <c:ser>
          <c:idx val="1"/>
          <c:order val="1"/>
          <c:tx>
            <c:strRef>
              <c:f>'Power-Shok SP'!$A$102</c:f>
              <c:strCache>
                <c:ptCount val="1"/>
                <c:pt idx="0">
                  <c:v>100m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3197782418623982"/>
                  <c:y val="-0.1493768834451249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SP'!$A$104:$A$124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'Power-Shok SP'!$D$104:$D$124</c:f>
              <c:numCache>
                <c:formatCode>0.00</c:formatCode>
                <c:ptCount val="21"/>
                <c:pt idx="0">
                  <c:v>-3.8</c:v>
                </c:pt>
                <c:pt idx="1">
                  <c:v>-1.8</c:v>
                </c:pt>
                <c:pt idx="2">
                  <c:v>-0.4</c:v>
                </c:pt>
                <c:pt idx="3">
                  <c:v>0.2</c:v>
                </c:pt>
                <c:pt idx="4">
                  <c:v>0</c:v>
                </c:pt>
                <c:pt idx="5">
                  <c:v>-1</c:v>
                </c:pt>
                <c:pt idx="6">
                  <c:v>-2.8</c:v>
                </c:pt>
                <c:pt idx="7">
                  <c:v>-5.5</c:v>
                </c:pt>
                <c:pt idx="8">
                  <c:v>-9.3000000000000007</c:v>
                </c:pt>
                <c:pt idx="9">
                  <c:v>-13.9</c:v>
                </c:pt>
                <c:pt idx="10">
                  <c:v>-19.5</c:v>
                </c:pt>
                <c:pt idx="11">
                  <c:v>-26.6</c:v>
                </c:pt>
                <c:pt idx="12">
                  <c:v>-34.5</c:v>
                </c:pt>
                <c:pt idx="13">
                  <c:v>-43.6</c:v>
                </c:pt>
                <c:pt idx="14">
                  <c:v>-54.4</c:v>
                </c:pt>
                <c:pt idx="15">
                  <c:v>-66.3</c:v>
                </c:pt>
                <c:pt idx="16">
                  <c:v>-79.5</c:v>
                </c:pt>
                <c:pt idx="17">
                  <c:v>-94.9</c:v>
                </c:pt>
                <c:pt idx="18">
                  <c:v>-111.3</c:v>
                </c:pt>
                <c:pt idx="19">
                  <c:v>-129.5</c:v>
                </c:pt>
                <c:pt idx="20">
                  <c:v>-149.4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ED5-48BC-BA0D-D37C8846C012}"/>
            </c:ext>
          </c:extLst>
        </c:ser>
        <c:ser>
          <c:idx val="2"/>
          <c:order val="2"/>
          <c:tx>
            <c:strRef>
              <c:f>'Power-Shok SP'!$K$102</c:f>
              <c:strCache>
                <c:ptCount val="1"/>
                <c:pt idx="0">
                  <c:v>100m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'Power-Shok SP'!$K$104:$K$124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'Power-Shok SP'!$N$104:$N$124</c:f>
              <c:numCache>
                <c:formatCode>0.00</c:formatCode>
                <c:ptCount val="21"/>
                <c:pt idx="0">
                  <c:v>-3.8</c:v>
                </c:pt>
                <c:pt idx="1">
                  <c:v>-1.8</c:v>
                </c:pt>
                <c:pt idx="2">
                  <c:v>-0.5</c:v>
                </c:pt>
                <c:pt idx="3">
                  <c:v>0.1</c:v>
                </c:pt>
                <c:pt idx="4">
                  <c:v>0</c:v>
                </c:pt>
                <c:pt idx="5">
                  <c:v>-0.9</c:v>
                </c:pt>
                <c:pt idx="6">
                  <c:v>-2.4</c:v>
                </c:pt>
                <c:pt idx="7">
                  <c:v>-4.8</c:v>
                </c:pt>
                <c:pt idx="8">
                  <c:v>-8</c:v>
                </c:pt>
                <c:pt idx="9">
                  <c:v>-11.9</c:v>
                </c:pt>
                <c:pt idx="10">
                  <c:v>-16.600000000000001</c:v>
                </c:pt>
                <c:pt idx="11">
                  <c:v>-22.4</c:v>
                </c:pt>
                <c:pt idx="12">
                  <c:v>-28.8</c:v>
                </c:pt>
                <c:pt idx="13">
                  <c:v>-36.200000000000003</c:v>
                </c:pt>
                <c:pt idx="14">
                  <c:v>-44.7</c:v>
                </c:pt>
                <c:pt idx="15">
                  <c:v>-53.9</c:v>
                </c:pt>
                <c:pt idx="16">
                  <c:v>-64</c:v>
                </c:pt>
                <c:pt idx="17">
                  <c:v>-75.5</c:v>
                </c:pt>
                <c:pt idx="18">
                  <c:v>-87.6</c:v>
                </c:pt>
                <c:pt idx="19">
                  <c:v>-100.7</c:v>
                </c:pt>
                <c:pt idx="20">
                  <c:v>-114.9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13-491D-B554-EA8D3380A1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150m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'Power-Shok SP'!$E$21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8.4892807698783088E-2"/>
                  <c:y val="-0.34128779041508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SP'!$L$22:$L$35</c:f>
              <c:numCache>
                <c:formatCode>0.00</c:formatCode>
                <c:ptCount val="14"/>
                <c:pt idx="0">
                  <c:v>-3.81</c:v>
                </c:pt>
                <c:pt idx="1">
                  <c:v>-3.1875017272276853</c:v>
                </c:pt>
                <c:pt idx="2">
                  <c:v>-1.3281250312360138</c:v>
                </c:pt>
                <c:pt idx="3">
                  <c:v>0</c:v>
                </c:pt>
                <c:pt idx="4">
                  <c:v>2.6562500624720276</c:v>
                </c:pt>
                <c:pt idx="5">
                  <c:v>2.6562500399820976</c:v>
                </c:pt>
                <c:pt idx="6">
                  <c:v>0</c:v>
                </c:pt>
                <c:pt idx="7">
                  <c:v>-5.3125001249440551</c:v>
                </c:pt>
                <c:pt idx="8">
                  <c:v>-13.281251249440654</c:v>
                </c:pt>
                <c:pt idx="9">
                  <c:v>-19.125002590840264</c:v>
                </c:pt>
                <c:pt idx="10">
                  <c:v>-37.187513993740048</c:v>
                </c:pt>
                <c:pt idx="11">
                  <c:v>-46.750021286479736</c:v>
                </c:pt>
                <c:pt idx="12">
                  <c:v>-76.500073695085206</c:v>
                </c:pt>
                <c:pt idx="13">
                  <c:v>-106.25015992867431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222-4319-B86A-11D7CA45D520}"/>
            </c:ext>
          </c:extLst>
        </c:ser>
        <c:ser>
          <c:idx val="1"/>
          <c:order val="1"/>
          <c:tx>
            <c:strRef>
              <c:f>'Power-Shok SP'!$A$126</c:f>
              <c:strCache>
                <c:ptCount val="1"/>
                <c:pt idx="0">
                  <c:v>150m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20567172822483984"/>
                  <c:y val="-0.2496055701370661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SP'!$A$128:$A$148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'Power-Shok SP'!$D$128:$D$148</c:f>
              <c:numCache>
                <c:formatCode>0.00</c:formatCode>
                <c:ptCount val="21"/>
                <c:pt idx="0">
                  <c:v>-3.8</c:v>
                </c:pt>
                <c:pt idx="1">
                  <c:v>-0.6</c:v>
                </c:pt>
                <c:pt idx="2">
                  <c:v>1.9</c:v>
                </c:pt>
                <c:pt idx="3">
                  <c:v>3.7</c:v>
                </c:pt>
                <c:pt idx="4">
                  <c:v>4.5999999999999996</c:v>
                </c:pt>
                <c:pt idx="5">
                  <c:v>4.8</c:v>
                </c:pt>
                <c:pt idx="6">
                  <c:v>4.0999999999999996</c:v>
                </c:pt>
                <c:pt idx="7">
                  <c:v>2.6</c:v>
                </c:pt>
                <c:pt idx="8">
                  <c:v>0</c:v>
                </c:pt>
                <c:pt idx="9">
                  <c:v>-3.5</c:v>
                </c:pt>
                <c:pt idx="10">
                  <c:v>-8</c:v>
                </c:pt>
                <c:pt idx="11">
                  <c:v>-13.8</c:v>
                </c:pt>
                <c:pt idx="12">
                  <c:v>-20.6</c:v>
                </c:pt>
                <c:pt idx="13">
                  <c:v>-28.6</c:v>
                </c:pt>
                <c:pt idx="14">
                  <c:v>-38.299999999999997</c:v>
                </c:pt>
                <c:pt idx="15">
                  <c:v>-48.9</c:v>
                </c:pt>
                <c:pt idx="16">
                  <c:v>-61</c:v>
                </c:pt>
                <c:pt idx="17">
                  <c:v>-75.2</c:v>
                </c:pt>
                <c:pt idx="18">
                  <c:v>-90.5</c:v>
                </c:pt>
                <c:pt idx="19">
                  <c:v>-107.5</c:v>
                </c:pt>
                <c:pt idx="20">
                  <c:v>-126.3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222-4319-B86A-11D7CA45D520}"/>
            </c:ext>
          </c:extLst>
        </c:ser>
        <c:ser>
          <c:idx val="2"/>
          <c:order val="2"/>
          <c:tx>
            <c:strRef>
              <c:f>'Power-Shok SP'!$K$126</c:f>
              <c:strCache>
                <c:ptCount val="1"/>
                <c:pt idx="0">
                  <c:v>150m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'Power-Shok SP'!$K$128:$K$148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'Power-Shok SP'!$N$128:$N$148</c:f>
              <c:numCache>
                <c:formatCode>0.00</c:formatCode>
                <c:ptCount val="21"/>
                <c:pt idx="0">
                  <c:v>-3.8</c:v>
                </c:pt>
                <c:pt idx="1">
                  <c:v>-1.4</c:v>
                </c:pt>
                <c:pt idx="2">
                  <c:v>0.3</c:v>
                </c:pt>
                <c:pt idx="3">
                  <c:v>1.3</c:v>
                </c:pt>
                <c:pt idx="4">
                  <c:v>1.6</c:v>
                </c:pt>
                <c:pt idx="5">
                  <c:v>1.2</c:v>
                </c:pt>
                <c:pt idx="6">
                  <c:v>0</c:v>
                </c:pt>
                <c:pt idx="7">
                  <c:v>-1.9</c:v>
                </c:pt>
                <c:pt idx="8">
                  <c:v>-4.7</c:v>
                </c:pt>
                <c:pt idx="9">
                  <c:v>-8.1999999999999993</c:v>
                </c:pt>
                <c:pt idx="10">
                  <c:v>-12.5</c:v>
                </c:pt>
                <c:pt idx="11">
                  <c:v>-17.899999999999999</c:v>
                </c:pt>
                <c:pt idx="12">
                  <c:v>-23.9</c:v>
                </c:pt>
                <c:pt idx="13">
                  <c:v>-30.8</c:v>
                </c:pt>
                <c:pt idx="14">
                  <c:v>-38.9</c:v>
                </c:pt>
                <c:pt idx="15">
                  <c:v>-47.7</c:v>
                </c:pt>
                <c:pt idx="16">
                  <c:v>-57.4</c:v>
                </c:pt>
                <c:pt idx="17">
                  <c:v>-68.5</c:v>
                </c:pt>
                <c:pt idx="18">
                  <c:v>-80.2</c:v>
                </c:pt>
                <c:pt idx="19">
                  <c:v>-92.9</c:v>
                </c:pt>
                <c:pt idx="20">
                  <c:v>-106.7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DFB-4DBA-85AB-EAA1415921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200m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1183711660496089E-2"/>
          <c:y val="0.11447530864197532"/>
          <c:w val="0.77541064786720559"/>
          <c:h val="0.8046449402158063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'Power-Shok SP'!$M$21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5.1660294867365092E-2"/>
                  <c:y val="-0.3029610187615436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SP'!$M$22:$M$35</c:f>
              <c:numCache>
                <c:formatCode>0.00</c:formatCode>
                <c:ptCount val="14"/>
                <c:pt idx="0">
                  <c:v>-3.81</c:v>
                </c:pt>
                <c:pt idx="1">
                  <c:v>-2.7500011091672039</c:v>
                </c:pt>
                <c:pt idx="2">
                  <c:v>0</c:v>
                </c:pt>
                <c:pt idx="3">
                  <c:v>3.0000001600000106</c:v>
                </c:pt>
                <c:pt idx="4">
                  <c:v>5.0000004166667074</c:v>
                </c:pt>
                <c:pt idx="5">
                  <c:v>5.0000002666666834</c:v>
                </c:pt>
                <c:pt idx="6">
                  <c:v>6.9000004866800415</c:v>
                </c:pt>
                <c:pt idx="7">
                  <c:v>0</c:v>
                </c:pt>
                <c:pt idx="8">
                  <c:v>-6.2500001302083357</c:v>
                </c:pt>
                <c:pt idx="9">
                  <c:v>-15.000001250000123</c:v>
                </c:pt>
                <c:pt idx="10">
                  <c:v>-25.900004727614366</c:v>
                </c:pt>
                <c:pt idx="11">
                  <c:v>-42.400015880220472</c:v>
                </c:pt>
                <c:pt idx="12">
                  <c:v>-67.50005062504556</c:v>
                </c:pt>
                <c:pt idx="13">
                  <c:v>-98.000125492459503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8F8-47D5-89E2-DF4D4D339874}"/>
            </c:ext>
          </c:extLst>
        </c:ser>
        <c:ser>
          <c:idx val="1"/>
          <c:order val="1"/>
          <c:tx>
            <c:strRef>
              <c:f>'Power-Shok SP'!$A$150</c:f>
              <c:strCache>
                <c:ptCount val="1"/>
                <c:pt idx="0">
                  <c:v>200m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7904096782805279"/>
                  <c:y val="-0.1520946340040828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SP'!$A$152:$A$172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'Power-Shok SP'!$D$152:$D$172</c:f>
              <c:numCache>
                <c:formatCode>0.00</c:formatCode>
                <c:ptCount val="21"/>
                <c:pt idx="0">
                  <c:v>-3.8</c:v>
                </c:pt>
                <c:pt idx="1">
                  <c:v>-0.6</c:v>
                </c:pt>
                <c:pt idx="2">
                  <c:v>1.9</c:v>
                </c:pt>
                <c:pt idx="3">
                  <c:v>3.7</c:v>
                </c:pt>
                <c:pt idx="4">
                  <c:v>4.5999999999999996</c:v>
                </c:pt>
                <c:pt idx="5">
                  <c:v>4.8</c:v>
                </c:pt>
                <c:pt idx="6">
                  <c:v>4.0999999999999996</c:v>
                </c:pt>
                <c:pt idx="7">
                  <c:v>2.6</c:v>
                </c:pt>
                <c:pt idx="8">
                  <c:v>0</c:v>
                </c:pt>
                <c:pt idx="9">
                  <c:v>-3.5</c:v>
                </c:pt>
                <c:pt idx="10">
                  <c:v>-8</c:v>
                </c:pt>
                <c:pt idx="11">
                  <c:v>-13.8</c:v>
                </c:pt>
                <c:pt idx="12">
                  <c:v>-20.6</c:v>
                </c:pt>
                <c:pt idx="13">
                  <c:v>-28.6</c:v>
                </c:pt>
                <c:pt idx="14">
                  <c:v>-38.299999999999997</c:v>
                </c:pt>
                <c:pt idx="15">
                  <c:v>-48.9</c:v>
                </c:pt>
                <c:pt idx="16">
                  <c:v>-61</c:v>
                </c:pt>
                <c:pt idx="17">
                  <c:v>-75.2</c:v>
                </c:pt>
                <c:pt idx="18">
                  <c:v>-90.5</c:v>
                </c:pt>
                <c:pt idx="19">
                  <c:v>-107.5</c:v>
                </c:pt>
                <c:pt idx="20">
                  <c:v>-126.3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8F8-47D5-89E2-DF4D4D339874}"/>
            </c:ext>
          </c:extLst>
        </c:ser>
        <c:ser>
          <c:idx val="2"/>
          <c:order val="2"/>
          <c:tx>
            <c:strRef>
              <c:f>'Power-Shok SP'!$K$150</c:f>
              <c:strCache>
                <c:ptCount val="1"/>
                <c:pt idx="0">
                  <c:v>200m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'Power-Shok SP'!$K$152:$K$172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'Power-Shok SP'!$N$152:$N$172</c:f>
              <c:numCache>
                <c:formatCode>0.00</c:formatCode>
                <c:ptCount val="21"/>
                <c:pt idx="0">
                  <c:v>-3.8</c:v>
                </c:pt>
                <c:pt idx="1">
                  <c:v>-0.8</c:v>
                </c:pt>
                <c:pt idx="2">
                  <c:v>1.5</c:v>
                </c:pt>
                <c:pt idx="3">
                  <c:v>3.1</c:v>
                </c:pt>
                <c:pt idx="4">
                  <c:v>4</c:v>
                </c:pt>
                <c:pt idx="5">
                  <c:v>4.0999999999999996</c:v>
                </c:pt>
                <c:pt idx="6">
                  <c:v>3.6</c:v>
                </c:pt>
                <c:pt idx="7">
                  <c:v>2.2000000000000002</c:v>
                </c:pt>
                <c:pt idx="8">
                  <c:v>0</c:v>
                </c:pt>
                <c:pt idx="9">
                  <c:v>-2.9</c:v>
                </c:pt>
                <c:pt idx="10">
                  <c:v>-6.7</c:v>
                </c:pt>
                <c:pt idx="11">
                  <c:v>-11.4</c:v>
                </c:pt>
                <c:pt idx="12">
                  <c:v>-16.899999999999999</c:v>
                </c:pt>
                <c:pt idx="13">
                  <c:v>-23.2</c:v>
                </c:pt>
                <c:pt idx="14">
                  <c:v>-30.7</c:v>
                </c:pt>
                <c:pt idx="15">
                  <c:v>-38.9</c:v>
                </c:pt>
                <c:pt idx="16">
                  <c:v>-48</c:v>
                </c:pt>
                <c:pt idx="17">
                  <c:v>-58.5</c:v>
                </c:pt>
                <c:pt idx="18">
                  <c:v>-69.599999999999994</c:v>
                </c:pt>
                <c:pt idx="19">
                  <c:v>-81.8</c:v>
                </c:pt>
                <c:pt idx="20">
                  <c:v>-95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EC9-4347-8C32-E97FB503E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300m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'Power-Shok SP'!$N$21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6.2952626686211433E-2"/>
                  <c:y val="-7.7230971128608925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SP'!$N$22:$N$35</c:f>
              <c:numCache>
                <c:formatCode>0.00</c:formatCode>
                <c:ptCount val="14"/>
                <c:pt idx="0">
                  <c:v>-3.81</c:v>
                </c:pt>
                <c:pt idx="1">
                  <c:v>-1.7500002858333894</c:v>
                </c:pt>
                <c:pt idx="2">
                  <c:v>2.5000002083333537</c:v>
                </c:pt>
                <c:pt idx="3">
                  <c:v>7.2000022118408156</c:v>
                </c:pt>
                <c:pt idx="4">
                  <c:v>9.9400032736939075</c:v>
                </c:pt>
                <c:pt idx="5">
                  <c:v>12.500004166668335</c:v>
                </c:pt>
                <c:pt idx="6">
                  <c:v>14.700004705961808</c:v>
                </c:pt>
                <c:pt idx="7">
                  <c:v>10.800001049760123</c:v>
                </c:pt>
                <c:pt idx="8">
                  <c:v>12.500001041666769</c:v>
                </c:pt>
                <c:pt idx="9">
                  <c:v>0</c:v>
                </c:pt>
                <c:pt idx="10">
                  <c:v>-16.800001290240115</c:v>
                </c:pt>
                <c:pt idx="11">
                  <c:v>-30.000005625001268</c:v>
                </c:pt>
                <c:pt idx="12">
                  <c:v>-45.000015000006002</c:v>
                </c:pt>
                <c:pt idx="13">
                  <c:v>-65.000036616691418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470-43D0-A9AA-3F45FE58E044}"/>
            </c:ext>
          </c:extLst>
        </c:ser>
        <c:ser>
          <c:idx val="1"/>
          <c:order val="1"/>
          <c:tx>
            <c:strRef>
              <c:f>'Power-Shok SP'!$A$174</c:f>
              <c:strCache>
                <c:ptCount val="1"/>
                <c:pt idx="0">
                  <c:v>300m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8.5945577756477376E-2"/>
                  <c:y val="-0.383048264800233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SP'!$A$176:$A$196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'Power-Shok SP'!$D$176:$D$196</c:f>
              <c:numCache>
                <c:formatCode>0.00</c:formatCode>
                <c:ptCount val="21"/>
                <c:pt idx="0">
                  <c:v>-3.8</c:v>
                </c:pt>
                <c:pt idx="1">
                  <c:v>1.1000000000000001</c:v>
                </c:pt>
                <c:pt idx="2">
                  <c:v>5.4</c:v>
                </c:pt>
                <c:pt idx="3">
                  <c:v>8.8000000000000007</c:v>
                </c:pt>
                <c:pt idx="4">
                  <c:v>11.5</c:v>
                </c:pt>
                <c:pt idx="5">
                  <c:v>13.5</c:v>
                </c:pt>
                <c:pt idx="6">
                  <c:v>14.5</c:v>
                </c:pt>
                <c:pt idx="7">
                  <c:v>14.7</c:v>
                </c:pt>
                <c:pt idx="8">
                  <c:v>13.8</c:v>
                </c:pt>
                <c:pt idx="9">
                  <c:v>12</c:v>
                </c:pt>
                <c:pt idx="10">
                  <c:v>9.1999999999999993</c:v>
                </c:pt>
                <c:pt idx="11">
                  <c:v>5.2</c:v>
                </c:pt>
                <c:pt idx="12">
                  <c:v>0.1</c:v>
                </c:pt>
                <c:pt idx="13">
                  <c:v>-6.2</c:v>
                </c:pt>
                <c:pt idx="14">
                  <c:v>-14.1</c:v>
                </c:pt>
                <c:pt idx="15">
                  <c:v>-23.1</c:v>
                </c:pt>
                <c:pt idx="16">
                  <c:v>-33.5</c:v>
                </c:pt>
                <c:pt idx="17">
                  <c:v>-45.9</c:v>
                </c:pt>
                <c:pt idx="18">
                  <c:v>-59.5</c:v>
                </c:pt>
                <c:pt idx="19">
                  <c:v>-74.8</c:v>
                </c:pt>
                <c:pt idx="20">
                  <c:v>-91.9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470-43D0-A9AA-3F45FE58E044}"/>
            </c:ext>
          </c:extLst>
        </c:ser>
        <c:ser>
          <c:idx val="2"/>
          <c:order val="2"/>
          <c:tx>
            <c:strRef>
              <c:f>'Power-Shok SP'!$K$174</c:f>
              <c:strCache>
                <c:ptCount val="1"/>
                <c:pt idx="0">
                  <c:v>300m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'Power-Shok SP'!$K$176:$K$196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'Power-Shok SP'!$N$176:$N$196</c:f>
              <c:numCache>
                <c:formatCode>0.00</c:formatCode>
                <c:ptCount val="21"/>
                <c:pt idx="0">
                  <c:v>-3.8</c:v>
                </c:pt>
                <c:pt idx="1">
                  <c:v>0.6</c:v>
                </c:pt>
                <c:pt idx="2">
                  <c:v>4.4000000000000004</c:v>
                </c:pt>
                <c:pt idx="3">
                  <c:v>7.3</c:v>
                </c:pt>
                <c:pt idx="4">
                  <c:v>9.6</c:v>
                </c:pt>
                <c:pt idx="5">
                  <c:v>11.2</c:v>
                </c:pt>
                <c:pt idx="6">
                  <c:v>12</c:v>
                </c:pt>
                <c:pt idx="7">
                  <c:v>12</c:v>
                </c:pt>
                <c:pt idx="8">
                  <c:v>11.3</c:v>
                </c:pt>
                <c:pt idx="9">
                  <c:v>9.6999999999999993</c:v>
                </c:pt>
                <c:pt idx="10">
                  <c:v>7.4</c:v>
                </c:pt>
                <c:pt idx="11">
                  <c:v>4.0999999999999996</c:v>
                </c:pt>
                <c:pt idx="12">
                  <c:v>0</c:v>
                </c:pt>
                <c:pt idx="13">
                  <c:v>-4.9000000000000004</c:v>
                </c:pt>
                <c:pt idx="14">
                  <c:v>-11</c:v>
                </c:pt>
                <c:pt idx="15">
                  <c:v>-17.8</c:v>
                </c:pt>
                <c:pt idx="16">
                  <c:v>-25.5</c:v>
                </c:pt>
                <c:pt idx="17">
                  <c:v>-34.5</c:v>
                </c:pt>
                <c:pt idx="18">
                  <c:v>-44.3</c:v>
                </c:pt>
                <c:pt idx="19">
                  <c:v>-55</c:v>
                </c:pt>
                <c:pt idx="20">
                  <c:v>-66.8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6E-43F7-BA86-AE40E1F39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400m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'Power-Shok SP'!$O$21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4.594031556409451E-2"/>
                  <c:y val="-0.557507047730144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SP'!$O$22:$O$35</c:f>
              <c:numCache>
                <c:formatCode>0.00</c:formatCode>
                <c:ptCount val="14"/>
                <c:pt idx="0">
                  <c:v>-3.81</c:v>
                </c:pt>
                <c:pt idx="1">
                  <c:v>0</c:v>
                </c:pt>
                <c:pt idx="2">
                  <c:v>5.300001985027559</c:v>
                </c:pt>
                <c:pt idx="3">
                  <c:v>11.250008437507594</c:v>
                </c:pt>
                <c:pt idx="4">
                  <c:v>15.000011250010125</c:v>
                </c:pt>
                <c:pt idx="5">
                  <c:v>18.750014062512658</c:v>
                </c:pt>
                <c:pt idx="6">
                  <c:v>21.900015560693266</c:v>
                </c:pt>
                <c:pt idx="7">
                  <c:v>20.80000749909658</c:v>
                </c:pt>
                <c:pt idx="8">
                  <c:v>25.00000833333667</c:v>
                </c:pt>
                <c:pt idx="9">
                  <c:v>22.500004218750952</c:v>
                </c:pt>
                <c:pt idx="10">
                  <c:v>16.800001290240115</c:v>
                </c:pt>
                <c:pt idx="11">
                  <c:v>0</c:v>
                </c:pt>
                <c:pt idx="12">
                  <c:v>-18.000000960000062</c:v>
                </c:pt>
                <c:pt idx="13">
                  <c:v>-37.500007031251585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7F-4B73-8A03-A1503FADBFF0}"/>
            </c:ext>
          </c:extLst>
        </c:ser>
        <c:ser>
          <c:idx val="1"/>
          <c:order val="1"/>
          <c:tx>
            <c:strRef>
              <c:f>'Power-Shok SP'!$A$198</c:f>
              <c:strCache>
                <c:ptCount val="1"/>
                <c:pt idx="0">
                  <c:v>400m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20777726834022842"/>
                  <c:y val="-0.1566253523865072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SP'!$A$200:$A$220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'Power-Shok SP'!$D$200:$D$220</c:f>
              <c:numCache>
                <c:formatCode>0.00</c:formatCode>
                <c:ptCount val="21"/>
                <c:pt idx="0">
                  <c:v>-3.8</c:v>
                </c:pt>
                <c:pt idx="1">
                  <c:v>3.2</c:v>
                </c:pt>
                <c:pt idx="2">
                  <c:v>9.6999999999999993</c:v>
                </c:pt>
                <c:pt idx="3">
                  <c:v>15.2</c:v>
                </c:pt>
                <c:pt idx="4">
                  <c:v>19.899999999999999</c:v>
                </c:pt>
                <c:pt idx="5">
                  <c:v>24</c:v>
                </c:pt>
                <c:pt idx="6">
                  <c:v>27.2</c:v>
                </c:pt>
                <c:pt idx="7">
                  <c:v>29.4</c:v>
                </c:pt>
                <c:pt idx="8">
                  <c:v>30.7</c:v>
                </c:pt>
                <c:pt idx="9">
                  <c:v>31</c:v>
                </c:pt>
                <c:pt idx="10">
                  <c:v>30.3</c:v>
                </c:pt>
                <c:pt idx="11">
                  <c:v>28.4</c:v>
                </c:pt>
                <c:pt idx="12">
                  <c:v>25.4</c:v>
                </c:pt>
                <c:pt idx="13">
                  <c:v>21.2</c:v>
                </c:pt>
                <c:pt idx="14">
                  <c:v>15.4</c:v>
                </c:pt>
                <c:pt idx="15">
                  <c:v>8.5</c:v>
                </c:pt>
                <c:pt idx="16">
                  <c:v>0.2</c:v>
                </c:pt>
                <c:pt idx="17">
                  <c:v>-10</c:v>
                </c:pt>
                <c:pt idx="18">
                  <c:v>-21.6</c:v>
                </c:pt>
                <c:pt idx="19">
                  <c:v>-34.799999999999997</c:v>
                </c:pt>
                <c:pt idx="20">
                  <c:v>-49.8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67F-4B73-8A03-A1503FADBFF0}"/>
            </c:ext>
          </c:extLst>
        </c:ser>
        <c:ser>
          <c:idx val="2"/>
          <c:order val="2"/>
          <c:tx>
            <c:strRef>
              <c:f>'Power-Shok SP'!$K$198</c:f>
              <c:strCache>
                <c:ptCount val="1"/>
                <c:pt idx="0">
                  <c:v>400m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'Power-Shok SP'!$K$200:$K$220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'Power-Shok SP'!$N$200:$N$220</c:f>
              <c:numCache>
                <c:formatCode>0.00</c:formatCode>
                <c:ptCount val="21"/>
                <c:pt idx="0">
                  <c:v>-3.8</c:v>
                </c:pt>
                <c:pt idx="1">
                  <c:v>2.2000000000000002</c:v>
                </c:pt>
                <c:pt idx="2">
                  <c:v>7.6</c:v>
                </c:pt>
                <c:pt idx="3">
                  <c:v>12.1</c:v>
                </c:pt>
                <c:pt idx="4">
                  <c:v>16</c:v>
                </c:pt>
                <c:pt idx="5">
                  <c:v>19.2</c:v>
                </c:pt>
                <c:pt idx="6">
                  <c:v>21.6</c:v>
                </c:pt>
                <c:pt idx="7">
                  <c:v>23.3</c:v>
                </c:pt>
                <c:pt idx="8">
                  <c:v>24.1</c:v>
                </c:pt>
                <c:pt idx="9">
                  <c:v>24.2</c:v>
                </c:pt>
                <c:pt idx="10">
                  <c:v>23.4</c:v>
                </c:pt>
                <c:pt idx="11">
                  <c:v>21.7</c:v>
                </c:pt>
                <c:pt idx="12">
                  <c:v>19.3</c:v>
                </c:pt>
                <c:pt idx="13">
                  <c:v>15.9</c:v>
                </c:pt>
                <c:pt idx="14">
                  <c:v>11.5</c:v>
                </c:pt>
                <c:pt idx="15">
                  <c:v>6.3</c:v>
                </c:pt>
                <c:pt idx="16">
                  <c:v>0.1</c:v>
                </c:pt>
                <c:pt idx="17">
                  <c:v>-7.3</c:v>
                </c:pt>
                <c:pt idx="18">
                  <c:v>-15.4</c:v>
                </c:pt>
                <c:pt idx="19">
                  <c:v>-24.6</c:v>
                </c:pt>
                <c:pt idx="20">
                  <c:v>-34.799999999999997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7FC-43CE-A659-15517EDDC8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500m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'Power-Shok SP'!$P$21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4987491516704265"/>
                  <c:y val="-0.2909378341596189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SP'!$P$22:$P$35</c:f>
              <c:numCache>
                <c:formatCode>0.00</c:formatCode>
                <c:ptCount val="14"/>
                <c:pt idx="0">
                  <c:v>-3.81</c:v>
                </c:pt>
                <c:pt idx="1">
                  <c:v>1.8750003515625793</c:v>
                </c:pt>
                <c:pt idx="2">
                  <c:v>9.7000121689916519</c:v>
                </c:pt>
                <c:pt idx="3">
                  <c:v>16.500026620051539</c:v>
                </c:pt>
                <c:pt idx="4">
                  <c:v>25.020052208564092</c:v>
                </c:pt>
                <c:pt idx="5">
                  <c:v>28.750050695940605</c:v>
                </c:pt>
                <c:pt idx="6">
                  <c:v>30.000040000063997</c:v>
                </c:pt>
                <c:pt idx="7">
                  <c:v>40.000053333418663</c:v>
                </c:pt>
                <c:pt idx="8">
                  <c:v>42.500040941713998</c:v>
                </c:pt>
                <c:pt idx="9">
                  <c:v>39.000021970014849</c:v>
                </c:pt>
                <c:pt idx="10">
                  <c:v>35.000011666671341</c:v>
                </c:pt>
                <c:pt idx="11">
                  <c:v>30.000005625001268</c:v>
                </c:pt>
                <c:pt idx="12">
                  <c:v>22.500001875000187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42-46B8-8175-822AAE95CE77}"/>
            </c:ext>
          </c:extLst>
        </c:ser>
        <c:ser>
          <c:idx val="1"/>
          <c:order val="1"/>
          <c:tx>
            <c:strRef>
              <c:f>'Power-Shok SP'!$A$222</c:f>
              <c:strCache>
                <c:ptCount val="1"/>
                <c:pt idx="0">
                  <c:v>500m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8.7461566639557148E-2"/>
                  <c:y val="-0.518713424710800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SP'!$A$224:$A$244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'Power-Shok SP'!$D$224:$D$244</c:f>
              <c:numCache>
                <c:formatCode>0.00</c:formatCode>
                <c:ptCount val="21"/>
                <c:pt idx="0">
                  <c:v>-3.8</c:v>
                </c:pt>
                <c:pt idx="1">
                  <c:v>5.7</c:v>
                </c:pt>
                <c:pt idx="2">
                  <c:v>14.7</c:v>
                </c:pt>
                <c:pt idx="3">
                  <c:v>22.7</c:v>
                </c:pt>
                <c:pt idx="4">
                  <c:v>30</c:v>
                </c:pt>
                <c:pt idx="5">
                  <c:v>36.700000000000003</c:v>
                </c:pt>
                <c:pt idx="6">
                  <c:v>42.3</c:v>
                </c:pt>
                <c:pt idx="7">
                  <c:v>47</c:v>
                </c:pt>
                <c:pt idx="8">
                  <c:v>50.9</c:v>
                </c:pt>
                <c:pt idx="9">
                  <c:v>53.7</c:v>
                </c:pt>
                <c:pt idx="10">
                  <c:v>55.4</c:v>
                </c:pt>
                <c:pt idx="11">
                  <c:v>56.1</c:v>
                </c:pt>
                <c:pt idx="12">
                  <c:v>55.6</c:v>
                </c:pt>
                <c:pt idx="13">
                  <c:v>53.8</c:v>
                </c:pt>
                <c:pt idx="14">
                  <c:v>50.7</c:v>
                </c:pt>
                <c:pt idx="15">
                  <c:v>46.3</c:v>
                </c:pt>
                <c:pt idx="16">
                  <c:v>40.4</c:v>
                </c:pt>
                <c:pt idx="17">
                  <c:v>32.799999999999997</c:v>
                </c:pt>
                <c:pt idx="18">
                  <c:v>23.7</c:v>
                </c:pt>
                <c:pt idx="19">
                  <c:v>13</c:v>
                </c:pt>
                <c:pt idx="20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642-46B8-8175-822AAE95CE77}"/>
            </c:ext>
          </c:extLst>
        </c:ser>
        <c:ser>
          <c:idx val="2"/>
          <c:order val="2"/>
          <c:tx>
            <c:strRef>
              <c:f>'Power-Shok SP'!$K$222</c:f>
              <c:strCache>
                <c:ptCount val="1"/>
                <c:pt idx="0">
                  <c:v>500m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'Power-Shok SP'!$K$224:$K$244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'Power-Shok SP'!$N$224:$N$244</c:f>
              <c:numCache>
                <c:formatCode>0.00</c:formatCode>
                <c:ptCount val="21"/>
                <c:pt idx="0">
                  <c:v>-3.8</c:v>
                </c:pt>
                <c:pt idx="1">
                  <c:v>3.9</c:v>
                </c:pt>
                <c:pt idx="2">
                  <c:v>11.1</c:v>
                </c:pt>
                <c:pt idx="3">
                  <c:v>17.399999999999999</c:v>
                </c:pt>
                <c:pt idx="4">
                  <c:v>23</c:v>
                </c:pt>
                <c:pt idx="5">
                  <c:v>28</c:v>
                </c:pt>
                <c:pt idx="6">
                  <c:v>32.1</c:v>
                </c:pt>
                <c:pt idx="7">
                  <c:v>35.5</c:v>
                </c:pt>
                <c:pt idx="8">
                  <c:v>38.200000000000003</c:v>
                </c:pt>
                <c:pt idx="9">
                  <c:v>40</c:v>
                </c:pt>
                <c:pt idx="10">
                  <c:v>40.9</c:v>
                </c:pt>
                <c:pt idx="11">
                  <c:v>41</c:v>
                </c:pt>
                <c:pt idx="12">
                  <c:v>40.299999999999997</c:v>
                </c:pt>
                <c:pt idx="13">
                  <c:v>38.700000000000003</c:v>
                </c:pt>
                <c:pt idx="14">
                  <c:v>36</c:v>
                </c:pt>
                <c:pt idx="15">
                  <c:v>32.6</c:v>
                </c:pt>
                <c:pt idx="16">
                  <c:v>28.1</c:v>
                </c:pt>
                <c:pt idx="17">
                  <c:v>22.5</c:v>
                </c:pt>
                <c:pt idx="18">
                  <c:v>16.100000000000001</c:v>
                </c:pt>
                <c:pt idx="19">
                  <c:v>8.6999999999999993</c:v>
                </c:pt>
                <c:pt idx="20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F4-40D2-903B-41945D6F79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Measured</a:t>
            </a:r>
            <a:r>
              <a:rPr lang="en-CA" baseline="0"/>
              <a:t> Energy vs Range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7986199305732"/>
          <c:y val="0.13171460936233578"/>
          <c:w val="0.70888493776987549"/>
          <c:h val="0.79879324480188618"/>
        </c:manualLayout>
      </c:layout>
      <c:scatterChart>
        <c:scatterStyle val="smoothMarker"/>
        <c:varyColors val="0"/>
        <c:ser>
          <c:idx val="0"/>
          <c:order val="0"/>
          <c:tx>
            <c:v>Measured Energy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1.6593324019981374E-2"/>
                  <c:y val="-8.725486933662129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HP'!$B$22:$B$35</c:f>
              <c:numCache>
                <c:formatCode>0.00</c:formatCode>
                <c:ptCount val="14"/>
                <c:pt idx="0">
                  <c:v>4400.8999999999996</c:v>
                </c:pt>
                <c:pt idx="1">
                  <c:v>4309.8999999999996</c:v>
                </c:pt>
                <c:pt idx="2">
                  <c:v>4192.3</c:v>
                </c:pt>
                <c:pt idx="3">
                  <c:v>4078.8</c:v>
                </c:pt>
                <c:pt idx="4">
                  <c:v>3969</c:v>
                </c:pt>
                <c:pt idx="5">
                  <c:v>3863.1</c:v>
                </c:pt>
                <c:pt idx="6">
                  <c:v>3760.6</c:v>
                </c:pt>
                <c:pt idx="7">
                  <c:v>3550.3</c:v>
                </c:pt>
                <c:pt idx="8">
                  <c:v>3354.9</c:v>
                </c:pt>
                <c:pt idx="9">
                  <c:v>3159.5</c:v>
                </c:pt>
                <c:pt idx="10">
                  <c:v>2990.9</c:v>
                </c:pt>
                <c:pt idx="11">
                  <c:v>2822.1</c:v>
                </c:pt>
                <c:pt idx="12">
                  <c:v>2654.7</c:v>
                </c:pt>
                <c:pt idx="13">
                  <c:v>2500.6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C9F-455C-85F5-DC58B028502A}"/>
            </c:ext>
          </c:extLst>
        </c:ser>
        <c:ser>
          <c:idx val="1"/>
          <c:order val="1"/>
          <c:tx>
            <c:strRef>
              <c:f>'Remington Core-Lokt Copper HP'!$A$78</c:f>
              <c:strCache>
                <c:ptCount val="1"/>
                <c:pt idx="0">
                  <c:v>50m Zero(G1 BC)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1.1216979933959868E-2"/>
                  <c:y val="9.856386946291687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HP'!$A$80:$A$100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HP'!$C$80:$C$100</c:f>
              <c:numCache>
                <c:formatCode>0.00</c:formatCode>
                <c:ptCount val="21"/>
                <c:pt idx="0">
                  <c:v>4402</c:v>
                </c:pt>
                <c:pt idx="1">
                  <c:v>4166</c:v>
                </c:pt>
                <c:pt idx="2">
                  <c:v>3943</c:v>
                </c:pt>
                <c:pt idx="3">
                  <c:v>3729</c:v>
                </c:pt>
                <c:pt idx="4">
                  <c:v>3524</c:v>
                </c:pt>
                <c:pt idx="5">
                  <c:v>3329</c:v>
                </c:pt>
                <c:pt idx="6">
                  <c:v>3142</c:v>
                </c:pt>
                <c:pt idx="7">
                  <c:v>2963</c:v>
                </c:pt>
                <c:pt idx="8">
                  <c:v>2792</c:v>
                </c:pt>
                <c:pt idx="9">
                  <c:v>2629</c:v>
                </c:pt>
                <c:pt idx="10">
                  <c:v>2473</c:v>
                </c:pt>
                <c:pt idx="11">
                  <c:v>2325</c:v>
                </c:pt>
                <c:pt idx="12">
                  <c:v>2184</c:v>
                </c:pt>
                <c:pt idx="13">
                  <c:v>2050</c:v>
                </c:pt>
                <c:pt idx="14">
                  <c:v>1923</c:v>
                </c:pt>
                <c:pt idx="15">
                  <c:v>1803</c:v>
                </c:pt>
                <c:pt idx="16">
                  <c:v>1689</c:v>
                </c:pt>
                <c:pt idx="17">
                  <c:v>1581</c:v>
                </c:pt>
                <c:pt idx="18">
                  <c:v>1480</c:v>
                </c:pt>
                <c:pt idx="19">
                  <c:v>1385</c:v>
                </c:pt>
                <c:pt idx="20">
                  <c:v>1299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C9F-455C-85F5-DC58B028502A}"/>
            </c:ext>
          </c:extLst>
        </c:ser>
        <c:ser>
          <c:idx val="2"/>
          <c:order val="2"/>
          <c:tx>
            <c:strRef>
              <c:f>'Remington Core-Lokt Copper HP'!$K$78</c:f>
              <c:strCache>
                <c:ptCount val="1"/>
                <c:pt idx="0">
                  <c:v>50m Zero(G7 BC)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Copper HP'!$K$80:$K$100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HP'!$M$80:$M$100</c:f>
              <c:numCache>
                <c:formatCode>0.00</c:formatCode>
                <c:ptCount val="21"/>
                <c:pt idx="0">
                  <c:v>4402</c:v>
                </c:pt>
                <c:pt idx="1">
                  <c:v>4283</c:v>
                </c:pt>
                <c:pt idx="2">
                  <c:v>4168</c:v>
                </c:pt>
                <c:pt idx="3">
                  <c:v>4055</c:v>
                </c:pt>
                <c:pt idx="4">
                  <c:v>3944</c:v>
                </c:pt>
                <c:pt idx="5">
                  <c:v>3836</c:v>
                </c:pt>
                <c:pt idx="6">
                  <c:v>3730</c:v>
                </c:pt>
                <c:pt idx="7">
                  <c:v>3626</c:v>
                </c:pt>
                <c:pt idx="8">
                  <c:v>3525</c:v>
                </c:pt>
                <c:pt idx="9">
                  <c:v>3425</c:v>
                </c:pt>
                <c:pt idx="10">
                  <c:v>3328</c:v>
                </c:pt>
                <c:pt idx="11">
                  <c:v>3233</c:v>
                </c:pt>
                <c:pt idx="12">
                  <c:v>3140</c:v>
                </c:pt>
                <c:pt idx="13">
                  <c:v>3049</c:v>
                </c:pt>
                <c:pt idx="14">
                  <c:v>2960</c:v>
                </c:pt>
                <c:pt idx="15">
                  <c:v>2874</c:v>
                </c:pt>
                <c:pt idx="16">
                  <c:v>2789</c:v>
                </c:pt>
                <c:pt idx="17">
                  <c:v>2706</c:v>
                </c:pt>
                <c:pt idx="18">
                  <c:v>2625</c:v>
                </c:pt>
                <c:pt idx="19">
                  <c:v>2545</c:v>
                </c:pt>
                <c:pt idx="20">
                  <c:v>2471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945-4111-809C-7F3539CF46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793088"/>
        <c:axId val="538794048"/>
      </c:scatterChart>
      <c:valAx>
        <c:axId val="538793088"/>
        <c:scaling>
          <c:orientation val="minMax"/>
          <c:max val="5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4048"/>
        <c:crosses val="autoZero"/>
        <c:crossBetween val="midCat"/>
        <c:majorUnit val="50"/>
        <c:minorUnit val="25"/>
      </c:valAx>
      <c:valAx>
        <c:axId val="538794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Energy(J)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3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Trajectory(cm)</a:t>
            </a:r>
            <a:r>
              <a:rPr lang="en-CA" baseline="0"/>
              <a:t> for each zero setting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Copper HP'!$J$21</c:f>
              <c:strCache>
                <c:ptCount val="1"/>
                <c:pt idx="0">
                  <c:v>50m Zero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HP'!$J$22:$J$35</c:f>
              <c:numCache>
                <c:formatCode>0.00</c:formatCode>
                <c:ptCount val="14"/>
                <c:pt idx="0">
                  <c:v>-3.81</c:v>
                </c:pt>
                <c:pt idx="1">
                  <c:v>-2.8125011865240381</c:v>
                </c:pt>
                <c:pt idx="2">
                  <c:v>0</c:v>
                </c:pt>
                <c:pt idx="3">
                  <c:v>2.1093750556182878</c:v>
                </c:pt>
                <c:pt idx="4">
                  <c:v>4.5000003037500242</c:v>
                </c:pt>
                <c:pt idx="5">
                  <c:v>4.6687502171003894</c:v>
                </c:pt>
                <c:pt idx="6">
                  <c:v>5.6025002605204666</c:v>
                </c:pt>
                <c:pt idx="7">
                  <c:v>0</c:v>
                </c:pt>
                <c:pt idx="8">
                  <c:v>-14.062501483154483</c:v>
                </c:pt>
                <c:pt idx="9">
                  <c:v>-25.312506006776616</c:v>
                </c:pt>
                <c:pt idx="10">
                  <c:v>-41.343769229699461</c:v>
                </c:pt>
                <c:pt idx="11">
                  <c:v>-75.060088101855399</c:v>
                </c:pt>
                <c:pt idx="12">
                  <c:v>-111.37522741438535</c:v>
                </c:pt>
                <c:pt idx="13">
                  <c:v>-150.07545067696162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5C2-415D-9AB8-76C3A8303056}"/>
            </c:ext>
          </c:extLst>
        </c:ser>
        <c:ser>
          <c:idx val="1"/>
          <c:order val="1"/>
          <c:tx>
            <c:strRef>
              <c:f>'Remington Core-Lokt Copper HP'!$K$21</c:f>
              <c:strCache>
                <c:ptCount val="1"/>
                <c:pt idx="0">
                  <c:v>100m Zero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5737087044509687"/>
                  <c:y val="5.244559374727605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HP'!$K$22:$K$35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-3.3500020050881067</c:v>
                </c:pt>
                <c:pt idx="2">
                  <c:v>-1.660000060990616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-1.5000000050000002</c:v>
                </c:pt>
                <c:pt idx="7">
                  <c:v>-10.000000833333415</c:v>
                </c:pt>
                <c:pt idx="8">
                  <c:v>-18.750003515625792</c:v>
                </c:pt>
                <c:pt idx="9">
                  <c:v>-31.800011910165356</c:v>
                </c:pt>
                <c:pt idx="10">
                  <c:v>-52.500039375035435</c:v>
                </c:pt>
                <c:pt idx="11">
                  <c:v>-80.000106666837326</c:v>
                </c:pt>
                <c:pt idx="12">
                  <c:v>-112.50023437558593</c:v>
                </c:pt>
                <c:pt idx="13">
                  <c:v>-150.00045000162001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5C2-415D-9AB8-76C3A8303056}"/>
            </c:ext>
          </c:extLst>
        </c:ser>
        <c:ser>
          <c:idx val="2"/>
          <c:order val="2"/>
          <c:tx>
            <c:strRef>
              <c:f>'Remington Core-Lokt Copper HP'!$L$21</c:f>
              <c:strCache>
                <c:ptCount val="1"/>
                <c:pt idx="0">
                  <c:v>150m Zero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753195865819113"/>
                  <c:y val="1.070130071379453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HP'!$L$22:$L$35</c:f>
              <c:numCache>
                <c:formatCode>0.00</c:formatCode>
                <c:ptCount val="14"/>
                <c:pt idx="0">
                  <c:v>-3.81</c:v>
                </c:pt>
                <c:pt idx="1">
                  <c:v>-3.2500018308345711</c:v>
                </c:pt>
                <c:pt idx="2">
                  <c:v>-1.5000000450000013</c:v>
                </c:pt>
                <c:pt idx="3">
                  <c:v>1.5000000200000003</c:v>
                </c:pt>
                <c:pt idx="4">
                  <c:v>4.0000002133333465</c:v>
                </c:pt>
                <c:pt idx="5">
                  <c:v>2.5000000333333343</c:v>
                </c:pt>
                <c:pt idx="6">
                  <c:v>0</c:v>
                </c:pt>
                <c:pt idx="7">
                  <c:v>-5.0000001041666682</c:v>
                </c:pt>
                <c:pt idx="8">
                  <c:v>-17.500002858333893</c:v>
                </c:pt>
                <c:pt idx="9">
                  <c:v>-30.000010000004</c:v>
                </c:pt>
                <c:pt idx="10">
                  <c:v>-51.800037820939806</c:v>
                </c:pt>
                <c:pt idx="11">
                  <c:v>-72.000077760100766</c:v>
                </c:pt>
                <c:pt idx="12">
                  <c:v>-104.94019022948933</c:v>
                </c:pt>
                <c:pt idx="13">
                  <c:v>-137.50034661563183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75C2-415D-9AB8-76C3A8303056}"/>
            </c:ext>
          </c:extLst>
        </c:ser>
        <c:ser>
          <c:idx val="3"/>
          <c:order val="3"/>
          <c:tx>
            <c:strRef>
              <c:f>'Remington Core-Lokt Copper HP'!$M$21</c:f>
              <c:strCache>
                <c:ptCount val="1"/>
                <c:pt idx="0">
                  <c:v>200m Zero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4839651237668974"/>
                  <c:y val="-1.570870984300394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HP'!$M$22:$M$35</c:f>
              <c:numCache>
                <c:formatCode>0.00</c:formatCode>
                <c:ptCount val="14"/>
                <c:pt idx="0">
                  <c:v>-3.81</c:v>
                </c:pt>
                <c:pt idx="1">
                  <c:v>-2.500000833333667</c:v>
                </c:pt>
                <c:pt idx="2">
                  <c:v>1.5000000450000013</c:v>
                </c:pt>
                <c:pt idx="3">
                  <c:v>3.7500003125000307</c:v>
                </c:pt>
                <c:pt idx="4">
                  <c:v>5.0000004166667074</c:v>
                </c:pt>
                <c:pt idx="5">
                  <c:v>6.2500005208333844</c:v>
                </c:pt>
                <c:pt idx="6">
                  <c:v>4.9800001829718479</c:v>
                </c:pt>
                <c:pt idx="7">
                  <c:v>0</c:v>
                </c:pt>
                <c:pt idx="8">
                  <c:v>-12.500001041666769</c:v>
                </c:pt>
                <c:pt idx="9">
                  <c:v>-22.500004218750952</c:v>
                </c:pt>
                <c:pt idx="10">
                  <c:v>-35.700012380765159</c:v>
                </c:pt>
                <c:pt idx="11">
                  <c:v>-60.000045000040501</c:v>
                </c:pt>
                <c:pt idx="12">
                  <c:v>-90.000120000191998</c:v>
                </c:pt>
                <c:pt idx="13">
                  <c:v>-125.0002604173177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75C2-415D-9AB8-76C3A8303056}"/>
            </c:ext>
          </c:extLst>
        </c:ser>
        <c:ser>
          <c:idx val="4"/>
          <c:order val="4"/>
          <c:tx>
            <c:strRef>
              <c:f>'Remington Core-Lokt Copper HP'!$N$21</c:f>
              <c:strCache>
                <c:ptCount val="1"/>
                <c:pt idx="0">
                  <c:v>300m Zero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9.4550363966246317E-2"/>
                  <c:y val="-8.0647935613214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HP'!$N$22:$N$35</c:f>
              <c:numCache>
                <c:formatCode>0.00</c:formatCode>
                <c:ptCount val="14"/>
                <c:pt idx="0">
                  <c:v>-3.81</c:v>
                </c:pt>
                <c:pt idx="1">
                  <c:v>-0.8500000327533348</c:v>
                </c:pt>
                <c:pt idx="2">
                  <c:v>4.8000014745605428</c:v>
                </c:pt>
                <c:pt idx="3">
                  <c:v>7.950002977541339</c:v>
                </c:pt>
                <c:pt idx="4">
                  <c:v>10.600003970055118</c:v>
                </c:pt>
                <c:pt idx="5">
                  <c:v>13.250004962568898</c:v>
                </c:pt>
                <c:pt idx="6">
                  <c:v>15.000005000002</c:v>
                </c:pt>
                <c:pt idx="7">
                  <c:v>15.000002812500634</c:v>
                </c:pt>
                <c:pt idx="8">
                  <c:v>12.500001041666769</c:v>
                </c:pt>
                <c:pt idx="9">
                  <c:v>0</c:v>
                </c:pt>
                <c:pt idx="10">
                  <c:v>-14.000000746666712</c:v>
                </c:pt>
                <c:pt idx="11">
                  <c:v>-30.000005625001268</c:v>
                </c:pt>
                <c:pt idx="12">
                  <c:v>-59.940035449020691</c:v>
                </c:pt>
                <c:pt idx="13">
                  <c:v>-85.000081883427995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75C2-415D-9AB8-76C3A8303056}"/>
            </c:ext>
          </c:extLst>
        </c:ser>
        <c:ser>
          <c:idx val="5"/>
          <c:order val="5"/>
          <c:tx>
            <c:strRef>
              <c:f>'Remington Core-Lokt Copper HP'!$O$21</c:f>
              <c:strCache>
                <c:ptCount val="1"/>
                <c:pt idx="0">
                  <c:v>400m Zero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HP'!$O$22:$O$35</c:f>
              <c:numCache>
                <c:formatCode>0.00</c:formatCode>
                <c:ptCount val="14"/>
                <c:pt idx="0">
                  <c:v>-3.81</c:v>
                </c:pt>
                <c:pt idx="1">
                  <c:v>1.6700002483980712</c:v>
                </c:pt>
                <c:pt idx="2">
                  <c:v>8.3400077345913282</c:v>
                </c:pt>
                <c:pt idx="3">
                  <c:v>15.000020000031999</c:v>
                </c:pt>
                <c:pt idx="4">
                  <c:v>20.000026666709331</c:v>
                </c:pt>
                <c:pt idx="5">
                  <c:v>25.000033333386661</c:v>
                </c:pt>
                <c:pt idx="6">
                  <c:v>29.100036506974959</c:v>
                </c:pt>
                <c:pt idx="7">
                  <c:v>30.400023412074972</c:v>
                </c:pt>
                <c:pt idx="8">
                  <c:v>33.300019693900381</c:v>
                </c:pt>
                <c:pt idx="9">
                  <c:v>28.800008847363262</c:v>
                </c:pt>
                <c:pt idx="10">
                  <c:v>17.500001458333479</c:v>
                </c:pt>
                <c:pt idx="11">
                  <c:v>0</c:v>
                </c:pt>
                <c:pt idx="12">
                  <c:v>-27.000003240000463</c:v>
                </c:pt>
                <c:pt idx="13">
                  <c:v>-50.000016666673339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75C2-415D-9AB8-76C3A8303056}"/>
            </c:ext>
          </c:extLst>
        </c:ser>
        <c:ser>
          <c:idx val="6"/>
          <c:order val="6"/>
          <c:tx>
            <c:strRef>
              <c:f>'Remington Core-Lokt Copper HP'!$P$21</c:f>
              <c:strCache>
                <c:ptCount val="1"/>
                <c:pt idx="0">
                  <c:v>500m Zero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HP'!$P$22:$P$35</c:f>
              <c:numCache>
                <c:formatCode>0.00</c:formatCode>
                <c:ptCount val="14"/>
                <c:pt idx="0">
                  <c:v>-3.81</c:v>
                </c:pt>
                <c:pt idx="1">
                  <c:v>3.7500028125025313</c:v>
                </c:pt>
                <c:pt idx="2">
                  <c:v>13.34003165245951</c:v>
                </c:pt>
                <c:pt idx="3">
                  <c:v>22.500067500243006</c:v>
                </c:pt>
                <c:pt idx="4">
                  <c:v>30.000090000324004</c:v>
                </c:pt>
                <c:pt idx="5">
                  <c:v>37.500112500405002</c:v>
                </c:pt>
                <c:pt idx="6">
                  <c:v>40.500098415286985</c:v>
                </c:pt>
                <c:pt idx="7">
                  <c:v>50.000104166927088</c:v>
                </c:pt>
                <c:pt idx="8">
                  <c:v>56.250094922067206</c:v>
                </c:pt>
                <c:pt idx="9">
                  <c:v>57.00006859009904</c:v>
                </c:pt>
                <c:pt idx="10">
                  <c:v>52.500039375035435</c:v>
                </c:pt>
                <c:pt idx="11">
                  <c:v>40.000013333338671</c:v>
                </c:pt>
                <c:pt idx="12">
                  <c:v>22.500001875000187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75C2-415D-9AB8-76C3A83030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20432"/>
        <c:axId val="1264928592"/>
      </c:scatterChart>
      <c:valAx>
        <c:axId val="126492043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8592"/>
        <c:crosses val="autoZero"/>
        <c:crossBetween val="midCat"/>
      </c:valAx>
      <c:valAx>
        <c:axId val="126492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Elevation</a:t>
            </a:r>
            <a:r>
              <a:rPr lang="en-CA" baseline="0"/>
              <a:t> Holdovers(scope units)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Copper HP'!$C$21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0.15085566238792997"/>
                  <c:y val="-6.508398950131233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'Remington Core-Lokt Copper HP'!$C$23:$C$35</c:f>
              <c:numCache>
                <c:formatCode>0.000</c:formatCode>
                <c:ptCount val="13"/>
                <c:pt idx="0">
                  <c:v>-0.25</c:v>
                </c:pt>
                <c:pt idx="1">
                  <c:v>0</c:v>
                </c:pt>
                <c:pt idx="2">
                  <c:v>6.25E-2</c:v>
                </c:pt>
                <c:pt idx="3">
                  <c:v>0.1</c:v>
                </c:pt>
                <c:pt idx="4">
                  <c:v>8.3000000000000004E-2</c:v>
                </c:pt>
                <c:pt idx="5">
                  <c:v>8.3000000000000004E-2</c:v>
                </c:pt>
                <c:pt idx="6">
                  <c:v>0</c:v>
                </c:pt>
                <c:pt idx="7">
                  <c:v>-0.125</c:v>
                </c:pt>
                <c:pt idx="8">
                  <c:v>-0.1875</c:v>
                </c:pt>
                <c:pt idx="9">
                  <c:v>-0.26250000000000001</c:v>
                </c:pt>
                <c:pt idx="10">
                  <c:v>-0.41699999999999998</c:v>
                </c:pt>
                <c:pt idx="11">
                  <c:v>-0.55000000000000004</c:v>
                </c:pt>
                <c:pt idx="12">
                  <c:v>-0.66700000000000004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7D-4054-BF3D-212F278022ED}"/>
            </c:ext>
          </c:extLst>
        </c:ser>
        <c:ser>
          <c:idx val="1"/>
          <c:order val="1"/>
          <c:tx>
            <c:strRef>
              <c:f>'Remington Core-Lokt Copper HP'!$D$21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1.3282528921528326E-2"/>
                  <c:y val="2.682714660667416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'Remington Core-Lokt Copper HP'!$D$23:$D$35</c:f>
              <c:numCache>
                <c:formatCode>0.000</c:formatCode>
                <c:ptCount val="13"/>
                <c:pt idx="0">
                  <c:v>-0.33500000000000002</c:v>
                </c:pt>
                <c:pt idx="1">
                  <c:v>-8.3000000000000004E-2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-2.5000000000000001E-2</c:v>
                </c:pt>
                <c:pt idx="6">
                  <c:v>-0.125</c:v>
                </c:pt>
                <c:pt idx="7">
                  <c:v>-0.1875</c:v>
                </c:pt>
                <c:pt idx="8">
                  <c:v>-0.26500000000000001</c:v>
                </c:pt>
                <c:pt idx="9">
                  <c:v>-0.375</c:v>
                </c:pt>
                <c:pt idx="10">
                  <c:v>-0.5</c:v>
                </c:pt>
                <c:pt idx="11">
                  <c:v>-0.625</c:v>
                </c:pt>
                <c:pt idx="12">
                  <c:v>-0.75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17D-4054-BF3D-212F278022ED}"/>
            </c:ext>
          </c:extLst>
        </c:ser>
        <c:ser>
          <c:idx val="2"/>
          <c:order val="2"/>
          <c:tx>
            <c:strRef>
              <c:f>'Remington Core-Lokt Copper HP'!$E$21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22172185559612709"/>
                  <c:y val="1.331064866891638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'Remington Core-Lokt Copper HP'!$E$23:$E$35</c:f>
              <c:numCache>
                <c:formatCode>0.000</c:formatCode>
                <c:ptCount val="13"/>
                <c:pt idx="0">
                  <c:v>-0.32500000000000001</c:v>
                </c:pt>
                <c:pt idx="1">
                  <c:v>-7.4999999999999997E-2</c:v>
                </c:pt>
                <c:pt idx="2">
                  <c:v>0.05</c:v>
                </c:pt>
                <c:pt idx="3">
                  <c:v>0.1</c:v>
                </c:pt>
                <c:pt idx="4">
                  <c:v>0.05</c:v>
                </c:pt>
                <c:pt idx="5">
                  <c:v>0</c:v>
                </c:pt>
                <c:pt idx="6">
                  <c:v>-6.25E-2</c:v>
                </c:pt>
                <c:pt idx="7">
                  <c:v>-0.17499999999999999</c:v>
                </c:pt>
                <c:pt idx="8">
                  <c:v>-0.25</c:v>
                </c:pt>
                <c:pt idx="9">
                  <c:v>-0.37</c:v>
                </c:pt>
                <c:pt idx="10">
                  <c:v>-0.45</c:v>
                </c:pt>
                <c:pt idx="11">
                  <c:v>-0.58299999999999996</c:v>
                </c:pt>
                <c:pt idx="12">
                  <c:v>-0.6875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17D-4054-BF3D-212F278022ED}"/>
            </c:ext>
          </c:extLst>
        </c:ser>
        <c:ser>
          <c:idx val="3"/>
          <c:order val="3"/>
          <c:tx>
            <c:strRef>
              <c:f>'Remington Core-Lokt Copper HP'!$F$21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9279755716881369"/>
                  <c:y val="-7.615373078365213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'Remington Core-Lokt Copper HP'!$F$23:$F$35</c:f>
              <c:numCache>
                <c:formatCode>0.000</c:formatCode>
                <c:ptCount val="13"/>
                <c:pt idx="0">
                  <c:v>-0.25</c:v>
                </c:pt>
                <c:pt idx="1">
                  <c:v>7.4999999999999997E-2</c:v>
                </c:pt>
                <c:pt idx="2">
                  <c:v>0.125</c:v>
                </c:pt>
                <c:pt idx="3">
                  <c:v>0.125</c:v>
                </c:pt>
                <c:pt idx="4">
                  <c:v>0.125</c:v>
                </c:pt>
                <c:pt idx="5">
                  <c:v>8.3000000000000004E-2</c:v>
                </c:pt>
                <c:pt idx="6">
                  <c:v>0</c:v>
                </c:pt>
                <c:pt idx="7">
                  <c:v>-0.125</c:v>
                </c:pt>
                <c:pt idx="8">
                  <c:v>-0.1875</c:v>
                </c:pt>
                <c:pt idx="9">
                  <c:v>-0.255</c:v>
                </c:pt>
                <c:pt idx="10">
                  <c:v>-0.375</c:v>
                </c:pt>
                <c:pt idx="11">
                  <c:v>-0.5</c:v>
                </c:pt>
                <c:pt idx="12">
                  <c:v>-0.625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17D-4054-BF3D-212F278022ED}"/>
            </c:ext>
          </c:extLst>
        </c:ser>
        <c:ser>
          <c:idx val="4"/>
          <c:order val="4"/>
          <c:tx>
            <c:strRef>
              <c:f>'Remington Core-Lokt Copper HP'!$G$21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5287085628732297"/>
                  <c:y val="-0.469310836145481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'Remington Core-Lokt Copper HP'!$G$23:$G$35</c:f>
              <c:numCache>
                <c:formatCode>0.000</c:formatCode>
                <c:ptCount val="13"/>
                <c:pt idx="0">
                  <c:v>-8.5000000000000006E-2</c:v>
                </c:pt>
                <c:pt idx="1">
                  <c:v>0.24</c:v>
                </c:pt>
                <c:pt idx="2">
                  <c:v>0.26500000000000001</c:v>
                </c:pt>
                <c:pt idx="3">
                  <c:v>0.26500000000000001</c:v>
                </c:pt>
                <c:pt idx="4">
                  <c:v>0.26500000000000001</c:v>
                </c:pt>
                <c:pt idx="5">
                  <c:v>0.25</c:v>
                </c:pt>
                <c:pt idx="6">
                  <c:v>0.1875</c:v>
                </c:pt>
                <c:pt idx="7">
                  <c:v>0.125</c:v>
                </c:pt>
                <c:pt idx="8">
                  <c:v>0</c:v>
                </c:pt>
                <c:pt idx="9">
                  <c:v>-0.1</c:v>
                </c:pt>
                <c:pt idx="10">
                  <c:v>-0.1875</c:v>
                </c:pt>
                <c:pt idx="11">
                  <c:v>-0.33300000000000002</c:v>
                </c:pt>
                <c:pt idx="12">
                  <c:v>-0.42499999999999999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17D-4054-BF3D-212F278022ED}"/>
            </c:ext>
          </c:extLst>
        </c:ser>
        <c:ser>
          <c:idx val="5"/>
          <c:order val="5"/>
          <c:tx>
            <c:strRef>
              <c:f>'Remington Core-Lokt Copper HP'!$H$21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'Remington Core-Lokt Copper HP'!$H$23:$H$35</c:f>
              <c:numCache>
                <c:formatCode>0.000</c:formatCode>
                <c:ptCount val="13"/>
                <c:pt idx="0">
                  <c:v>0.16700000000000001</c:v>
                </c:pt>
                <c:pt idx="1">
                  <c:v>0.41699999999999998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0.48499999999999999</c:v>
                </c:pt>
                <c:pt idx="6">
                  <c:v>0.38</c:v>
                </c:pt>
                <c:pt idx="7">
                  <c:v>0.33300000000000002</c:v>
                </c:pt>
                <c:pt idx="8">
                  <c:v>0.24</c:v>
                </c:pt>
                <c:pt idx="9">
                  <c:v>0.125</c:v>
                </c:pt>
                <c:pt idx="10">
                  <c:v>0</c:v>
                </c:pt>
                <c:pt idx="11">
                  <c:v>-0.15</c:v>
                </c:pt>
                <c:pt idx="12">
                  <c:v>-0.25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17D-4054-BF3D-212F278022ED}"/>
            </c:ext>
          </c:extLst>
        </c:ser>
        <c:ser>
          <c:idx val="6"/>
          <c:order val="6"/>
          <c:tx>
            <c:strRef>
              <c:f>'Remington Core-Lokt Copper HP'!$I$21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'Remington Core-Lokt Copper HP'!$I$23:$I$35</c:f>
              <c:numCache>
                <c:formatCode>0.000</c:formatCode>
                <c:ptCount val="13"/>
                <c:pt idx="0">
                  <c:v>0.375</c:v>
                </c:pt>
                <c:pt idx="1">
                  <c:v>0.66700000000000004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0.67500000000000004</c:v>
                </c:pt>
                <c:pt idx="6">
                  <c:v>0.625</c:v>
                </c:pt>
                <c:pt idx="7">
                  <c:v>0.5625</c:v>
                </c:pt>
                <c:pt idx="8">
                  <c:v>0.47499999999999998</c:v>
                </c:pt>
                <c:pt idx="9">
                  <c:v>0.375</c:v>
                </c:pt>
                <c:pt idx="10">
                  <c:v>0.25</c:v>
                </c:pt>
                <c:pt idx="11">
                  <c:v>0.125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017D-4054-BF3D-212F27802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16592"/>
        <c:axId val="1264912752"/>
      </c:scatterChart>
      <c:valAx>
        <c:axId val="1264916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2752"/>
        <c:crosses val="autoZero"/>
        <c:crossBetween val="midCat"/>
      </c:valAx>
      <c:valAx>
        <c:axId val="126491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Hornady Calculated at 50m zero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Copper HP'!$J$21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9.7604524526931039E-2"/>
                  <c:y val="-0.2171378942595679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HP'!$J$22:$J$35</c:f>
              <c:numCache>
                <c:formatCode>0.00</c:formatCode>
                <c:ptCount val="14"/>
                <c:pt idx="0">
                  <c:v>-3.81</c:v>
                </c:pt>
                <c:pt idx="1">
                  <c:v>-2.8125011865240381</c:v>
                </c:pt>
                <c:pt idx="2">
                  <c:v>0</c:v>
                </c:pt>
                <c:pt idx="3">
                  <c:v>2.1093750556182878</c:v>
                </c:pt>
                <c:pt idx="4">
                  <c:v>4.5000003037500242</c:v>
                </c:pt>
                <c:pt idx="5">
                  <c:v>4.6687502171003894</c:v>
                </c:pt>
                <c:pt idx="6">
                  <c:v>5.6025002605204666</c:v>
                </c:pt>
                <c:pt idx="7">
                  <c:v>0</c:v>
                </c:pt>
                <c:pt idx="8">
                  <c:v>-14.062501483154483</c:v>
                </c:pt>
                <c:pt idx="9">
                  <c:v>-25.312506006776616</c:v>
                </c:pt>
                <c:pt idx="10">
                  <c:v>-41.343769229699461</c:v>
                </c:pt>
                <c:pt idx="11">
                  <c:v>-75.060088101855399</c:v>
                </c:pt>
                <c:pt idx="12">
                  <c:v>-111.37522741438535</c:v>
                </c:pt>
                <c:pt idx="13">
                  <c:v>-150.07545067696162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95-4375-BC17-3FE123609FC5}"/>
            </c:ext>
          </c:extLst>
        </c:ser>
        <c:ser>
          <c:idx val="1"/>
          <c:order val="1"/>
          <c:tx>
            <c:strRef>
              <c:f>'Remington Core-Lokt Copper HP'!$A$78</c:f>
              <c:strCache>
                <c:ptCount val="1"/>
                <c:pt idx="0">
                  <c:v>50m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8284734857347748"/>
                  <c:y val="-0.2465985912344898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HP'!$A$80:$A$100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HP'!$D$80:$D$100</c:f>
              <c:numCache>
                <c:formatCode>0.00</c:formatCode>
                <c:ptCount val="21"/>
                <c:pt idx="0">
                  <c:v>-3.8</c:v>
                </c:pt>
                <c:pt idx="1">
                  <c:v>-1.5</c:v>
                </c:pt>
                <c:pt idx="2">
                  <c:v>0</c:v>
                </c:pt>
                <c:pt idx="3">
                  <c:v>0.5</c:v>
                </c:pt>
                <c:pt idx="4">
                  <c:v>0.1</c:v>
                </c:pt>
                <c:pt idx="5">
                  <c:v>-1.4</c:v>
                </c:pt>
                <c:pt idx="6">
                  <c:v>-3.9</c:v>
                </c:pt>
                <c:pt idx="7">
                  <c:v>-7.6</c:v>
                </c:pt>
                <c:pt idx="8">
                  <c:v>-12.7</c:v>
                </c:pt>
                <c:pt idx="9">
                  <c:v>-19</c:v>
                </c:pt>
                <c:pt idx="10">
                  <c:v>-26.7</c:v>
                </c:pt>
                <c:pt idx="11">
                  <c:v>-36.200000000000003</c:v>
                </c:pt>
                <c:pt idx="12">
                  <c:v>-47</c:v>
                </c:pt>
                <c:pt idx="13">
                  <c:v>-59.6</c:v>
                </c:pt>
                <c:pt idx="14">
                  <c:v>-74.5</c:v>
                </c:pt>
                <c:pt idx="15">
                  <c:v>-90.9</c:v>
                </c:pt>
                <c:pt idx="16">
                  <c:v>-109.5</c:v>
                </c:pt>
                <c:pt idx="17">
                  <c:v>-131.1</c:v>
                </c:pt>
                <c:pt idx="18">
                  <c:v>-154.5</c:v>
                </c:pt>
                <c:pt idx="19">
                  <c:v>-180.5</c:v>
                </c:pt>
                <c:pt idx="20">
                  <c:v>-209.3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495-4375-BC17-3FE123609FC5}"/>
            </c:ext>
          </c:extLst>
        </c:ser>
        <c:ser>
          <c:idx val="2"/>
          <c:order val="2"/>
          <c:tx>
            <c:strRef>
              <c:f>'Remington Core-Lokt Copper HP'!$K$78</c:f>
              <c:strCache>
                <c:ptCount val="1"/>
                <c:pt idx="0">
                  <c:v>50m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Copper HP'!$K$80:$K$100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HP'!$N$80:$N$100</c:f>
              <c:numCache>
                <c:formatCode>0.00</c:formatCode>
                <c:ptCount val="21"/>
                <c:pt idx="0">
                  <c:v>-3.8</c:v>
                </c:pt>
                <c:pt idx="1">
                  <c:v>-1.5</c:v>
                </c:pt>
                <c:pt idx="2">
                  <c:v>0</c:v>
                </c:pt>
                <c:pt idx="3">
                  <c:v>0.6</c:v>
                </c:pt>
                <c:pt idx="4">
                  <c:v>0.3</c:v>
                </c:pt>
                <c:pt idx="5">
                  <c:v>-0.9</c:v>
                </c:pt>
                <c:pt idx="6">
                  <c:v>-3</c:v>
                </c:pt>
                <c:pt idx="7">
                  <c:v>-6.1</c:v>
                </c:pt>
                <c:pt idx="8">
                  <c:v>-10.3</c:v>
                </c:pt>
                <c:pt idx="9">
                  <c:v>-15.4</c:v>
                </c:pt>
                <c:pt idx="10">
                  <c:v>-21.5</c:v>
                </c:pt>
                <c:pt idx="11">
                  <c:v>-29</c:v>
                </c:pt>
                <c:pt idx="12">
                  <c:v>-37.4</c:v>
                </c:pt>
                <c:pt idx="13">
                  <c:v>-46.9</c:v>
                </c:pt>
                <c:pt idx="14">
                  <c:v>-58</c:v>
                </c:pt>
                <c:pt idx="15">
                  <c:v>-70</c:v>
                </c:pt>
                <c:pt idx="16">
                  <c:v>-83.2</c:v>
                </c:pt>
                <c:pt idx="17">
                  <c:v>-98.4</c:v>
                </c:pt>
                <c:pt idx="18">
                  <c:v>-114.3</c:v>
                </c:pt>
                <c:pt idx="19">
                  <c:v>-131.69999999999999</c:v>
                </c:pt>
                <c:pt idx="20">
                  <c:v>-150.5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7A2-4504-ACAF-36E37CD117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38672"/>
        <c:axId val="1264916112"/>
      </c:scatterChart>
      <c:valAx>
        <c:axId val="1264938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112"/>
        <c:crosses val="autoZero"/>
        <c:crossBetween val="midCat"/>
        <c:majorUnit val="100"/>
        <c:minorUnit val="25"/>
      </c:valAx>
      <c:valAx>
        <c:axId val="12649161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38672"/>
        <c:crosses val="autoZero"/>
        <c:crossBetween val="midCat"/>
        <c:majorUnit val="100"/>
        <c:minorUnit val="2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Copper HP'!$D$21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1331759925652882"/>
                  <c:y val="-0.2431357538641003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HP'!$K$22:$K$35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-3.3500020050881067</c:v>
                </c:pt>
                <c:pt idx="2">
                  <c:v>-1.660000060990616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-1.5000000050000002</c:v>
                </c:pt>
                <c:pt idx="7">
                  <c:v>-10.000000833333415</c:v>
                </c:pt>
                <c:pt idx="8">
                  <c:v>-18.750003515625792</c:v>
                </c:pt>
                <c:pt idx="9">
                  <c:v>-31.800011910165356</c:v>
                </c:pt>
                <c:pt idx="10">
                  <c:v>-52.500039375035435</c:v>
                </c:pt>
                <c:pt idx="11">
                  <c:v>-80.000106666837326</c:v>
                </c:pt>
                <c:pt idx="12">
                  <c:v>-112.50023437558593</c:v>
                </c:pt>
                <c:pt idx="13">
                  <c:v>-150.00045000162001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03-41A0-B0ED-60A4788E0721}"/>
            </c:ext>
          </c:extLst>
        </c:ser>
        <c:ser>
          <c:idx val="1"/>
          <c:order val="1"/>
          <c:tx>
            <c:strRef>
              <c:f>'Remington Core-Lokt Copper HP'!$A$102</c:f>
              <c:strCache>
                <c:ptCount val="1"/>
                <c:pt idx="0">
                  <c:v>100m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8356355701325985"/>
                  <c:y val="-0.2194354525128803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HP'!$A$104:$A$124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HP'!$D$104:$D$124</c:f>
              <c:numCache>
                <c:formatCode>0.00</c:formatCode>
                <c:ptCount val="21"/>
                <c:pt idx="0">
                  <c:v>-3.8</c:v>
                </c:pt>
                <c:pt idx="1">
                  <c:v>-1.5</c:v>
                </c:pt>
                <c:pt idx="2">
                  <c:v>-0.1</c:v>
                </c:pt>
                <c:pt idx="3">
                  <c:v>0.5</c:v>
                </c:pt>
                <c:pt idx="4">
                  <c:v>0</c:v>
                </c:pt>
                <c:pt idx="5">
                  <c:v>-1.5</c:v>
                </c:pt>
                <c:pt idx="6">
                  <c:v>-4.0999999999999996</c:v>
                </c:pt>
                <c:pt idx="7">
                  <c:v>-7.8</c:v>
                </c:pt>
                <c:pt idx="8">
                  <c:v>-13</c:v>
                </c:pt>
                <c:pt idx="9">
                  <c:v>-19.3</c:v>
                </c:pt>
                <c:pt idx="10">
                  <c:v>-27</c:v>
                </c:pt>
                <c:pt idx="11">
                  <c:v>-36.5</c:v>
                </c:pt>
                <c:pt idx="12">
                  <c:v>-47.4</c:v>
                </c:pt>
                <c:pt idx="13">
                  <c:v>-59.9</c:v>
                </c:pt>
                <c:pt idx="14">
                  <c:v>-74.900000000000006</c:v>
                </c:pt>
                <c:pt idx="15">
                  <c:v>-91.3</c:v>
                </c:pt>
                <c:pt idx="16">
                  <c:v>-109.9</c:v>
                </c:pt>
                <c:pt idx="17">
                  <c:v>-131.6</c:v>
                </c:pt>
                <c:pt idx="18">
                  <c:v>-155</c:v>
                </c:pt>
                <c:pt idx="19">
                  <c:v>-181</c:v>
                </c:pt>
                <c:pt idx="20">
                  <c:v>-209.9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503-41A0-B0ED-60A4788E0721}"/>
            </c:ext>
          </c:extLst>
        </c:ser>
        <c:ser>
          <c:idx val="2"/>
          <c:order val="2"/>
          <c:tx>
            <c:strRef>
              <c:f>'Remington Core-Lokt Copper HP'!$K$102</c:f>
              <c:strCache>
                <c:ptCount val="1"/>
                <c:pt idx="0">
                  <c:v>100m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Copper HP'!$K$104:$K$124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HP'!$N$104:$N$124</c:f>
              <c:numCache>
                <c:formatCode>0.00</c:formatCode>
                <c:ptCount val="21"/>
                <c:pt idx="0">
                  <c:v>-3.8</c:v>
                </c:pt>
                <c:pt idx="1">
                  <c:v>-1.6</c:v>
                </c:pt>
                <c:pt idx="2">
                  <c:v>-0.2</c:v>
                </c:pt>
                <c:pt idx="3">
                  <c:v>0.3</c:v>
                </c:pt>
                <c:pt idx="4">
                  <c:v>0</c:v>
                </c:pt>
                <c:pt idx="5">
                  <c:v>-1.3</c:v>
                </c:pt>
                <c:pt idx="6">
                  <c:v>-3.5</c:v>
                </c:pt>
                <c:pt idx="7">
                  <c:v>-6.7</c:v>
                </c:pt>
                <c:pt idx="8">
                  <c:v>-11</c:v>
                </c:pt>
                <c:pt idx="9">
                  <c:v>-16.100000000000001</c:v>
                </c:pt>
                <c:pt idx="10">
                  <c:v>-22.4</c:v>
                </c:pt>
                <c:pt idx="11">
                  <c:v>-30</c:v>
                </c:pt>
                <c:pt idx="12">
                  <c:v>-38.4</c:v>
                </c:pt>
                <c:pt idx="13">
                  <c:v>-48</c:v>
                </c:pt>
                <c:pt idx="14">
                  <c:v>-59.2</c:v>
                </c:pt>
                <c:pt idx="15">
                  <c:v>-71.3</c:v>
                </c:pt>
                <c:pt idx="16">
                  <c:v>-84.6</c:v>
                </c:pt>
                <c:pt idx="17">
                  <c:v>-99.8</c:v>
                </c:pt>
                <c:pt idx="18">
                  <c:v>-115.8</c:v>
                </c:pt>
                <c:pt idx="19">
                  <c:v>-133.30000000000001</c:v>
                </c:pt>
                <c:pt idx="20">
                  <c:v>-152.1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60C-4E28-9D55-CBDE07A555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150m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Copper HP'!$E$21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1121205914114024"/>
                  <c:y val="-0.2402563915621658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HP'!$L$22:$L$35</c:f>
              <c:numCache>
                <c:formatCode>0.00</c:formatCode>
                <c:ptCount val="14"/>
                <c:pt idx="0">
                  <c:v>-3.81</c:v>
                </c:pt>
                <c:pt idx="1">
                  <c:v>-3.2500018308345711</c:v>
                </c:pt>
                <c:pt idx="2">
                  <c:v>-1.5000000450000013</c:v>
                </c:pt>
                <c:pt idx="3">
                  <c:v>1.5000000200000003</c:v>
                </c:pt>
                <c:pt idx="4">
                  <c:v>4.0000002133333465</c:v>
                </c:pt>
                <c:pt idx="5">
                  <c:v>2.5000000333333343</c:v>
                </c:pt>
                <c:pt idx="6">
                  <c:v>0</c:v>
                </c:pt>
                <c:pt idx="7">
                  <c:v>-5.0000001041666682</c:v>
                </c:pt>
                <c:pt idx="8">
                  <c:v>-17.500002858333893</c:v>
                </c:pt>
                <c:pt idx="9">
                  <c:v>-30.000010000004</c:v>
                </c:pt>
                <c:pt idx="10">
                  <c:v>-51.800037820939806</c:v>
                </c:pt>
                <c:pt idx="11">
                  <c:v>-72.000077760100766</c:v>
                </c:pt>
                <c:pt idx="12">
                  <c:v>-104.94019022948933</c:v>
                </c:pt>
                <c:pt idx="13">
                  <c:v>-137.50034661563183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D-434D-A014-8E554FDD2C35}"/>
            </c:ext>
          </c:extLst>
        </c:ser>
        <c:ser>
          <c:idx val="1"/>
          <c:order val="1"/>
          <c:tx>
            <c:strRef>
              <c:f>'Remington Core-Lokt Copper HP'!$A$126</c:f>
              <c:strCache>
                <c:ptCount val="1"/>
                <c:pt idx="0">
                  <c:v>150m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3993676582240863"/>
                  <c:y val="-0.2133301740060270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HP'!$A$128:$A$148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HP'!$D$128:$D$148</c:f>
              <c:numCache>
                <c:formatCode>0.00</c:formatCode>
                <c:ptCount val="21"/>
                <c:pt idx="0">
                  <c:v>-3.8</c:v>
                </c:pt>
                <c:pt idx="1">
                  <c:v>-0.8</c:v>
                </c:pt>
                <c:pt idx="2">
                  <c:v>1.3</c:v>
                </c:pt>
                <c:pt idx="3">
                  <c:v>2.5</c:v>
                </c:pt>
                <c:pt idx="4">
                  <c:v>2.8</c:v>
                </c:pt>
                <c:pt idx="5">
                  <c:v>1.9</c:v>
                </c:pt>
                <c:pt idx="6">
                  <c:v>0</c:v>
                </c:pt>
                <c:pt idx="7">
                  <c:v>-3</c:v>
                </c:pt>
                <c:pt idx="8">
                  <c:v>-7.4</c:v>
                </c:pt>
                <c:pt idx="9">
                  <c:v>-13.1</c:v>
                </c:pt>
                <c:pt idx="10">
                  <c:v>-20.100000000000001</c:v>
                </c:pt>
                <c:pt idx="11">
                  <c:v>-28.9</c:v>
                </c:pt>
                <c:pt idx="12">
                  <c:v>-39.1</c:v>
                </c:pt>
                <c:pt idx="13">
                  <c:v>-51</c:v>
                </c:pt>
                <c:pt idx="14">
                  <c:v>-65.2</c:v>
                </c:pt>
                <c:pt idx="15">
                  <c:v>-81</c:v>
                </c:pt>
                <c:pt idx="16">
                  <c:v>-98.9</c:v>
                </c:pt>
                <c:pt idx="17">
                  <c:v>-119.9</c:v>
                </c:pt>
                <c:pt idx="18">
                  <c:v>-142.6</c:v>
                </c:pt>
                <c:pt idx="19">
                  <c:v>-167.9</c:v>
                </c:pt>
                <c:pt idx="20">
                  <c:v>-196.1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D-434D-A014-8E554FDD2C35}"/>
            </c:ext>
          </c:extLst>
        </c:ser>
        <c:ser>
          <c:idx val="2"/>
          <c:order val="2"/>
          <c:tx>
            <c:strRef>
              <c:f>'Remington Core-Lokt Copper HP'!$K$126</c:f>
              <c:strCache>
                <c:ptCount val="1"/>
                <c:pt idx="0">
                  <c:v>150m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Copper HP'!$K$128:$K$148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HP'!$N$128:$N$148</c:f>
              <c:numCache>
                <c:formatCode>0.00</c:formatCode>
                <c:ptCount val="21"/>
                <c:pt idx="0">
                  <c:v>-3.8</c:v>
                </c:pt>
                <c:pt idx="1">
                  <c:v>-1</c:v>
                </c:pt>
                <c:pt idx="2">
                  <c:v>1</c:v>
                </c:pt>
                <c:pt idx="3">
                  <c:v>2.1</c:v>
                </c:pt>
                <c:pt idx="4">
                  <c:v>2.2999999999999998</c:v>
                </c:pt>
                <c:pt idx="5">
                  <c:v>1.6</c:v>
                </c:pt>
                <c:pt idx="6">
                  <c:v>0</c:v>
                </c:pt>
                <c:pt idx="7">
                  <c:v>-2.6</c:v>
                </c:pt>
                <c:pt idx="8">
                  <c:v>-6.3</c:v>
                </c:pt>
                <c:pt idx="9">
                  <c:v>-10.9</c:v>
                </c:pt>
                <c:pt idx="10">
                  <c:v>-16.5</c:v>
                </c:pt>
                <c:pt idx="11">
                  <c:v>-23.5</c:v>
                </c:pt>
                <c:pt idx="12">
                  <c:v>-31.4</c:v>
                </c:pt>
                <c:pt idx="13">
                  <c:v>-40.4</c:v>
                </c:pt>
                <c:pt idx="14">
                  <c:v>-51</c:v>
                </c:pt>
                <c:pt idx="15">
                  <c:v>-62.5</c:v>
                </c:pt>
                <c:pt idx="16">
                  <c:v>-75.2</c:v>
                </c:pt>
                <c:pt idx="17">
                  <c:v>-89.8</c:v>
                </c:pt>
                <c:pt idx="18">
                  <c:v>-105.3</c:v>
                </c:pt>
                <c:pt idx="19">
                  <c:v>-122.1</c:v>
                </c:pt>
                <c:pt idx="20">
                  <c:v>-140.4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201-4C00-9449-B65B62212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200m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Copper HP'!$M$21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9.8390375856451009E-2"/>
                  <c:y val="-0.2867006901915038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HP'!$M$22:$M$35</c:f>
              <c:numCache>
                <c:formatCode>0.00</c:formatCode>
                <c:ptCount val="14"/>
                <c:pt idx="0">
                  <c:v>-3.81</c:v>
                </c:pt>
                <c:pt idx="1">
                  <c:v>-2.500000833333667</c:v>
                </c:pt>
                <c:pt idx="2">
                  <c:v>1.5000000450000013</c:v>
                </c:pt>
                <c:pt idx="3">
                  <c:v>3.7500003125000307</c:v>
                </c:pt>
                <c:pt idx="4">
                  <c:v>5.0000004166667074</c:v>
                </c:pt>
                <c:pt idx="5">
                  <c:v>6.2500005208333844</c:v>
                </c:pt>
                <c:pt idx="6">
                  <c:v>4.9800001829718479</c:v>
                </c:pt>
                <c:pt idx="7">
                  <c:v>0</c:v>
                </c:pt>
                <c:pt idx="8">
                  <c:v>-12.500001041666769</c:v>
                </c:pt>
                <c:pt idx="9">
                  <c:v>-22.500004218750952</c:v>
                </c:pt>
                <c:pt idx="10">
                  <c:v>-35.700012380765159</c:v>
                </c:pt>
                <c:pt idx="11">
                  <c:v>-60.000045000040501</c:v>
                </c:pt>
                <c:pt idx="12">
                  <c:v>-90.000120000191998</c:v>
                </c:pt>
                <c:pt idx="13">
                  <c:v>-125.0002604173177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6D6-44BC-864B-017E09325CA7}"/>
            </c:ext>
          </c:extLst>
        </c:ser>
        <c:ser>
          <c:idx val="1"/>
          <c:order val="1"/>
          <c:tx>
            <c:strRef>
              <c:f>'Remington Core-Lokt Copper HP'!$A$150</c:f>
              <c:strCache>
                <c:ptCount val="1"/>
                <c:pt idx="0">
                  <c:v>200m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5278563561816286"/>
                  <c:y val="-0.214159375911344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HP'!$A$152:$A$172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HP'!$D$152:$D$172</c:f>
              <c:numCache>
                <c:formatCode>0.00</c:formatCode>
                <c:ptCount val="21"/>
                <c:pt idx="0">
                  <c:v>-3.8</c:v>
                </c:pt>
                <c:pt idx="1">
                  <c:v>0.1</c:v>
                </c:pt>
                <c:pt idx="2">
                  <c:v>3.2</c:v>
                </c:pt>
                <c:pt idx="3">
                  <c:v>5.3</c:v>
                </c:pt>
                <c:pt idx="4">
                  <c:v>6.5</c:v>
                </c:pt>
                <c:pt idx="5">
                  <c:v>6.6</c:v>
                </c:pt>
                <c:pt idx="6">
                  <c:v>5.6</c:v>
                </c:pt>
                <c:pt idx="7">
                  <c:v>3.5</c:v>
                </c:pt>
                <c:pt idx="8">
                  <c:v>0</c:v>
                </c:pt>
                <c:pt idx="9">
                  <c:v>-4.7</c:v>
                </c:pt>
                <c:pt idx="10">
                  <c:v>-10.8</c:v>
                </c:pt>
                <c:pt idx="11">
                  <c:v>-18.7</c:v>
                </c:pt>
                <c:pt idx="12">
                  <c:v>-27.9</c:v>
                </c:pt>
                <c:pt idx="13">
                  <c:v>-38.9</c:v>
                </c:pt>
                <c:pt idx="14">
                  <c:v>-52.2</c:v>
                </c:pt>
                <c:pt idx="15">
                  <c:v>-67</c:v>
                </c:pt>
                <c:pt idx="16">
                  <c:v>-84</c:v>
                </c:pt>
                <c:pt idx="17">
                  <c:v>-104</c:v>
                </c:pt>
                <c:pt idx="18">
                  <c:v>-125.8</c:v>
                </c:pt>
                <c:pt idx="19">
                  <c:v>-150.19999999999999</c:v>
                </c:pt>
                <c:pt idx="20">
                  <c:v>-177.5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6D6-44BC-864B-017E09325CA7}"/>
            </c:ext>
          </c:extLst>
        </c:ser>
        <c:ser>
          <c:idx val="2"/>
          <c:order val="2"/>
          <c:tx>
            <c:strRef>
              <c:f>'Remington Core-Lokt Copper HP'!$K$150</c:f>
              <c:strCache>
                <c:ptCount val="1"/>
                <c:pt idx="0">
                  <c:v>200m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Copper HP'!$K$152:$K$172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HP'!$N$152:$N$172</c:f>
              <c:numCache>
                <c:formatCode>0.00</c:formatCode>
                <c:ptCount val="21"/>
                <c:pt idx="0">
                  <c:v>-3.8</c:v>
                </c:pt>
                <c:pt idx="1">
                  <c:v>-0.2</c:v>
                </c:pt>
                <c:pt idx="2">
                  <c:v>2.6</c:v>
                </c:pt>
                <c:pt idx="3">
                  <c:v>4.4000000000000004</c:v>
                </c:pt>
                <c:pt idx="4">
                  <c:v>5.4</c:v>
                </c:pt>
                <c:pt idx="5">
                  <c:v>5.5</c:v>
                </c:pt>
                <c:pt idx="6">
                  <c:v>4.7</c:v>
                </c:pt>
                <c:pt idx="7">
                  <c:v>2.9</c:v>
                </c:pt>
                <c:pt idx="8">
                  <c:v>-0.1</c:v>
                </c:pt>
                <c:pt idx="9">
                  <c:v>-3.9</c:v>
                </c:pt>
                <c:pt idx="10">
                  <c:v>-8.8000000000000007</c:v>
                </c:pt>
                <c:pt idx="11">
                  <c:v>-15</c:v>
                </c:pt>
                <c:pt idx="12">
                  <c:v>-22.1</c:v>
                </c:pt>
                <c:pt idx="13">
                  <c:v>-30.3</c:v>
                </c:pt>
                <c:pt idx="14">
                  <c:v>-40.1</c:v>
                </c:pt>
                <c:pt idx="15">
                  <c:v>-50.9</c:v>
                </c:pt>
                <c:pt idx="16">
                  <c:v>-62.8</c:v>
                </c:pt>
                <c:pt idx="17">
                  <c:v>-76.599999999999994</c:v>
                </c:pt>
                <c:pt idx="18">
                  <c:v>-91.3</c:v>
                </c:pt>
                <c:pt idx="19">
                  <c:v>-107.4</c:v>
                </c:pt>
                <c:pt idx="20">
                  <c:v>-125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BE-4F9C-8591-DC6DBF528B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300m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Copper HP'!$N$21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7.8576187352617372E-2"/>
                  <c:y val="-0.3015692135705259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HP'!$N$22:$N$35</c:f>
              <c:numCache>
                <c:formatCode>0.00</c:formatCode>
                <c:ptCount val="14"/>
                <c:pt idx="0">
                  <c:v>-3.81</c:v>
                </c:pt>
                <c:pt idx="1">
                  <c:v>-0.8500000327533348</c:v>
                </c:pt>
                <c:pt idx="2">
                  <c:v>4.8000014745605428</c:v>
                </c:pt>
                <c:pt idx="3">
                  <c:v>7.950002977541339</c:v>
                </c:pt>
                <c:pt idx="4">
                  <c:v>10.600003970055118</c:v>
                </c:pt>
                <c:pt idx="5">
                  <c:v>13.250004962568898</c:v>
                </c:pt>
                <c:pt idx="6">
                  <c:v>15.000005000002</c:v>
                </c:pt>
                <c:pt idx="7">
                  <c:v>15.000002812500634</c:v>
                </c:pt>
                <c:pt idx="8">
                  <c:v>12.500001041666769</c:v>
                </c:pt>
                <c:pt idx="9">
                  <c:v>0</c:v>
                </c:pt>
                <c:pt idx="10">
                  <c:v>-14.000000746666712</c:v>
                </c:pt>
                <c:pt idx="11">
                  <c:v>-30.000005625001268</c:v>
                </c:pt>
                <c:pt idx="12">
                  <c:v>-59.940035449020691</c:v>
                </c:pt>
                <c:pt idx="13">
                  <c:v>-85.000081883427995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A0-4A45-AFC4-9DA271B2CC54}"/>
            </c:ext>
          </c:extLst>
        </c:ser>
        <c:ser>
          <c:idx val="1"/>
          <c:order val="1"/>
          <c:tx>
            <c:strRef>
              <c:f>'Remington Core-Lokt Copper HP'!$A$174</c:f>
              <c:strCache>
                <c:ptCount val="1"/>
                <c:pt idx="0">
                  <c:v>300m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4.7756219570696951E-2"/>
                  <c:y val="-0.188998493243900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HP'!$A$176:$A$196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HP'!$D$176:$D$196</c:f>
              <c:numCache>
                <c:formatCode>0.00</c:formatCode>
                <c:ptCount val="21"/>
                <c:pt idx="0">
                  <c:v>-3.8</c:v>
                </c:pt>
                <c:pt idx="1">
                  <c:v>2.4</c:v>
                </c:pt>
                <c:pt idx="2">
                  <c:v>7.9</c:v>
                </c:pt>
                <c:pt idx="3">
                  <c:v>12.4</c:v>
                </c:pt>
                <c:pt idx="4">
                  <c:v>15.8</c:v>
                </c:pt>
                <c:pt idx="5">
                  <c:v>18.399999999999999</c:v>
                </c:pt>
                <c:pt idx="6">
                  <c:v>19.7</c:v>
                </c:pt>
                <c:pt idx="7">
                  <c:v>19.899999999999999</c:v>
                </c:pt>
                <c:pt idx="8">
                  <c:v>18.8</c:v>
                </c:pt>
                <c:pt idx="9">
                  <c:v>16.399999999999999</c:v>
                </c:pt>
                <c:pt idx="10">
                  <c:v>12.6</c:v>
                </c:pt>
                <c:pt idx="11">
                  <c:v>7.1</c:v>
                </c:pt>
                <c:pt idx="12">
                  <c:v>0.2</c:v>
                </c:pt>
                <c:pt idx="13">
                  <c:v>-8.5</c:v>
                </c:pt>
                <c:pt idx="14">
                  <c:v>-19.399999999999999</c:v>
                </c:pt>
                <c:pt idx="15">
                  <c:v>-31.9</c:v>
                </c:pt>
                <c:pt idx="16">
                  <c:v>-46.6</c:v>
                </c:pt>
                <c:pt idx="17">
                  <c:v>-64.2</c:v>
                </c:pt>
                <c:pt idx="18">
                  <c:v>-83.7</c:v>
                </c:pt>
                <c:pt idx="19">
                  <c:v>-105.8</c:v>
                </c:pt>
                <c:pt idx="20">
                  <c:v>-130.69999999999999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6A0-4A45-AFC4-9DA271B2CC54}"/>
            </c:ext>
          </c:extLst>
        </c:ser>
        <c:ser>
          <c:idx val="2"/>
          <c:order val="2"/>
          <c:tx>
            <c:strRef>
              <c:f>'Remington Core-Lokt Copper HP'!$K$174</c:f>
              <c:strCache>
                <c:ptCount val="1"/>
                <c:pt idx="0">
                  <c:v>300m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Copper HP'!$K$176:$K$196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HP'!$N$176:$N$196</c:f>
              <c:numCache>
                <c:formatCode>0.00</c:formatCode>
                <c:ptCount val="21"/>
                <c:pt idx="0">
                  <c:v>-3.8</c:v>
                </c:pt>
                <c:pt idx="1">
                  <c:v>1.6</c:v>
                </c:pt>
                <c:pt idx="2">
                  <c:v>6.3</c:v>
                </c:pt>
                <c:pt idx="3">
                  <c:v>10</c:v>
                </c:pt>
                <c:pt idx="4">
                  <c:v>12.8</c:v>
                </c:pt>
                <c:pt idx="5">
                  <c:v>14.8</c:v>
                </c:pt>
                <c:pt idx="6">
                  <c:v>15.7</c:v>
                </c:pt>
                <c:pt idx="7">
                  <c:v>15.8</c:v>
                </c:pt>
                <c:pt idx="8">
                  <c:v>14.7</c:v>
                </c:pt>
                <c:pt idx="9">
                  <c:v>12.7</c:v>
                </c:pt>
                <c:pt idx="10">
                  <c:v>9.6999999999999993</c:v>
                </c:pt>
                <c:pt idx="11">
                  <c:v>5.4</c:v>
                </c:pt>
                <c:pt idx="12">
                  <c:v>0.1</c:v>
                </c:pt>
                <c:pt idx="13">
                  <c:v>-6.4</c:v>
                </c:pt>
                <c:pt idx="14">
                  <c:v>-14.3</c:v>
                </c:pt>
                <c:pt idx="15">
                  <c:v>-23.2</c:v>
                </c:pt>
                <c:pt idx="16">
                  <c:v>-33.299999999999997</c:v>
                </c:pt>
                <c:pt idx="17">
                  <c:v>-45.2</c:v>
                </c:pt>
                <c:pt idx="18">
                  <c:v>-58.1</c:v>
                </c:pt>
                <c:pt idx="19">
                  <c:v>-72.400000000000006</c:v>
                </c:pt>
                <c:pt idx="20">
                  <c:v>-88.1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F92-443E-AF61-3A965B544E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400m zero</a:t>
            </a:r>
          </a:p>
        </c:rich>
      </c:tx>
      <c:layout>
        <c:manualLayout>
          <c:xMode val="edge"/>
          <c:yMode val="edge"/>
          <c:x val="0.281342270218221"/>
          <c:y val="3.08641975308641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Copper HP'!$O$21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6.0852761983694E-2"/>
                  <c:y val="-0.4179943132108486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HP'!$O$22:$O$35</c:f>
              <c:numCache>
                <c:formatCode>0.00</c:formatCode>
                <c:ptCount val="14"/>
                <c:pt idx="0">
                  <c:v>-3.81</c:v>
                </c:pt>
                <c:pt idx="1">
                  <c:v>1.6700002483980712</c:v>
                </c:pt>
                <c:pt idx="2">
                  <c:v>8.3400077345913282</c:v>
                </c:pt>
                <c:pt idx="3">
                  <c:v>15.000020000031999</c:v>
                </c:pt>
                <c:pt idx="4">
                  <c:v>20.000026666709331</c:v>
                </c:pt>
                <c:pt idx="5">
                  <c:v>25.000033333386661</c:v>
                </c:pt>
                <c:pt idx="6">
                  <c:v>29.100036506974959</c:v>
                </c:pt>
                <c:pt idx="7">
                  <c:v>30.400023412074972</c:v>
                </c:pt>
                <c:pt idx="8">
                  <c:v>33.300019693900381</c:v>
                </c:pt>
                <c:pt idx="9">
                  <c:v>28.800008847363262</c:v>
                </c:pt>
                <c:pt idx="10">
                  <c:v>17.500001458333479</c:v>
                </c:pt>
                <c:pt idx="11">
                  <c:v>0</c:v>
                </c:pt>
                <c:pt idx="12">
                  <c:v>-27.000003240000463</c:v>
                </c:pt>
                <c:pt idx="13">
                  <c:v>-50.000016666673339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1C6-450A-88A7-9BE18054F380}"/>
            </c:ext>
          </c:extLst>
        </c:ser>
        <c:ser>
          <c:idx val="1"/>
          <c:order val="1"/>
          <c:tx>
            <c:strRef>
              <c:f>'Remington Core-Lokt Copper HP'!$A$198</c:f>
              <c:strCache>
                <c:ptCount val="1"/>
                <c:pt idx="0">
                  <c:v>400m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6.0389460263028383E-2"/>
                  <c:y val="-6.176679303975891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HP'!$A$200:$A$220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HP'!$D$200:$D$220</c:f>
              <c:numCache>
                <c:formatCode>0.00</c:formatCode>
                <c:ptCount val="21"/>
                <c:pt idx="0">
                  <c:v>-3.8</c:v>
                </c:pt>
                <c:pt idx="1">
                  <c:v>5.4</c:v>
                </c:pt>
                <c:pt idx="2">
                  <c:v>13.9</c:v>
                </c:pt>
                <c:pt idx="3">
                  <c:v>21.2</c:v>
                </c:pt>
                <c:pt idx="4">
                  <c:v>27.6</c:v>
                </c:pt>
                <c:pt idx="5">
                  <c:v>33.200000000000003</c:v>
                </c:pt>
                <c:pt idx="6">
                  <c:v>37.4</c:v>
                </c:pt>
                <c:pt idx="7">
                  <c:v>40.5</c:v>
                </c:pt>
                <c:pt idx="8">
                  <c:v>42.5</c:v>
                </c:pt>
                <c:pt idx="9">
                  <c:v>43</c:v>
                </c:pt>
                <c:pt idx="10">
                  <c:v>42.1</c:v>
                </c:pt>
                <c:pt idx="11">
                  <c:v>39.700000000000003</c:v>
                </c:pt>
                <c:pt idx="12">
                  <c:v>35.6</c:v>
                </c:pt>
                <c:pt idx="13">
                  <c:v>29.9</c:v>
                </c:pt>
                <c:pt idx="14">
                  <c:v>22</c:v>
                </c:pt>
                <c:pt idx="15">
                  <c:v>12.4</c:v>
                </c:pt>
                <c:pt idx="16">
                  <c:v>0.7</c:v>
                </c:pt>
                <c:pt idx="17">
                  <c:v>-13.9</c:v>
                </c:pt>
                <c:pt idx="18">
                  <c:v>-30.5</c:v>
                </c:pt>
                <c:pt idx="19">
                  <c:v>-49.7</c:v>
                </c:pt>
                <c:pt idx="20">
                  <c:v>-71.7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1C6-450A-88A7-9BE18054F380}"/>
            </c:ext>
          </c:extLst>
        </c:ser>
        <c:ser>
          <c:idx val="2"/>
          <c:order val="2"/>
          <c:tx>
            <c:strRef>
              <c:f>'Remington Core-Lokt Copper HP'!$K$198</c:f>
              <c:strCache>
                <c:ptCount val="1"/>
                <c:pt idx="0">
                  <c:v>400m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Copper HP'!$K$200:$K$220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HP'!$N$200:$N$220</c:f>
              <c:numCache>
                <c:formatCode>0.00</c:formatCode>
                <c:ptCount val="21"/>
                <c:pt idx="0">
                  <c:v>-3.8</c:v>
                </c:pt>
                <c:pt idx="1">
                  <c:v>3.7</c:v>
                </c:pt>
                <c:pt idx="2">
                  <c:v>10.5</c:v>
                </c:pt>
                <c:pt idx="3">
                  <c:v>16.3</c:v>
                </c:pt>
                <c:pt idx="4">
                  <c:v>21.2</c:v>
                </c:pt>
                <c:pt idx="5">
                  <c:v>25.3</c:v>
                </c:pt>
                <c:pt idx="6">
                  <c:v>28.3</c:v>
                </c:pt>
                <c:pt idx="7">
                  <c:v>30.4</c:v>
                </c:pt>
                <c:pt idx="8">
                  <c:v>31.6</c:v>
                </c:pt>
                <c:pt idx="9">
                  <c:v>31.6</c:v>
                </c:pt>
                <c:pt idx="10">
                  <c:v>30.6</c:v>
                </c:pt>
                <c:pt idx="11">
                  <c:v>28.5</c:v>
                </c:pt>
                <c:pt idx="12">
                  <c:v>25.3</c:v>
                </c:pt>
                <c:pt idx="13">
                  <c:v>20.9</c:v>
                </c:pt>
                <c:pt idx="14">
                  <c:v>15.1</c:v>
                </c:pt>
                <c:pt idx="15">
                  <c:v>8.3000000000000007</c:v>
                </c:pt>
                <c:pt idx="16">
                  <c:v>0.2</c:v>
                </c:pt>
                <c:pt idx="17">
                  <c:v>-9.6</c:v>
                </c:pt>
                <c:pt idx="18">
                  <c:v>-20.399999999999999</c:v>
                </c:pt>
                <c:pt idx="19">
                  <c:v>-32.6</c:v>
                </c:pt>
                <c:pt idx="20">
                  <c:v>-46.2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644-4295-B54F-2129D86364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500m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Copper HP'!$P$21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9.7573381596070777E-2"/>
                  <c:y val="-0.4888621561193739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HP'!$P$22:$P$35</c:f>
              <c:numCache>
                <c:formatCode>0.00</c:formatCode>
                <c:ptCount val="14"/>
                <c:pt idx="0">
                  <c:v>-3.81</c:v>
                </c:pt>
                <c:pt idx="1">
                  <c:v>3.7500028125025313</c:v>
                </c:pt>
                <c:pt idx="2">
                  <c:v>13.34003165245951</c:v>
                </c:pt>
                <c:pt idx="3">
                  <c:v>22.500067500243006</c:v>
                </c:pt>
                <c:pt idx="4">
                  <c:v>30.000090000324004</c:v>
                </c:pt>
                <c:pt idx="5">
                  <c:v>37.500112500405002</c:v>
                </c:pt>
                <c:pt idx="6">
                  <c:v>40.500098415286985</c:v>
                </c:pt>
                <c:pt idx="7">
                  <c:v>50.000104166927088</c:v>
                </c:pt>
                <c:pt idx="8">
                  <c:v>56.250094922067206</c:v>
                </c:pt>
                <c:pt idx="9">
                  <c:v>57.00006859009904</c:v>
                </c:pt>
                <c:pt idx="10">
                  <c:v>52.500039375035435</c:v>
                </c:pt>
                <c:pt idx="11">
                  <c:v>40.000013333338671</c:v>
                </c:pt>
                <c:pt idx="12">
                  <c:v>22.500001875000187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3E1-4CAA-88FE-6C7B46EFE220}"/>
            </c:ext>
          </c:extLst>
        </c:ser>
        <c:ser>
          <c:idx val="1"/>
          <c:order val="1"/>
          <c:tx>
            <c:strRef>
              <c:f>'Remington Core-Lokt Copper HP'!$A$222</c:f>
              <c:strCache>
                <c:ptCount val="1"/>
                <c:pt idx="0">
                  <c:v>500m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21935773897486557"/>
                  <c:y val="-0.2753737727228540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HP'!$A$224:$A$244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HP'!$D$224:$D$244</c:f>
              <c:numCache>
                <c:formatCode>0.00</c:formatCode>
                <c:ptCount val="21"/>
                <c:pt idx="0">
                  <c:v>-3.8</c:v>
                </c:pt>
                <c:pt idx="1">
                  <c:v>9</c:v>
                </c:pt>
                <c:pt idx="2">
                  <c:v>21.3</c:v>
                </c:pt>
                <c:pt idx="3">
                  <c:v>32.299999999999997</c:v>
                </c:pt>
                <c:pt idx="4">
                  <c:v>42.3</c:v>
                </c:pt>
                <c:pt idx="5">
                  <c:v>51.6</c:v>
                </c:pt>
                <c:pt idx="6">
                  <c:v>59.5</c:v>
                </c:pt>
                <c:pt idx="7">
                  <c:v>66.2</c:v>
                </c:pt>
                <c:pt idx="8">
                  <c:v>71.900000000000006</c:v>
                </c:pt>
                <c:pt idx="9">
                  <c:v>76.099999999999994</c:v>
                </c:pt>
                <c:pt idx="10">
                  <c:v>78.8</c:v>
                </c:pt>
                <c:pt idx="11">
                  <c:v>80.099999999999994</c:v>
                </c:pt>
                <c:pt idx="12">
                  <c:v>79.7</c:v>
                </c:pt>
                <c:pt idx="13">
                  <c:v>77.599999999999994</c:v>
                </c:pt>
                <c:pt idx="14">
                  <c:v>73.5</c:v>
                </c:pt>
                <c:pt idx="15">
                  <c:v>67.5</c:v>
                </c:pt>
                <c:pt idx="16">
                  <c:v>59.4</c:v>
                </c:pt>
                <c:pt idx="17">
                  <c:v>48.5</c:v>
                </c:pt>
                <c:pt idx="18">
                  <c:v>35.6</c:v>
                </c:pt>
                <c:pt idx="19">
                  <c:v>20</c:v>
                </c:pt>
                <c:pt idx="20">
                  <c:v>1.6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3E1-4CAA-88FE-6C7B46EFE220}"/>
            </c:ext>
          </c:extLst>
        </c:ser>
        <c:ser>
          <c:idx val="2"/>
          <c:order val="2"/>
          <c:tx>
            <c:strRef>
              <c:f>'Remington Core-Lokt Copper HP'!$K$222</c:f>
              <c:strCache>
                <c:ptCount val="1"/>
                <c:pt idx="0">
                  <c:v>500m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Copper HP'!$K$224:$K$244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HP'!$N$224:$N$244</c:f>
              <c:numCache>
                <c:formatCode>0.00</c:formatCode>
                <c:ptCount val="21"/>
                <c:pt idx="0">
                  <c:v>-3.8</c:v>
                </c:pt>
                <c:pt idx="1">
                  <c:v>6</c:v>
                </c:pt>
                <c:pt idx="2">
                  <c:v>15.2</c:v>
                </c:pt>
                <c:pt idx="3">
                  <c:v>23.3</c:v>
                </c:pt>
                <c:pt idx="4">
                  <c:v>30.5</c:v>
                </c:pt>
                <c:pt idx="5">
                  <c:v>37</c:v>
                </c:pt>
                <c:pt idx="6">
                  <c:v>42.3</c:v>
                </c:pt>
                <c:pt idx="7">
                  <c:v>46.7</c:v>
                </c:pt>
                <c:pt idx="8">
                  <c:v>50.2</c:v>
                </c:pt>
                <c:pt idx="9">
                  <c:v>52.6</c:v>
                </c:pt>
                <c:pt idx="10">
                  <c:v>53.9</c:v>
                </c:pt>
                <c:pt idx="11">
                  <c:v>54.1</c:v>
                </c:pt>
                <c:pt idx="12">
                  <c:v>53.2</c:v>
                </c:pt>
                <c:pt idx="13">
                  <c:v>51.2</c:v>
                </c:pt>
                <c:pt idx="14">
                  <c:v>47.8</c:v>
                </c:pt>
                <c:pt idx="15">
                  <c:v>43.3</c:v>
                </c:pt>
                <c:pt idx="16">
                  <c:v>37.5</c:v>
                </c:pt>
                <c:pt idx="17">
                  <c:v>30.1</c:v>
                </c:pt>
                <c:pt idx="18">
                  <c:v>21.6</c:v>
                </c:pt>
                <c:pt idx="19">
                  <c:v>11.7</c:v>
                </c:pt>
                <c:pt idx="20">
                  <c:v>0.4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272-4A4B-9A95-8FC655CF20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Measured</a:t>
            </a:r>
            <a:r>
              <a:rPr lang="en-CA" baseline="0"/>
              <a:t> Energy vs Range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'Power-Shok SP'!$B$1:$D$1</c:f>
              <c:strCache>
                <c:ptCount val="1"/>
                <c:pt idx="0">
                  <c:v>300 Winchester Magnum Federal Power-Shok Soft Point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'Power-Shok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  <c:extLst xmlns:c15="http://schemas.microsoft.com/office/drawing/2012/chart"/>
            </c:numRef>
          </c:xVal>
          <c:yVal>
            <c:numRef>
              <c:f>'Power-Shok SP'!$B$22:$B$35</c:f>
              <c:numCache>
                <c:formatCode>0.00</c:formatCode>
                <c:ptCount val="14"/>
                <c:pt idx="0">
                  <c:v>4480.1000000000004</c:v>
                </c:pt>
                <c:pt idx="1">
                  <c:v>4396.7</c:v>
                </c:pt>
                <c:pt idx="2">
                  <c:v>4306.3</c:v>
                </c:pt>
                <c:pt idx="3">
                  <c:v>4218.5</c:v>
                </c:pt>
                <c:pt idx="4">
                  <c:v>4115.8999999999996</c:v>
                </c:pt>
                <c:pt idx="5">
                  <c:v>4032.6</c:v>
                </c:pt>
                <c:pt idx="6">
                  <c:v>3935.5</c:v>
                </c:pt>
                <c:pt idx="7">
                  <c:v>3765.3</c:v>
                </c:pt>
                <c:pt idx="8">
                  <c:v>3589.5</c:v>
                </c:pt>
                <c:pt idx="9">
                  <c:v>3437.3</c:v>
                </c:pt>
                <c:pt idx="10">
                  <c:v>3280.5</c:v>
                </c:pt>
                <c:pt idx="11">
                  <c:v>3120.8</c:v>
                </c:pt>
                <c:pt idx="12">
                  <c:v>2982.4</c:v>
                </c:pt>
                <c:pt idx="13">
                  <c:v>2841.5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DA1A-4206-A891-2BA886F8A0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6868288"/>
        <c:axId val="1286867808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1"/>
                <c:tx>
                  <c:strRef>
                    <c:extLst>
                      <c:ext uri="{02D57815-91ED-43cb-92C2-25804820EDAC}">
                        <c15:formulaRef>
                          <c15:sqref>'Remington Core-Lokt Copper HP'!$B$1:$D$1</c15:sqref>
                        </c15:formulaRef>
                      </c:ext>
                    </c:extLst>
                    <c:strCache>
                      <c:ptCount val="1"/>
                      <c:pt idx="0">
                        <c:v>300 Winchester Magnum Remington Core-Lokt Copper Hollow Point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'Remington Core-Lokt Copper HP'!$A$22:$A$35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200</c:v>
                      </c:pt>
                      <c:pt idx="8">
                        <c:v>250</c:v>
                      </c:pt>
                      <c:pt idx="9">
                        <c:v>300</c:v>
                      </c:pt>
                      <c:pt idx="10">
                        <c:v>350</c:v>
                      </c:pt>
                      <c:pt idx="11">
                        <c:v>400</c:v>
                      </c:pt>
                      <c:pt idx="12">
                        <c:v>450</c:v>
                      </c:pt>
                      <c:pt idx="13">
                        <c:v>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'Remington Core-Lokt Copper HP'!$B$22:$B$35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4400.8999999999996</c:v>
                      </c:pt>
                      <c:pt idx="1">
                        <c:v>4309.8999999999996</c:v>
                      </c:pt>
                      <c:pt idx="2">
                        <c:v>4192.3</c:v>
                      </c:pt>
                      <c:pt idx="3">
                        <c:v>4078.8</c:v>
                      </c:pt>
                      <c:pt idx="4">
                        <c:v>3969</c:v>
                      </c:pt>
                      <c:pt idx="5">
                        <c:v>3863.1</c:v>
                      </c:pt>
                      <c:pt idx="6">
                        <c:v>3760.6</c:v>
                      </c:pt>
                      <c:pt idx="7">
                        <c:v>3550.3</c:v>
                      </c:pt>
                      <c:pt idx="8">
                        <c:v>3354.9</c:v>
                      </c:pt>
                      <c:pt idx="9">
                        <c:v>3159.5</c:v>
                      </c:pt>
                      <c:pt idx="10">
                        <c:v>2990.9</c:v>
                      </c:pt>
                      <c:pt idx="11">
                        <c:v>2822.1</c:v>
                      </c:pt>
                      <c:pt idx="12">
                        <c:v>2654.7</c:v>
                      </c:pt>
                      <c:pt idx="13">
                        <c:v>2500.6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2-DA1A-4206-A891-2BA886F8A05D}"/>
                  </c:ext>
                </c:extLst>
              </c15:ser>
            </c15:filteredScatterSeries>
            <c15:filteredScatterSeries>
              <c15:ser>
                <c:idx val="3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'Terminal Ascent PHP '!$B$1:$D$1</c15:sqref>
                        </c15:formulaRef>
                      </c:ext>
                    </c:extLst>
                    <c:strCache>
                      <c:ptCount val="1"/>
                      <c:pt idx="0">
                        <c:v>Remington 700 LR/300 Win Mag Federal Terminal Ascent Polymer Tipped Hollow Point/After Patch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'Terminal Ascent PHP '!$A$22:$A$35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200</c:v>
                      </c:pt>
                      <c:pt idx="8">
                        <c:v>250</c:v>
                      </c:pt>
                      <c:pt idx="9">
                        <c:v>300</c:v>
                      </c:pt>
                      <c:pt idx="10">
                        <c:v>350</c:v>
                      </c:pt>
                      <c:pt idx="11">
                        <c:v>400</c:v>
                      </c:pt>
                      <c:pt idx="12">
                        <c:v>450</c:v>
                      </c:pt>
                      <c:pt idx="13">
                        <c:v>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'Terminal Ascent PHP '!$B$22:$B$35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4753.7</c:v>
                      </c:pt>
                      <c:pt idx="1">
                        <c:v>4542.3999999999996</c:v>
                      </c:pt>
                      <c:pt idx="2">
                        <c:v>4279.2</c:v>
                      </c:pt>
                      <c:pt idx="3">
                        <c:v>3998.5</c:v>
                      </c:pt>
                      <c:pt idx="4">
                        <c:v>3776.2</c:v>
                      </c:pt>
                      <c:pt idx="5">
                        <c:v>3536.9</c:v>
                      </c:pt>
                      <c:pt idx="6">
                        <c:v>3318.7</c:v>
                      </c:pt>
                      <c:pt idx="7">
                        <c:v>2930.4</c:v>
                      </c:pt>
                      <c:pt idx="8">
                        <c:v>2555.8000000000002</c:v>
                      </c:pt>
                      <c:pt idx="9">
                        <c:v>2241.1999999999998</c:v>
                      </c:pt>
                      <c:pt idx="10">
                        <c:v>1946.3</c:v>
                      </c:pt>
                      <c:pt idx="11">
                        <c:v>1690.4</c:v>
                      </c:pt>
                      <c:pt idx="12">
                        <c:v>1470.1</c:v>
                      </c:pt>
                      <c:pt idx="13">
                        <c:v>1274.7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482A-4356-A228-C527DB4F166F}"/>
                  </c:ext>
                </c:extLst>
              </c15:ser>
            </c15:filteredScatterSeries>
          </c:ext>
        </c:extLst>
      </c:scatterChart>
      <c:valAx>
        <c:axId val="1286868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6867808"/>
        <c:crosses val="autoZero"/>
        <c:crossBetween val="midCat"/>
      </c:valAx>
      <c:valAx>
        <c:axId val="1286867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Energy(J)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6868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Calculated</a:t>
            </a:r>
            <a:r>
              <a:rPr lang="en-CA" baseline="0"/>
              <a:t> Energy vs Range: Hornady BC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'Power-Shok SP'!$B$1:$D$1</c:f>
              <c:strCache>
                <c:ptCount val="1"/>
                <c:pt idx="0">
                  <c:v>300 Winchester Magnum Federal Power-Shok Soft Point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'Power-Shok SP'!$K$80:$K$100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  <c:extLst xmlns:c15="http://schemas.microsoft.com/office/drawing/2012/chart"/>
            </c:numRef>
          </c:xVal>
          <c:yVal>
            <c:numRef>
              <c:f>'Power-Shok SP'!$M$80:$M$100</c:f>
              <c:numCache>
                <c:formatCode>0.00</c:formatCode>
                <c:ptCount val="21"/>
                <c:pt idx="0">
                  <c:v>4482</c:v>
                </c:pt>
                <c:pt idx="1">
                  <c:v>4384</c:v>
                </c:pt>
                <c:pt idx="2">
                  <c:v>4288</c:v>
                </c:pt>
                <c:pt idx="3">
                  <c:v>4194</c:v>
                </c:pt>
                <c:pt idx="4">
                  <c:v>4101</c:v>
                </c:pt>
                <c:pt idx="5">
                  <c:v>4010</c:v>
                </c:pt>
                <c:pt idx="6">
                  <c:v>3920</c:v>
                </c:pt>
                <c:pt idx="7">
                  <c:v>3833</c:v>
                </c:pt>
                <c:pt idx="8">
                  <c:v>3746</c:v>
                </c:pt>
                <c:pt idx="9">
                  <c:v>3662</c:v>
                </c:pt>
                <c:pt idx="10">
                  <c:v>3578</c:v>
                </c:pt>
                <c:pt idx="11">
                  <c:v>3497</c:v>
                </c:pt>
                <c:pt idx="12">
                  <c:v>3416</c:v>
                </c:pt>
                <c:pt idx="13">
                  <c:v>3337</c:v>
                </c:pt>
                <c:pt idx="14">
                  <c:v>3260</c:v>
                </c:pt>
                <c:pt idx="15">
                  <c:v>3184</c:v>
                </c:pt>
                <c:pt idx="16">
                  <c:v>3109</c:v>
                </c:pt>
                <c:pt idx="17">
                  <c:v>3035</c:v>
                </c:pt>
                <c:pt idx="18">
                  <c:v>2963</c:v>
                </c:pt>
                <c:pt idx="19">
                  <c:v>2892</c:v>
                </c:pt>
                <c:pt idx="20">
                  <c:v>2826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0E23-4900-9372-ACB26C792518}"/>
            </c:ext>
          </c:extLst>
        </c:ser>
        <c:ser>
          <c:idx val="3"/>
          <c:order val="2"/>
          <c:tx>
            <c:strRef>
              <c:f>'Terminal Ascent PHP '!$B$1:$D$1</c:f>
              <c:strCache>
                <c:ptCount val="1"/>
                <c:pt idx="0">
                  <c:v>Remington 700 LR/300 Win Mag Federal Terminal Ascent Polymer Tipped Hollow Point/After Patch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'Terminal Ascent PHP 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 '!$C$80:$C$100</c:f>
              <c:numCache>
                <c:formatCode>0.00</c:formatCode>
                <c:ptCount val="21"/>
                <c:pt idx="0">
                  <c:v>4754</c:v>
                </c:pt>
                <c:pt idx="1">
                  <c:v>4485</c:v>
                </c:pt>
                <c:pt idx="2">
                  <c:v>4230</c:v>
                </c:pt>
                <c:pt idx="3">
                  <c:v>3986</c:v>
                </c:pt>
                <c:pt idx="4">
                  <c:v>3754</c:v>
                </c:pt>
                <c:pt idx="5">
                  <c:v>3533</c:v>
                </c:pt>
                <c:pt idx="6">
                  <c:v>3321</c:v>
                </c:pt>
                <c:pt idx="7">
                  <c:v>3120</c:v>
                </c:pt>
                <c:pt idx="8">
                  <c:v>2928</c:v>
                </c:pt>
                <c:pt idx="9">
                  <c:v>2746</c:v>
                </c:pt>
                <c:pt idx="10">
                  <c:v>2572</c:v>
                </c:pt>
                <c:pt idx="11">
                  <c:v>2408</c:v>
                </c:pt>
                <c:pt idx="12">
                  <c:v>2252</c:v>
                </c:pt>
                <c:pt idx="13">
                  <c:v>2104</c:v>
                </c:pt>
                <c:pt idx="14">
                  <c:v>1964</c:v>
                </c:pt>
                <c:pt idx="15">
                  <c:v>1833</c:v>
                </c:pt>
                <c:pt idx="16">
                  <c:v>1709</c:v>
                </c:pt>
                <c:pt idx="17">
                  <c:v>1593</c:v>
                </c:pt>
                <c:pt idx="18">
                  <c:v>1484</c:v>
                </c:pt>
                <c:pt idx="19">
                  <c:v>1383</c:v>
                </c:pt>
                <c:pt idx="20">
                  <c:v>1292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DA-48D5-A4E3-99C300343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6868288"/>
        <c:axId val="1286867808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1"/>
                <c:tx>
                  <c:strRef>
                    <c:extLst>
                      <c:ext uri="{02D57815-91ED-43cb-92C2-25804820EDAC}">
                        <c15:formulaRef>
                          <c15:sqref>'Remington Core-Lokt Copper HP'!$B$1:$D$1</c15:sqref>
                        </c15:formulaRef>
                      </c:ext>
                    </c:extLst>
                    <c:strCache>
                      <c:ptCount val="1"/>
                      <c:pt idx="0">
                        <c:v>300 Winchester Magnum Remington Core-Lokt Copper Hollow Point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'Remington Core-Lokt Copper HP'!$K$80:$K$100</c15:sqref>
                        </c15:formulaRef>
                      </c:ext>
                    </c:extLst>
                    <c:numCache>
                      <c:formatCode>0.00</c:formatCode>
                      <c:ptCount val="21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175</c:v>
                      </c:pt>
                      <c:pt idx="8">
                        <c:v>200</c:v>
                      </c:pt>
                      <c:pt idx="9">
                        <c:v>225</c:v>
                      </c:pt>
                      <c:pt idx="10">
                        <c:v>250</c:v>
                      </c:pt>
                      <c:pt idx="11">
                        <c:v>275</c:v>
                      </c:pt>
                      <c:pt idx="12">
                        <c:v>300</c:v>
                      </c:pt>
                      <c:pt idx="13">
                        <c:v>325</c:v>
                      </c:pt>
                      <c:pt idx="14">
                        <c:v>350</c:v>
                      </c:pt>
                      <c:pt idx="15">
                        <c:v>375</c:v>
                      </c:pt>
                      <c:pt idx="16">
                        <c:v>400</c:v>
                      </c:pt>
                      <c:pt idx="17">
                        <c:v>425</c:v>
                      </c:pt>
                      <c:pt idx="18">
                        <c:v>450</c:v>
                      </c:pt>
                      <c:pt idx="19">
                        <c:v>475</c:v>
                      </c:pt>
                      <c:pt idx="20">
                        <c:v>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'Remington Core-Lokt Copper HP'!$M$80:$M$100</c15:sqref>
                        </c15:formulaRef>
                      </c:ext>
                    </c:extLst>
                    <c:numCache>
                      <c:formatCode>0.00</c:formatCode>
                      <c:ptCount val="21"/>
                      <c:pt idx="0">
                        <c:v>4402</c:v>
                      </c:pt>
                      <c:pt idx="1">
                        <c:v>4283</c:v>
                      </c:pt>
                      <c:pt idx="2">
                        <c:v>4168</c:v>
                      </c:pt>
                      <c:pt idx="3">
                        <c:v>4055</c:v>
                      </c:pt>
                      <c:pt idx="4">
                        <c:v>3944</c:v>
                      </c:pt>
                      <c:pt idx="5">
                        <c:v>3836</c:v>
                      </c:pt>
                      <c:pt idx="6">
                        <c:v>3730</c:v>
                      </c:pt>
                      <c:pt idx="7">
                        <c:v>3626</c:v>
                      </c:pt>
                      <c:pt idx="8">
                        <c:v>3525</c:v>
                      </c:pt>
                      <c:pt idx="9">
                        <c:v>3425</c:v>
                      </c:pt>
                      <c:pt idx="10">
                        <c:v>3328</c:v>
                      </c:pt>
                      <c:pt idx="11">
                        <c:v>3233</c:v>
                      </c:pt>
                      <c:pt idx="12">
                        <c:v>3140</c:v>
                      </c:pt>
                      <c:pt idx="13">
                        <c:v>3049</c:v>
                      </c:pt>
                      <c:pt idx="14">
                        <c:v>2960</c:v>
                      </c:pt>
                      <c:pt idx="15">
                        <c:v>2874</c:v>
                      </c:pt>
                      <c:pt idx="16">
                        <c:v>2789</c:v>
                      </c:pt>
                      <c:pt idx="17">
                        <c:v>2706</c:v>
                      </c:pt>
                      <c:pt idx="18">
                        <c:v>2625</c:v>
                      </c:pt>
                      <c:pt idx="19">
                        <c:v>2545</c:v>
                      </c:pt>
                      <c:pt idx="20">
                        <c:v>2471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2-0E23-4900-9372-ACB26C792518}"/>
                  </c:ext>
                </c:extLst>
              </c15:ser>
            </c15:filteredScatterSeries>
          </c:ext>
        </c:extLst>
      </c:scatterChart>
      <c:valAx>
        <c:axId val="1286868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6867808"/>
        <c:crosses val="autoZero"/>
        <c:crossBetween val="midCat"/>
      </c:valAx>
      <c:valAx>
        <c:axId val="1286867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Energy(J)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6868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5" Type="http://schemas.openxmlformats.org/officeDocument/2006/relationships/chart" Target="../charts/chart1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9.xml"/><Relationship Id="rId3" Type="http://schemas.openxmlformats.org/officeDocument/2006/relationships/chart" Target="../charts/chart24.xml"/><Relationship Id="rId7" Type="http://schemas.openxmlformats.org/officeDocument/2006/relationships/chart" Target="../charts/chart28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Relationship Id="rId6" Type="http://schemas.openxmlformats.org/officeDocument/2006/relationships/chart" Target="../charts/chart27.xml"/><Relationship Id="rId5" Type="http://schemas.openxmlformats.org/officeDocument/2006/relationships/chart" Target="../charts/chart26.xml"/><Relationship Id="rId10" Type="http://schemas.openxmlformats.org/officeDocument/2006/relationships/chart" Target="../charts/chart31.xml"/><Relationship Id="rId4" Type="http://schemas.openxmlformats.org/officeDocument/2006/relationships/chart" Target="../charts/chart25.xml"/><Relationship Id="rId9" Type="http://schemas.openxmlformats.org/officeDocument/2006/relationships/chart" Target="../charts/chart30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3.xml"/><Relationship Id="rId1" Type="http://schemas.openxmlformats.org/officeDocument/2006/relationships/chart" Target="../charts/chart3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200025</xdr:colOff>
      <xdr:row>0</xdr:row>
      <xdr:rowOff>123825</xdr:rowOff>
    </xdr:from>
    <xdr:to>
      <xdr:col>36</xdr:col>
      <xdr:colOff>504825</xdr:colOff>
      <xdr:row>47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383CE35-76C8-437B-BCB3-B282BBF2EF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885824</xdr:colOff>
      <xdr:row>35</xdr:row>
      <xdr:rowOff>142875</xdr:rowOff>
    </xdr:from>
    <xdr:to>
      <xdr:col>20</xdr:col>
      <xdr:colOff>342900</xdr:colOff>
      <xdr:row>62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6B44030-EA17-44B0-86C9-7AC3C27E4D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80962</xdr:colOff>
      <xdr:row>43</xdr:row>
      <xdr:rowOff>171450</xdr:rowOff>
    </xdr:from>
    <xdr:to>
      <xdr:col>9</xdr:col>
      <xdr:colOff>123825</xdr:colOff>
      <xdr:row>71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6C0019A-7B07-4E71-A715-A8089BCD74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747711</xdr:colOff>
      <xdr:row>70</xdr:row>
      <xdr:rowOff>152399</xdr:rowOff>
    </xdr:from>
    <xdr:to>
      <xdr:col>18</xdr:col>
      <xdr:colOff>333374</xdr:colOff>
      <xdr:row>96</xdr:row>
      <xdr:rowOff>57150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B6BEBB8-9D94-456D-A5E2-7A3CB682D8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100012</xdr:colOff>
      <xdr:row>101</xdr:row>
      <xdr:rowOff>114300</xdr:rowOff>
    </xdr:from>
    <xdr:to>
      <xdr:col>18</xdr:col>
      <xdr:colOff>85725</xdr:colOff>
      <xdr:row>123</xdr:row>
      <xdr:rowOff>38100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FD90860-3723-4D7B-94E1-43677F52D4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104775</xdr:colOff>
      <xdr:row>126</xdr:row>
      <xdr:rowOff>114300</xdr:rowOff>
    </xdr:from>
    <xdr:to>
      <xdr:col>18</xdr:col>
      <xdr:colOff>90488</xdr:colOff>
      <xdr:row>148</xdr:row>
      <xdr:rowOff>38100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9A5007D8-54D9-45F5-9C1A-BC2FB637E8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38100</xdr:colOff>
      <xdr:row>150</xdr:row>
      <xdr:rowOff>38100</xdr:rowOff>
    </xdr:from>
    <xdr:to>
      <xdr:col>20</xdr:col>
      <xdr:colOff>328613</xdr:colOff>
      <xdr:row>171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B4AF8C33-1710-4909-805C-48124063DC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1590675</xdr:colOff>
      <xdr:row>175</xdr:row>
      <xdr:rowOff>9525</xdr:rowOff>
    </xdr:from>
    <xdr:to>
      <xdr:col>17</xdr:col>
      <xdr:colOff>928688</xdr:colOff>
      <xdr:row>196</xdr:row>
      <xdr:rowOff>123825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C941C790-E936-4498-9D9D-2FC82BB49C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1533526</xdr:colOff>
      <xdr:row>198</xdr:row>
      <xdr:rowOff>161925</xdr:rowOff>
    </xdr:from>
    <xdr:to>
      <xdr:col>19</xdr:col>
      <xdr:colOff>314326</xdr:colOff>
      <xdr:row>220</xdr:row>
      <xdr:rowOff>85725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AAB06609-5E67-4EC5-9E61-1F91944E2B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47625</xdr:colOff>
      <xdr:row>223</xdr:row>
      <xdr:rowOff>95250</xdr:rowOff>
    </xdr:from>
    <xdr:to>
      <xdr:col>18</xdr:col>
      <xdr:colOff>33338</xdr:colOff>
      <xdr:row>245</xdr:row>
      <xdr:rowOff>19050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D2130BC7-3A13-4FA9-9694-A849043F4E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15</xdr:col>
      <xdr:colOff>295275</xdr:colOff>
      <xdr:row>253</xdr:row>
      <xdr:rowOff>66675</xdr:rowOff>
    </xdr:from>
    <xdr:to>
      <xdr:col>24</xdr:col>
      <xdr:colOff>533399</xdr:colOff>
      <xdr:row>281</xdr:row>
      <xdr:rowOff>123825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AFA75BE5-5B6A-4244-9278-12594A9A4A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790575</xdr:colOff>
      <xdr:row>10</xdr:row>
      <xdr:rowOff>0</xdr:rowOff>
    </xdr:from>
    <xdr:to>
      <xdr:col>31</xdr:col>
      <xdr:colOff>438150</xdr:colOff>
      <xdr:row>33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EB5F181-8F8E-4DBC-A2D2-4172758DD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885824</xdr:colOff>
      <xdr:row>35</xdr:row>
      <xdr:rowOff>142875</xdr:rowOff>
    </xdr:from>
    <xdr:to>
      <xdr:col>20</xdr:col>
      <xdr:colOff>342900</xdr:colOff>
      <xdr:row>62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AA728D3-F186-4623-A143-AB591C4295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80962</xdr:colOff>
      <xdr:row>43</xdr:row>
      <xdr:rowOff>171450</xdr:rowOff>
    </xdr:from>
    <xdr:to>
      <xdr:col>9</xdr:col>
      <xdr:colOff>123825</xdr:colOff>
      <xdr:row>71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77402BB-2BF0-4DC7-9DB4-00DE58D3C2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414336</xdr:colOff>
      <xdr:row>72</xdr:row>
      <xdr:rowOff>57149</xdr:rowOff>
    </xdr:from>
    <xdr:to>
      <xdr:col>41</xdr:col>
      <xdr:colOff>495299</xdr:colOff>
      <xdr:row>92</xdr:row>
      <xdr:rowOff>161924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D9F5638-237F-4D4A-AB45-60E587099D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328612</xdr:colOff>
      <xdr:row>94</xdr:row>
      <xdr:rowOff>180975</xdr:rowOff>
    </xdr:from>
    <xdr:to>
      <xdr:col>41</xdr:col>
      <xdr:colOff>200025</xdr:colOff>
      <xdr:row>116</xdr:row>
      <xdr:rowOff>104775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E6E68B6-BB28-4637-BC4D-BD0C82CC35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904875</xdr:colOff>
      <xdr:row>121</xdr:row>
      <xdr:rowOff>0</xdr:rowOff>
    </xdr:from>
    <xdr:to>
      <xdr:col>39</xdr:col>
      <xdr:colOff>252413</xdr:colOff>
      <xdr:row>142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DB52A56-276D-4245-92D7-4DEA164FCE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104775</xdr:colOff>
      <xdr:row>144</xdr:row>
      <xdr:rowOff>161925</xdr:rowOff>
    </xdr:from>
    <xdr:to>
      <xdr:col>43</xdr:col>
      <xdr:colOff>595313</xdr:colOff>
      <xdr:row>166</xdr:row>
      <xdr:rowOff>85725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616CB536-295B-4BB9-9E20-E602207055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20</xdr:col>
      <xdr:colOff>95250</xdr:colOff>
      <xdr:row>166</xdr:row>
      <xdr:rowOff>161925</xdr:rowOff>
    </xdr:from>
    <xdr:to>
      <xdr:col>39</xdr:col>
      <xdr:colOff>576263</xdr:colOff>
      <xdr:row>188</xdr:row>
      <xdr:rowOff>85725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2FDFD91-1C02-4DFC-A478-6FBBC67DF2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20</xdr:col>
      <xdr:colOff>276225</xdr:colOff>
      <xdr:row>190</xdr:row>
      <xdr:rowOff>180975</xdr:rowOff>
    </xdr:from>
    <xdr:to>
      <xdr:col>40</xdr:col>
      <xdr:colOff>147638</xdr:colOff>
      <xdr:row>212</xdr:row>
      <xdr:rowOff>104775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8AFF1A85-A193-450B-9C0E-0F441DFECD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20</xdr:col>
      <xdr:colOff>171450</xdr:colOff>
      <xdr:row>215</xdr:row>
      <xdr:rowOff>152400</xdr:rowOff>
    </xdr:from>
    <xdr:to>
      <xdr:col>40</xdr:col>
      <xdr:colOff>42863</xdr:colOff>
      <xdr:row>237</xdr:row>
      <xdr:rowOff>76200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3C8D7813-F898-45BB-BD78-29AF880B54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19050</xdr:colOff>
      <xdr:row>37</xdr:row>
      <xdr:rowOff>14286</xdr:rowOff>
    </xdr:from>
    <xdr:to>
      <xdr:col>36</xdr:col>
      <xdr:colOff>323850</xdr:colOff>
      <xdr:row>64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55E6A51-E5A8-4074-93A2-2CC9820E62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885824</xdr:colOff>
      <xdr:row>36</xdr:row>
      <xdr:rowOff>142875</xdr:rowOff>
    </xdr:from>
    <xdr:to>
      <xdr:col>20</xdr:col>
      <xdr:colOff>342900</xdr:colOff>
      <xdr:row>63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AC30077-6748-48EB-A0FC-67AC796CD3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80962</xdr:colOff>
      <xdr:row>43</xdr:row>
      <xdr:rowOff>171450</xdr:rowOff>
    </xdr:from>
    <xdr:to>
      <xdr:col>9</xdr:col>
      <xdr:colOff>123825</xdr:colOff>
      <xdr:row>71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FF28282-A2CC-49F9-A510-87D3832DD2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90486</xdr:colOff>
      <xdr:row>69</xdr:row>
      <xdr:rowOff>85724</xdr:rowOff>
    </xdr:from>
    <xdr:to>
      <xdr:col>40</xdr:col>
      <xdr:colOff>457199</xdr:colOff>
      <xdr:row>89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D5561CF-2863-4ECB-8894-DF3B85058F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261937</xdr:colOff>
      <xdr:row>93</xdr:row>
      <xdr:rowOff>142875</xdr:rowOff>
    </xdr:from>
    <xdr:to>
      <xdr:col>41</xdr:col>
      <xdr:colOff>419100</xdr:colOff>
      <xdr:row>115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F8BFBF2-04C5-477D-8475-AAE80F6F52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876300</xdr:colOff>
      <xdr:row>119</xdr:row>
      <xdr:rowOff>47625</xdr:rowOff>
    </xdr:from>
    <xdr:to>
      <xdr:col>41</xdr:col>
      <xdr:colOff>138113</xdr:colOff>
      <xdr:row>140</xdr:row>
      <xdr:rowOff>161925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17A31281-B167-4F00-BCCE-3F730AAD5E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21</xdr:col>
      <xdr:colOff>76200</xdr:colOff>
      <xdr:row>142</xdr:row>
      <xdr:rowOff>152400</xdr:rowOff>
    </xdr:from>
    <xdr:to>
      <xdr:col>45</xdr:col>
      <xdr:colOff>242888</xdr:colOff>
      <xdr:row>164</xdr:row>
      <xdr:rowOff>76200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BD88D8E4-B7A3-431B-949D-69DDFFDCA2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20</xdr:col>
      <xdr:colOff>847725</xdr:colOff>
      <xdr:row>167</xdr:row>
      <xdr:rowOff>47625</xdr:rowOff>
    </xdr:from>
    <xdr:to>
      <xdr:col>41</xdr:col>
      <xdr:colOff>109538</xdr:colOff>
      <xdr:row>188</xdr:row>
      <xdr:rowOff>161925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523DF8A-8483-417B-8F21-3736711627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21</xdr:col>
      <xdr:colOff>57150</xdr:colOff>
      <xdr:row>191</xdr:row>
      <xdr:rowOff>9525</xdr:rowOff>
    </xdr:from>
    <xdr:to>
      <xdr:col>41</xdr:col>
      <xdr:colOff>214313</xdr:colOff>
      <xdr:row>212</xdr:row>
      <xdr:rowOff>123825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E75FE0C8-D986-4075-993E-0E905291B1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21</xdr:col>
      <xdr:colOff>219075</xdr:colOff>
      <xdr:row>215</xdr:row>
      <xdr:rowOff>0</xdr:rowOff>
    </xdr:from>
    <xdr:to>
      <xdr:col>41</xdr:col>
      <xdr:colOff>376238</xdr:colOff>
      <xdr:row>236</xdr:row>
      <xdr:rowOff>114300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6493508C-34D5-41FE-852D-0A4E589CEA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200024</xdr:colOff>
      <xdr:row>1</xdr:row>
      <xdr:rowOff>61911</xdr:rowOff>
    </xdr:from>
    <xdr:to>
      <xdr:col>14</xdr:col>
      <xdr:colOff>571499</xdr:colOff>
      <xdr:row>39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AFF6E74-50E3-1DE3-C8D1-B20217E2C3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85725</xdr:colOff>
      <xdr:row>1</xdr:row>
      <xdr:rowOff>85725</xdr:rowOff>
    </xdr:from>
    <xdr:to>
      <xdr:col>33</xdr:col>
      <xdr:colOff>171450</xdr:colOff>
      <xdr:row>39</xdr:row>
      <xdr:rowOff>90489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61C5BB8-0079-4A19-A192-17B139888F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0FD3-5DC9-4268-9991-72B3F64911AE}">
  <sheetPr codeName="Sheet5"/>
  <dimension ref="A1:W325"/>
  <sheetViews>
    <sheetView tabSelected="1" workbookViewId="0">
      <selection activeCell="D8" sqref="D8"/>
    </sheetView>
  </sheetViews>
  <sheetFormatPr defaultRowHeight="15" x14ac:dyDescent="0.25"/>
  <cols>
    <col min="1" max="1" width="37.7109375" customWidth="1"/>
    <col min="2" max="2" width="29.140625" customWidth="1"/>
    <col min="3" max="3" width="25.28515625" customWidth="1"/>
    <col min="4" max="4" width="16.42578125" customWidth="1"/>
    <col min="5" max="5" width="15.140625" customWidth="1"/>
    <col min="6" max="6" width="15.85546875" customWidth="1"/>
    <col min="7" max="7" width="13.42578125" customWidth="1"/>
    <col min="8" max="8" width="17.140625" customWidth="1"/>
    <col min="9" max="9" width="19.7109375" customWidth="1"/>
    <col min="10" max="10" width="24" customWidth="1"/>
    <col min="11" max="11" width="23.140625" customWidth="1"/>
    <col min="12" max="12" width="34.140625" customWidth="1"/>
    <col min="13" max="13" width="29.85546875" customWidth="1"/>
    <col min="14" max="14" width="20.5703125" customWidth="1"/>
    <col min="15" max="15" width="22.28515625" customWidth="1"/>
    <col min="16" max="16" width="17.28515625" customWidth="1"/>
    <col min="17" max="17" width="19.5703125" customWidth="1"/>
    <col min="18" max="18" width="14.28515625" customWidth="1"/>
    <col min="19" max="19" width="15.140625" customWidth="1"/>
    <col min="20" max="20" width="17" customWidth="1"/>
    <col min="22" max="22" width="10.85546875" customWidth="1"/>
  </cols>
  <sheetData>
    <row r="1" spans="1:9" x14ac:dyDescent="0.25">
      <c r="A1" t="s">
        <v>18</v>
      </c>
      <c r="B1" t="s">
        <v>109</v>
      </c>
      <c r="C1" t="s">
        <v>32</v>
      </c>
      <c r="D1" t="s">
        <v>110</v>
      </c>
      <c r="F1" s="47" t="s">
        <v>66</v>
      </c>
      <c r="G1" s="47"/>
      <c r="H1" s="47"/>
      <c r="I1" s="47"/>
    </row>
    <row r="2" spans="1:9" x14ac:dyDescent="0.25">
      <c r="A2" t="s">
        <v>20</v>
      </c>
      <c r="B2" s="2">
        <v>200</v>
      </c>
      <c r="C2" s="2">
        <f>CONVERT($B$2,"grain","g")</f>
        <v>12.959782000000001</v>
      </c>
      <c r="F2" t="s">
        <v>67</v>
      </c>
      <c r="G2" s="2">
        <v>200</v>
      </c>
      <c r="H2" s="2">
        <f>CONVERT($G$2,"grain","g")</f>
        <v>12.959782000000001</v>
      </c>
    </row>
    <row r="3" spans="1:9" x14ac:dyDescent="0.25">
      <c r="A3" t="s">
        <v>0</v>
      </c>
      <c r="B3" s="2">
        <v>0.308</v>
      </c>
      <c r="C3" s="2">
        <f>CONVERT($B$3,"in","cm")</f>
        <v>0.78232000000000002</v>
      </c>
      <c r="F3" t="s">
        <v>68</v>
      </c>
      <c r="G3" s="2">
        <v>0.26400000000000001</v>
      </c>
      <c r="H3" s="2">
        <f>CONVERT($G$3,"in","mm")</f>
        <v>6.7055999999999996</v>
      </c>
    </row>
    <row r="4" spans="1:9" x14ac:dyDescent="0.25">
      <c r="A4" t="s">
        <v>11</v>
      </c>
      <c r="B4" s="2" t="s">
        <v>69</v>
      </c>
      <c r="C4" s="2"/>
      <c r="F4" t="s">
        <v>11</v>
      </c>
      <c r="G4" s="2">
        <v>0.30399999999999999</v>
      </c>
      <c r="H4" s="2"/>
    </row>
    <row r="5" spans="1:9" x14ac:dyDescent="0.25">
      <c r="A5" t="s">
        <v>21</v>
      </c>
      <c r="B5" s="2">
        <v>0.315</v>
      </c>
      <c r="C5" s="2"/>
      <c r="F5" t="s">
        <v>21</v>
      </c>
      <c r="G5" s="2">
        <v>0.625</v>
      </c>
      <c r="H5" s="2"/>
    </row>
    <row r="6" spans="1:9" x14ac:dyDescent="0.25">
      <c r="A6" t="s">
        <v>22</v>
      </c>
      <c r="B6" s="2">
        <v>4753</v>
      </c>
      <c r="C6" s="2">
        <f>CONVERT($B$6,"J","flb")</f>
        <v>3505.6328955148424</v>
      </c>
      <c r="F6" t="s">
        <v>70</v>
      </c>
      <c r="G6" s="2">
        <f>CONVERT($H$6,"J","flb")</f>
        <v>3236.85895358179</v>
      </c>
      <c r="H6" s="2">
        <f>($C$2/1000)*$H$7*$H$7/2</f>
        <v>4388.5914654833859</v>
      </c>
    </row>
    <row r="7" spans="1:9" x14ac:dyDescent="0.25">
      <c r="A7" t="s">
        <v>19</v>
      </c>
      <c r="B7" s="2">
        <f xml:space="preserve"> SQRT(2*$B$6/(CONVERT($B$2,"grain","g")/1000))</f>
        <v>856.44614104758864</v>
      </c>
      <c r="C7" s="2">
        <f>CONVERT($B$7,"m","ft")</f>
        <v>2809.8626674789652</v>
      </c>
      <c r="D7" t="s">
        <v>112</v>
      </c>
      <c r="F7" t="s">
        <v>71</v>
      </c>
      <c r="G7" s="2">
        <v>2700</v>
      </c>
      <c r="H7" s="2">
        <f>CONVERT($G$7,"ft","m")</f>
        <v>822.96</v>
      </c>
      <c r="I7" t="s">
        <v>111</v>
      </c>
    </row>
    <row r="8" spans="1:9" x14ac:dyDescent="0.25">
      <c r="A8" t="s">
        <v>1</v>
      </c>
      <c r="B8" s="2">
        <v>0</v>
      </c>
      <c r="C8" s="2"/>
    </row>
    <row r="9" spans="1:9" x14ac:dyDescent="0.25">
      <c r="A9" t="s">
        <v>2</v>
      </c>
      <c r="B9" s="2">
        <v>9.5</v>
      </c>
      <c r="C9" s="2">
        <f>CONVERT($B$9,"m/sec","km/hr")</f>
        <v>34.200000000000003</v>
      </c>
    </row>
    <row r="10" spans="1:9" x14ac:dyDescent="0.25">
      <c r="A10" t="s">
        <v>3</v>
      </c>
      <c r="B10" s="2">
        <v>270</v>
      </c>
      <c r="C10" s="2"/>
    </row>
    <row r="11" spans="1:9" x14ac:dyDescent="0.25">
      <c r="A11" s="32" t="s">
        <v>54</v>
      </c>
      <c r="B11" s="2">
        <v>1</v>
      </c>
      <c r="C11" s="33"/>
      <c r="E11" t="s">
        <v>108</v>
      </c>
      <c r="G11" t="s">
        <v>112</v>
      </c>
    </row>
    <row r="12" spans="1:9" x14ac:dyDescent="0.25">
      <c r="A12" s="32" t="s">
        <v>55</v>
      </c>
      <c r="B12" s="2" cm="1">
        <f t="array" ref="B12">MOAToMRAD($B$11)</f>
        <v>0.29088820866572157</v>
      </c>
      <c r="C12" s="33">
        <f>$B$12/2</f>
        <v>0.14544410433286079</v>
      </c>
    </row>
    <row r="13" spans="1:9" x14ac:dyDescent="0.25">
      <c r="A13" s="32" t="s">
        <v>26</v>
      </c>
      <c r="B13" s="2">
        <f>CONVERT(1.5,"in","cm")</f>
        <v>3.81</v>
      </c>
      <c r="D13" s="2">
        <f>CONVERT($B$13,"cm","in")</f>
        <v>1.5</v>
      </c>
    </row>
    <row r="14" spans="1:9" x14ac:dyDescent="0.25">
      <c r="A14" s="32" t="s">
        <v>5</v>
      </c>
      <c r="B14" t="s">
        <v>56</v>
      </c>
    </row>
    <row r="15" spans="1:9" x14ac:dyDescent="0.25">
      <c r="A15" t="s">
        <v>57</v>
      </c>
      <c r="B15" s="31" t="s">
        <v>58</v>
      </c>
      <c r="C15" s="31" t="s">
        <v>59</v>
      </c>
      <c r="D15" s="31" t="s">
        <v>60</v>
      </c>
      <c r="E15" s="31" t="s">
        <v>61</v>
      </c>
    </row>
    <row r="16" spans="1:9" x14ac:dyDescent="0.25">
      <c r="A16" s="32" t="s">
        <v>62</v>
      </c>
      <c r="B16" s="2">
        <v>0.95</v>
      </c>
      <c r="C16">
        <f>$B16/2</f>
        <v>0.47499999999999998</v>
      </c>
      <c r="D16" s="2">
        <f>$B$16 * $B$18</f>
        <v>0.73691679528649467</v>
      </c>
      <c r="E16" s="24">
        <f>$D16/2</f>
        <v>0.36845839764324734</v>
      </c>
    </row>
    <row r="17" spans="1:17" x14ac:dyDescent="0.25">
      <c r="A17" s="32" t="s">
        <v>63</v>
      </c>
      <c r="B17" s="2">
        <v>0.375</v>
      </c>
      <c r="C17">
        <f t="shared" ref="C17" si="0">$B17/2</f>
        <v>0.1875</v>
      </c>
      <c r="D17" s="2">
        <f>$B$17 * $B$18</f>
        <v>0.29088820866572157</v>
      </c>
      <c r="E17" s="24">
        <f>$D17/2</f>
        <v>0.14544410433286079</v>
      </c>
    </row>
    <row r="18" spans="1:17" x14ac:dyDescent="0.25">
      <c r="A18" s="11" t="s">
        <v>64</v>
      </c>
      <c r="B18" s="12">
        <f>$B$12/$B$17</f>
        <v>0.77570188977525756</v>
      </c>
      <c r="C18" s="2"/>
      <c r="J18" s="2">
        <v>4.5</v>
      </c>
      <c r="K18" s="2">
        <v>3.75</v>
      </c>
      <c r="L18" s="2">
        <v>4.0999999999999996</v>
      </c>
      <c r="M18" s="2">
        <v>4.25</v>
      </c>
      <c r="N18" s="2">
        <v>4</v>
      </c>
      <c r="O18" s="2">
        <v>4</v>
      </c>
      <c r="P18" s="2">
        <v>4</v>
      </c>
    </row>
    <row r="19" spans="1:17" x14ac:dyDescent="0.25">
      <c r="A19" s="34" t="s">
        <v>65</v>
      </c>
      <c r="B19" s="35"/>
      <c r="C19" s="2">
        <f>$C$17*0.61+$C16*0.39</f>
        <v>0.29962500000000003</v>
      </c>
      <c r="D19" s="2"/>
      <c r="E19" s="2" cm="1">
        <f t="array" ref="E19">ProbableAngularPOIError(D17,D16,B12,0.68)</f>
        <v>0.30371011379778029</v>
      </c>
      <c r="J19" s="2"/>
      <c r="K19" s="2"/>
      <c r="L19" s="2"/>
      <c r="M19" s="2"/>
      <c r="N19" s="2"/>
      <c r="O19" s="2"/>
      <c r="P19" s="2"/>
    </row>
    <row r="20" spans="1:17" x14ac:dyDescent="0.25">
      <c r="C20" s="48" t="s">
        <v>24</v>
      </c>
      <c r="D20" s="48"/>
      <c r="E20" s="48"/>
      <c r="F20" s="48"/>
      <c r="G20" s="48"/>
      <c r="H20" s="13"/>
      <c r="I20" s="13"/>
      <c r="J20" s="48" t="s">
        <v>25</v>
      </c>
      <c r="K20" s="48"/>
      <c r="L20" s="48"/>
      <c r="M20" s="48"/>
      <c r="N20" s="48"/>
      <c r="O20" s="13"/>
      <c r="P20" s="13"/>
      <c r="Q20" s="36" t="s">
        <v>29</v>
      </c>
    </row>
    <row r="21" spans="1:17" x14ac:dyDescent="0.25">
      <c r="A21" t="s">
        <v>4</v>
      </c>
      <c r="B21" t="s">
        <v>23</v>
      </c>
      <c r="C21" t="s">
        <v>6</v>
      </c>
      <c r="D21" t="s">
        <v>7</v>
      </c>
      <c r="E21" t="s">
        <v>8</v>
      </c>
      <c r="F21" t="s">
        <v>9</v>
      </c>
      <c r="G21" t="s">
        <v>10</v>
      </c>
      <c r="H21" t="s">
        <v>33</v>
      </c>
      <c r="I21" t="s">
        <v>34</v>
      </c>
      <c r="J21" s="16" t="s">
        <v>6</v>
      </c>
      <c r="K21" s="16" t="s">
        <v>7</v>
      </c>
      <c r="L21" s="16" t="s">
        <v>8</v>
      </c>
      <c r="M21" s="16" t="s">
        <v>9</v>
      </c>
      <c r="N21" s="16" t="s">
        <v>10</v>
      </c>
      <c r="O21" s="16" t="s">
        <v>33</v>
      </c>
      <c r="P21" s="37" t="s">
        <v>34</v>
      </c>
      <c r="Q21" s="36" t="s">
        <v>30</v>
      </c>
    </row>
    <row r="22" spans="1:17" x14ac:dyDescent="0.25">
      <c r="A22" s="1">
        <v>0</v>
      </c>
      <c r="B22" s="1">
        <v>4753.7</v>
      </c>
      <c r="C22" s="3"/>
      <c r="D22" s="4"/>
      <c r="E22" s="4"/>
      <c r="F22" s="4"/>
      <c r="G22" s="5"/>
      <c r="H22" s="5"/>
      <c r="I22" s="4"/>
      <c r="J22" s="8">
        <f t="shared" ref="J22:P22" si="1">$B$13*(-1)</f>
        <v>-3.81</v>
      </c>
      <c r="K22" s="8">
        <f t="shared" si="1"/>
        <v>-3.81</v>
      </c>
      <c r="L22" s="8">
        <f t="shared" si="1"/>
        <v>-3.81</v>
      </c>
      <c r="M22" s="8">
        <f t="shared" si="1"/>
        <v>-3.81</v>
      </c>
      <c r="N22" s="8">
        <f t="shared" si="1"/>
        <v>-3.81</v>
      </c>
      <c r="O22" s="8">
        <f t="shared" si="1"/>
        <v>-3.81</v>
      </c>
      <c r="P22" s="38">
        <f t="shared" si="1"/>
        <v>-3.81</v>
      </c>
      <c r="Q22" s="39">
        <v>0</v>
      </c>
    </row>
    <row r="23" spans="1:17" x14ac:dyDescent="0.25">
      <c r="A23" s="1">
        <v>25</v>
      </c>
      <c r="B23" s="1">
        <v>4542.3999999999996</v>
      </c>
      <c r="C23" s="6">
        <v>-0.15625</v>
      </c>
      <c r="D23" s="6">
        <v>-0.25</v>
      </c>
      <c r="E23" s="6">
        <v>-0.1875</v>
      </c>
      <c r="F23" s="6">
        <v>-0.125</v>
      </c>
      <c r="G23" s="6">
        <v>0.125</v>
      </c>
      <c r="H23" s="6">
        <v>0.41249999999999998</v>
      </c>
      <c r="I23" s="14">
        <v>0.65</v>
      </c>
      <c r="J23" s="9" cm="1">
        <f t="array" ref="J23">TrajectoryDropInCM(C23,$A23,J$18)</f>
        <v>-1.7578127896786311</v>
      </c>
      <c r="K23" s="9" cm="1">
        <f t="array" ref="K23">TrajectoryDropInCM(D23,$A23,K$18)</f>
        <v>-2.3437506866457491</v>
      </c>
      <c r="L23" s="9" cm="1">
        <f t="array" ref="L23">TrajectoryDropInCM(E23,$A23,L$18)</f>
        <v>-1.9218753785944496</v>
      </c>
      <c r="M23" s="9" cm="1">
        <f t="array" ref="M23">TrajectoryDropInCM(F23,$A23,M$18)</f>
        <v>-1.3281251249440653</v>
      </c>
      <c r="N23" s="9" cm="1">
        <f t="array" ref="N23">TrajectoryDropInCM(G23,$A23,N$18)</f>
        <v>1.2500001041666768</v>
      </c>
      <c r="O23" s="9" cm="1">
        <f t="array" ref="O23">TrajectoryDropInCM(H23,$A23,O$18)</f>
        <v>4.1250037434415763</v>
      </c>
      <c r="P23" s="40" cm="1">
        <f t="array" ref="P23">TrajectoryDropInCM(I23,$A23,P$18)</f>
        <v>6.5000146467062718</v>
      </c>
      <c r="Q23" s="39" cm="1">
        <f t="array" ref="Q23">TrajectoryErrorCM($E$19,1,$A23)</f>
        <v>0.7592752844944507</v>
      </c>
    </row>
    <row r="24" spans="1:17" x14ac:dyDescent="0.25">
      <c r="A24" s="1">
        <v>50</v>
      </c>
      <c r="B24" s="1">
        <v>4279.2</v>
      </c>
      <c r="C24" s="7">
        <v>0</v>
      </c>
      <c r="D24" s="6">
        <v>-8.3000000000000004E-2</v>
      </c>
      <c r="E24" s="6">
        <v>0</v>
      </c>
      <c r="F24" s="6">
        <v>8.3000000000000004E-2</v>
      </c>
      <c r="G24" s="6">
        <v>0.33300000000000002</v>
      </c>
      <c r="H24" s="6">
        <v>0.625</v>
      </c>
      <c r="I24" s="14">
        <v>1.05</v>
      </c>
      <c r="J24" s="9" cm="1">
        <f t="array" ref="J24">TrajectoryDropInCM(C24,$A24,J$18)</f>
        <v>0</v>
      </c>
      <c r="K24" s="9" cm="1">
        <f t="array" ref="K24">TrajectoryDropInCM(D24,$A24,K$18)</f>
        <v>-1.5562500502547187</v>
      </c>
      <c r="L24" s="9" cm="1">
        <f t="array" ref="L24">TrajectoryDropInCM(E24,$A24,L$18)</f>
        <v>0</v>
      </c>
      <c r="M24" s="9" cm="1">
        <f t="array" ref="M24">TrajectoryDropInCM(F24,$A24,M$18)</f>
        <v>1.763750073155981</v>
      </c>
      <c r="N24" s="9" cm="1">
        <f t="array" ref="N24">TrajectoryDropInCM(G24,$A24,N$18)</f>
        <v>6.6600039387800765</v>
      </c>
      <c r="O24" s="9" cm="1">
        <f t="array" ref="O24">TrajectoryDropInCM(H24,$A24,O$18)</f>
        <v>12.500026041731772</v>
      </c>
      <c r="P24" s="40" cm="1">
        <f t="array" ref="P24">TrajectoryDropInCM(I24,$A24,P$18)</f>
        <v>21.000123480871284</v>
      </c>
      <c r="Q24" s="39" cm="1">
        <f t="array" ref="Q24">TrajectoryErrorCM($E$19,1,$A24)</f>
        <v>1.5185505689889014</v>
      </c>
    </row>
    <row r="25" spans="1:17" x14ac:dyDescent="0.25">
      <c r="A25" s="1">
        <v>75</v>
      </c>
      <c r="B25" s="1">
        <v>3998.5</v>
      </c>
      <c r="C25" s="6">
        <v>0.16650000000000001</v>
      </c>
      <c r="D25" s="6">
        <v>0</v>
      </c>
      <c r="E25" s="6">
        <v>8.3000000000000004E-2</v>
      </c>
      <c r="F25" s="6">
        <v>0.125</v>
      </c>
      <c r="G25" s="6">
        <v>0.375</v>
      </c>
      <c r="H25" s="6">
        <v>0.66700000000000004</v>
      </c>
      <c r="I25" s="14">
        <v>1.167</v>
      </c>
      <c r="J25" s="9" cm="1">
        <f t="array" ref="J25">TrajectoryDropInCM(C25,$A25,J$18)</f>
        <v>5.6193760515268378</v>
      </c>
      <c r="K25" s="9" cm="1">
        <f t="array" ref="K25">TrajectoryDropInCM(D25,$A25,K$18)</f>
        <v>0</v>
      </c>
      <c r="L25" s="9" cm="1">
        <f t="array" ref="L25">TrajectoryDropInCM(E25,$A25,L$18)</f>
        <v>2.552250098520334</v>
      </c>
      <c r="M25" s="9" cm="1">
        <f t="array" ref="M25">TrajectoryDropInCM(F25,$A25,M$18)</f>
        <v>3.9843753748321964</v>
      </c>
      <c r="N25" s="9" cm="1">
        <f t="array" ref="N25">TrajectoryDropInCM(G25,$A25,N$18)</f>
        <v>11.250008437507594</v>
      </c>
      <c r="O25" s="9" cm="1">
        <f t="array" ref="O25">TrajectoryDropInCM(H25,$A25,O$18)</f>
        <v>20.010047478689266</v>
      </c>
      <c r="P25" s="40" cm="1">
        <f t="array" ref="P25">TrajectoryDropInCM(I25,$A25,P$18)</f>
        <v>35.010254294130526</v>
      </c>
      <c r="Q25" s="39" cm="1">
        <f t="array" ref="Q25">TrajectoryErrorCM($E$19,1,$A25)</f>
        <v>2.277825853483352</v>
      </c>
    </row>
    <row r="26" spans="1:17" x14ac:dyDescent="0.25">
      <c r="A26" s="1">
        <v>100</v>
      </c>
      <c r="B26" s="1">
        <v>3776.2</v>
      </c>
      <c r="C26" s="6">
        <v>0.16650000000000001</v>
      </c>
      <c r="D26" s="7">
        <v>0</v>
      </c>
      <c r="E26" s="6">
        <v>8.3000000000000004E-2</v>
      </c>
      <c r="F26" s="6">
        <v>0.125</v>
      </c>
      <c r="G26" s="6">
        <v>0.38</v>
      </c>
      <c r="H26" s="6">
        <v>0.66700000000000004</v>
      </c>
      <c r="I26" s="14">
        <v>1.2</v>
      </c>
      <c r="J26" s="9" cm="1">
        <f t="array" ref="J26">TrajectoryDropInCM(C26,$A26,J$18)</f>
        <v>7.4925014020357841</v>
      </c>
      <c r="K26" s="9" cm="1">
        <f t="array" ref="K26">TrajectoryDropInCM(D26,$A26,K$18)</f>
        <v>0</v>
      </c>
      <c r="L26" s="9" cm="1">
        <f t="array" ref="L26">TrajectoryDropInCM(E26,$A26,L$18)</f>
        <v>3.4030001313604452</v>
      </c>
      <c r="M26" s="9" cm="1">
        <f t="array" ref="M26">TrajectoryDropInCM(F26,$A26,M$18)</f>
        <v>5.3125004997762613</v>
      </c>
      <c r="N26" s="9" cm="1">
        <f t="array" ref="N26">TrajectoryDropInCM(G26,$A26,N$18)</f>
        <v>15.200011706037486</v>
      </c>
      <c r="O26" s="9" cm="1">
        <f t="array" ref="O26">TrajectoryDropInCM(H26,$A26,O$18)</f>
        <v>26.68006330491902</v>
      </c>
      <c r="P26" s="40" cm="1">
        <f t="array" ref="P26">TrajectoryDropInCM(I26,$A26,P$18)</f>
        <v>48.000368643397415</v>
      </c>
      <c r="Q26" s="39" cm="1">
        <f t="array" ref="Q26">TrajectoryErrorCM($E$19,1,$A26)</f>
        <v>3.0371011379778028</v>
      </c>
    </row>
    <row r="27" spans="1:17" x14ac:dyDescent="0.25">
      <c r="A27" s="1">
        <v>125</v>
      </c>
      <c r="B27" s="1">
        <v>3536.9</v>
      </c>
      <c r="C27" s="6">
        <v>0.125</v>
      </c>
      <c r="D27" s="6">
        <v>0</v>
      </c>
      <c r="E27" s="6">
        <v>8.3000000000000004E-2</v>
      </c>
      <c r="F27" s="6">
        <v>0.125</v>
      </c>
      <c r="G27" s="6">
        <v>0.38</v>
      </c>
      <c r="H27" s="6">
        <v>0.6875</v>
      </c>
      <c r="I27" s="14">
        <v>1.167</v>
      </c>
      <c r="J27" s="9" cm="1">
        <f t="array" ref="J27">TrajectoryDropInCM(C27,$A27,J$18)</f>
        <v>7.0312507415772414</v>
      </c>
      <c r="K27" s="9" cm="1">
        <f t="array" ref="K27">TrajectoryDropInCM(D27,$A27,K$18)</f>
        <v>0</v>
      </c>
      <c r="L27" s="9" cm="1">
        <f t="array" ref="L27">TrajectoryDropInCM(E27,$A27,L$18)</f>
        <v>4.2537501642005564</v>
      </c>
      <c r="M27" s="9" cm="1">
        <f t="array" ref="M27">TrajectoryDropInCM(F27,$A27,M$18)</f>
        <v>6.640625624720327</v>
      </c>
      <c r="N27" s="9" cm="1">
        <f t="array" ref="N27">TrajectoryDropInCM(G27,$A27,N$18)</f>
        <v>19.000014632546858</v>
      </c>
      <c r="O27" s="9" cm="1">
        <f t="array" ref="O27">TrajectoryDropInCM(H27,$A27,O$18)</f>
        <v>34.375086653907957</v>
      </c>
      <c r="P27" s="40" cm="1">
        <f t="array" ref="P27">TrajectoryDropInCM(I27,$A27,P$18)</f>
        <v>58.350423823550877</v>
      </c>
      <c r="Q27" s="39" cm="1">
        <f t="array" ref="Q27">TrajectoryErrorCM($E$19,1,$A27)</f>
        <v>3.7963764224722536</v>
      </c>
    </row>
    <row r="28" spans="1:17" x14ac:dyDescent="0.25">
      <c r="A28" s="1">
        <v>150</v>
      </c>
      <c r="B28" s="1">
        <v>3318.7</v>
      </c>
      <c r="C28" s="6">
        <v>0</v>
      </c>
      <c r="D28" s="6">
        <v>-8.3000000000000004E-2</v>
      </c>
      <c r="E28" s="7">
        <v>0</v>
      </c>
      <c r="F28" s="6">
        <v>0.125</v>
      </c>
      <c r="G28" s="6">
        <v>0.38</v>
      </c>
      <c r="H28" s="6">
        <v>0.6875</v>
      </c>
      <c r="I28" s="14">
        <v>1.05</v>
      </c>
      <c r="J28" s="9" cm="1">
        <f t="array" ref="J28">TrajectoryDropInCM(C28,$A28,J$18)</f>
        <v>0</v>
      </c>
      <c r="K28" s="9" cm="1">
        <f t="array" ref="K28">TrajectoryDropInCM(D28,$A28,K$18)</f>
        <v>-4.668750150764156</v>
      </c>
      <c r="L28" s="9" cm="1">
        <f t="array" ref="L28">TrajectoryDropInCM(E28,$A28,L$18)</f>
        <v>0</v>
      </c>
      <c r="M28" s="9" cm="1">
        <f t="array" ref="M28">TrajectoryDropInCM(F28,$A28,M$18)</f>
        <v>7.9687507496643928</v>
      </c>
      <c r="N28" s="9" cm="1">
        <f t="array" ref="N28">TrajectoryDropInCM(G28,$A28,N$18)</f>
        <v>22.800017559056229</v>
      </c>
      <c r="O28" s="9" cm="1">
        <f t="array" ref="O28">TrajectoryDropInCM(H28,$A28,O$18)</f>
        <v>41.250103984689545</v>
      </c>
      <c r="P28" s="40" cm="1">
        <f t="array" ref="P28">TrajectoryDropInCM(I28,$A28,P$18)</f>
        <v>63.000370442613864</v>
      </c>
      <c r="Q28" s="39" cm="1">
        <f t="array" ref="Q28">TrajectoryErrorCM($E$19,1,$A28)</f>
        <v>4.555651706966704</v>
      </c>
    </row>
    <row r="29" spans="1:17" x14ac:dyDescent="0.25">
      <c r="A29" s="1">
        <v>200</v>
      </c>
      <c r="B29" s="1">
        <v>2930.4</v>
      </c>
      <c r="C29" s="6">
        <v>-6.25E-2</v>
      </c>
      <c r="D29" s="6">
        <v>-0.125</v>
      </c>
      <c r="E29" s="6">
        <v>-6.25E-2</v>
      </c>
      <c r="F29" s="7">
        <v>0</v>
      </c>
      <c r="G29" s="6">
        <v>0.25</v>
      </c>
      <c r="H29" s="6">
        <v>0.58299999999999996</v>
      </c>
      <c r="I29" s="14">
        <v>1</v>
      </c>
      <c r="J29" s="9" cm="1">
        <f t="array" ref="J29">TrajectoryDropInCM(C29,$A29,J$18)</f>
        <v>-5.6250001483154337</v>
      </c>
      <c r="K29" s="9" cm="1">
        <f t="array" ref="K29">TrajectoryDropInCM(D29,$A29,K$18)</f>
        <v>-9.3750006866455688</v>
      </c>
      <c r="L29" s="9" cm="1">
        <f t="array" ref="L29">TrajectoryDropInCM(E29,$A29,L$18)</f>
        <v>-5.1250001121761102</v>
      </c>
      <c r="M29" s="9" cm="1">
        <f t="array" ref="M29">TrajectoryDropInCM(F29,$A29,M$18)</f>
        <v>0</v>
      </c>
      <c r="N29" s="9" cm="1">
        <f t="array" ref="N29">TrajectoryDropInCM(G29,$A29,N$18)</f>
        <v>20.000006666669336</v>
      </c>
      <c r="O29" s="9" cm="1">
        <f t="array" ref="O29">TrajectoryDropInCM(H29,$A29,O$18)</f>
        <v>46.640084546439695</v>
      </c>
      <c r="P29" s="40" cm="1">
        <f t="array" ref="P29">TrajectoryDropInCM(I29,$A29,P$18)</f>
        <v>80.000426669397356</v>
      </c>
      <c r="Q29" s="39" cm="1">
        <f t="array" ref="Q29">TrajectoryErrorCM($E$19,1,$A29)</f>
        <v>6.0742022759556056</v>
      </c>
    </row>
    <row r="30" spans="1:17" x14ac:dyDescent="0.25">
      <c r="A30" s="1">
        <v>250</v>
      </c>
      <c r="B30" s="1">
        <v>2555.8000000000002</v>
      </c>
      <c r="C30" s="6">
        <v>-0.1875</v>
      </c>
      <c r="D30" s="6">
        <v>-0.3125</v>
      </c>
      <c r="E30" s="6">
        <v>-0.1875</v>
      </c>
      <c r="F30" s="6">
        <v>-0.125</v>
      </c>
      <c r="G30" s="6">
        <v>0.125</v>
      </c>
      <c r="H30" s="6">
        <v>0.41699999999999998</v>
      </c>
      <c r="I30" s="14">
        <v>0.875</v>
      </c>
      <c r="J30" s="9" cm="1">
        <f t="array" ref="J30">TrajectoryDropInCM(C30,$A30,J$18)</f>
        <v>-21.093755005647179</v>
      </c>
      <c r="K30" s="9" cm="1">
        <f t="array" ref="K30">TrajectoryDropInCM(D30,$A30,K$18)</f>
        <v>-29.296888411052436</v>
      </c>
      <c r="L30" s="9" cm="1">
        <f t="array" ref="L30">TrajectoryDropInCM(E30,$A30,L$18)</f>
        <v>-19.218753785944497</v>
      </c>
      <c r="M30" s="9" cm="1">
        <f t="array" ref="M30">TrajectoryDropInCM(F30,$A30,M$18)</f>
        <v>-13.281251249440654</v>
      </c>
      <c r="N30" s="9" cm="1">
        <f t="array" ref="N30">TrajectoryDropInCM(G30,$A30,N$18)</f>
        <v>12.500001041666769</v>
      </c>
      <c r="O30" s="9" cm="1">
        <f t="array" ref="O30">TrajectoryDropInCM(H30,$A30,O$18)</f>
        <v>41.700038672956637</v>
      </c>
      <c r="P30" s="40" cm="1">
        <f t="array" ref="P30">TrajectoryDropInCM(I30,$A30,P$18)</f>
        <v>87.500357293417409</v>
      </c>
      <c r="Q30" s="39" cm="1">
        <f t="array" ref="Q30">TrajectoryErrorCM($E$19,1,$A30)</f>
        <v>7.5927528449445072</v>
      </c>
    </row>
    <row r="31" spans="1:17" x14ac:dyDescent="0.25">
      <c r="A31" s="1">
        <v>300</v>
      </c>
      <c r="B31" s="1">
        <v>2241.1999999999998</v>
      </c>
      <c r="C31" s="6">
        <v>-0.33300000000000002</v>
      </c>
      <c r="D31" s="6">
        <v>-0.375</v>
      </c>
      <c r="E31" s="6">
        <v>-0.33300000000000002</v>
      </c>
      <c r="F31" s="6">
        <v>-0.25</v>
      </c>
      <c r="G31" s="7">
        <v>0</v>
      </c>
      <c r="H31" s="17">
        <v>0.33300000000000002</v>
      </c>
      <c r="I31" s="18">
        <v>0.75</v>
      </c>
      <c r="J31" s="9" cm="1">
        <f t="array" ref="J31">TrajectoryDropInCM(C31,$A31,J$18)</f>
        <v>-44.955033648881447</v>
      </c>
      <c r="K31" s="9" cm="1">
        <f t="array" ref="K31">TrajectoryDropInCM(D31,$A31,K$18)</f>
        <v>-42.187527809165061</v>
      </c>
      <c r="L31" s="9" cm="1">
        <f t="array" ref="L31">TrajectoryDropInCM(E31,$A31,L$18)</f>
        <v>-40.959025449812941</v>
      </c>
      <c r="M31" s="9" cm="1">
        <f t="array" ref="M31">TrajectoryDropInCM(F31,$A31,M$18)</f>
        <v>-31.875011994634324</v>
      </c>
      <c r="N31" s="9" cm="1">
        <f t="array" ref="N31">TrajectoryDropInCM(G31,$A31,N$18)</f>
        <v>0</v>
      </c>
      <c r="O31" s="9" cm="1">
        <f t="array" ref="O31">TrajectoryDropInCM(H31,$A31,O$18)</f>
        <v>39.960023632680461</v>
      </c>
      <c r="P31" s="40" cm="1">
        <f t="array" ref="P31">TrajectoryDropInCM(I31,$A31,P$18)</f>
        <v>90.000270000972023</v>
      </c>
      <c r="Q31" s="39" cm="1">
        <f t="array" ref="Q31">TrajectoryErrorCM($E$19,1,$A31)</f>
        <v>9.1113034139334079</v>
      </c>
    </row>
    <row r="32" spans="1:17" x14ac:dyDescent="0.25">
      <c r="A32" s="1">
        <v>350</v>
      </c>
      <c r="B32" s="1">
        <v>1946.3</v>
      </c>
      <c r="C32" s="6">
        <v>-0.41699999999999998</v>
      </c>
      <c r="D32" s="6">
        <v>-0.5</v>
      </c>
      <c r="E32" s="6">
        <v>-0.41699999999999998</v>
      </c>
      <c r="F32" s="6">
        <v>-0.375</v>
      </c>
      <c r="G32" s="6">
        <v>-0.125</v>
      </c>
      <c r="H32" s="6">
        <v>0.125</v>
      </c>
      <c r="I32" s="14">
        <v>0.56699999999999995</v>
      </c>
      <c r="J32" s="9" cm="1">
        <f t="array" ref="J32">TrajectoryDropInCM(C32,$A32,J$18)</f>
        <v>-65.67757708912346</v>
      </c>
      <c r="K32" s="9" cm="1">
        <f t="array" ref="K32">TrajectoryDropInCM(D32,$A32,K$18)</f>
        <v>-65.62507690440502</v>
      </c>
      <c r="L32" s="9" cm="1">
        <f t="array" ref="L32">TrajectoryDropInCM(E32,$A32,L$18)</f>
        <v>-59.839558305165511</v>
      </c>
      <c r="M32" s="9" cm="1">
        <f t="array" ref="M32">TrajectoryDropInCM(F32,$A32,M$18)</f>
        <v>-55.781297228899298</v>
      </c>
      <c r="N32" s="9" cm="1">
        <f t="array" ref="N32">TrajectoryDropInCM(G32,$A32,N$18)</f>
        <v>-17.500001458333479</v>
      </c>
      <c r="O32" s="9" cm="1">
        <f t="array" ref="O32">TrajectoryDropInCM(H32,$A32,O$18)</f>
        <v>17.500001458333479</v>
      </c>
      <c r="P32" s="40" cm="1">
        <f t="array" ref="P32">TrajectoryDropInCM(I32,$A32,P$18)</f>
        <v>79.380136105863073</v>
      </c>
      <c r="Q32" s="39" cm="1">
        <f t="array" ref="Q32">TrajectoryErrorCM($E$19,1,$A32)</f>
        <v>10.62985398292231</v>
      </c>
    </row>
    <row r="33" spans="1:17" x14ac:dyDescent="0.25">
      <c r="A33" s="1">
        <v>400</v>
      </c>
      <c r="B33" s="1">
        <v>1690.4</v>
      </c>
      <c r="C33" s="6">
        <v>-0.625</v>
      </c>
      <c r="D33" s="6">
        <v>-0.83299999999999996</v>
      </c>
      <c r="E33" s="6">
        <v>-0.625</v>
      </c>
      <c r="F33" s="6">
        <v>-0.58299999999999996</v>
      </c>
      <c r="G33" s="6">
        <v>-0.33300000000000002</v>
      </c>
      <c r="H33" s="7">
        <v>0</v>
      </c>
      <c r="I33" s="14">
        <v>0.375</v>
      </c>
      <c r="J33" s="9" cm="1">
        <f t="array" ref="J33">TrajectoryDropInCM(C33,$A33,J$18)</f>
        <v>-112.50029663179792</v>
      </c>
      <c r="K33" s="9" cm="1">
        <f t="array" ref="K33">TrajectoryDropInCM(D33,$A33,K$18)</f>
        <v>-124.950406414542</v>
      </c>
      <c r="L33" s="9" cm="1">
        <f t="array" ref="L33">TrajectoryDropInCM(E33,$A33,L$18)</f>
        <v>-102.50022435280283</v>
      </c>
      <c r="M33" s="9" cm="1">
        <f t="array" ref="M33">TrajectoryDropInCM(F33,$A33,M$18)</f>
        <v>-99.110202820690802</v>
      </c>
      <c r="N33" s="9" cm="1">
        <f t="array" ref="N33">TrajectoryDropInCM(G33,$A33,N$18)</f>
        <v>-53.280031510240612</v>
      </c>
      <c r="O33" s="9" cm="1">
        <f t="array" ref="O33">TrajectoryDropInCM(H33,$A33,O$18)</f>
        <v>0</v>
      </c>
      <c r="P33" s="40" cm="1">
        <f t="array" ref="P33">TrajectoryDropInCM(I33,$A33,P$18)</f>
        <v>60.000045000040501</v>
      </c>
      <c r="Q33" s="39" cm="1">
        <f t="array" ref="Q33">TrajectoryErrorCM($E$19,1,$A33)</f>
        <v>12.148404551911211</v>
      </c>
    </row>
    <row r="34" spans="1:17" x14ac:dyDescent="0.25">
      <c r="A34" s="1">
        <v>450</v>
      </c>
      <c r="B34" s="1">
        <v>1470.1</v>
      </c>
      <c r="C34" s="6">
        <v>-0.83299999999999996</v>
      </c>
      <c r="D34" s="6">
        <v>-0.95</v>
      </c>
      <c r="E34" s="6">
        <v>-0.83299999999999996</v>
      </c>
      <c r="F34" s="6">
        <v>-0.7</v>
      </c>
      <c r="G34" s="6">
        <v>-0.5</v>
      </c>
      <c r="H34" s="6">
        <v>-0.125</v>
      </c>
      <c r="I34" s="14">
        <v>0.25</v>
      </c>
      <c r="J34" s="9" cm="1">
        <f t="array" ref="J34">TrajectoryDropInCM(C34,$A34,J$18)</f>
        <v>-168.68329007122648</v>
      </c>
      <c r="K34" s="9" cm="1">
        <f t="array" ref="K34">TrajectoryDropInCM(D34,$A34,K$18)</f>
        <v>-160.31317820046442</v>
      </c>
      <c r="L34" s="9" cm="1">
        <f t="array" ref="L34">TrajectoryDropInCM(E34,$A34,L$18)</f>
        <v>-153.6890975577175</v>
      </c>
      <c r="M34" s="9" cm="1">
        <f t="array" ref="M34">TrajectoryDropInCM(F34,$A34,M$18)</f>
        <v>-133.87539496053887</v>
      </c>
      <c r="N34" s="9" cm="1">
        <f t="array" ref="N34">TrajectoryDropInCM(G34,$A34,N$18)</f>
        <v>-90.000120000191998</v>
      </c>
      <c r="O34" s="9" cm="1">
        <f t="array" ref="O34">TrajectoryDropInCM(H34,$A34,O$18)</f>
        <v>-22.500001875000187</v>
      </c>
      <c r="P34" s="40" cm="1">
        <f t="array" ref="P34">TrajectoryDropInCM(I34,$A34,P$18)</f>
        <v>45.000015000006002</v>
      </c>
      <c r="Q34" s="39" cm="1">
        <f t="array" ref="Q34">TrajectoryErrorCM($E$19,1,$A34)</f>
        <v>13.666955120900113</v>
      </c>
    </row>
    <row r="35" spans="1:17" x14ac:dyDescent="0.25">
      <c r="A35" s="1">
        <v>500</v>
      </c>
      <c r="B35" s="1">
        <v>1274.7</v>
      </c>
      <c r="C35" s="6">
        <v>-1</v>
      </c>
      <c r="D35" s="6">
        <v>-1.25</v>
      </c>
      <c r="E35" s="6">
        <v>-1</v>
      </c>
      <c r="F35" s="6">
        <v>-0.875</v>
      </c>
      <c r="G35" s="6">
        <v>-0.66700000000000004</v>
      </c>
      <c r="H35" s="6">
        <v>-0.375</v>
      </c>
      <c r="I35" s="15">
        <v>0</v>
      </c>
      <c r="J35" s="9" cm="1">
        <f t="array" ref="J35">TrajectoryDropInCM(C35,$A35,J$18)</f>
        <v>-225.00151876230197</v>
      </c>
      <c r="K35" s="9" cm="1">
        <f t="array" ref="K35">TrajectoryDropInCM(D35,$A35,K$18)</f>
        <v>-234.37671662885705</v>
      </c>
      <c r="L35" s="9" cm="1">
        <f t="array" ref="L35">TrajectoryDropInCM(E35,$A35,L$18)</f>
        <v>-205.0011486910571</v>
      </c>
      <c r="M35" s="9" cm="1">
        <f t="array" ref="M35">TrajectoryDropInCM(F35,$A35,M$18)</f>
        <v>-185.93835712093184</v>
      </c>
      <c r="N35" s="9" cm="1">
        <f t="array" ref="N35">TrajectoryDropInCM(G35,$A35,N$18)</f>
        <v>-133.40031652459513</v>
      </c>
      <c r="O35" s="9" cm="1">
        <f t="array" ref="O35">TrajectoryDropInCM(H35,$A35,O$18)</f>
        <v>-75.000056250050633</v>
      </c>
      <c r="P35" s="40" cm="1">
        <f t="array" ref="P35">TrajectoryDropInCM(I35,$A35,P$18)</f>
        <v>0</v>
      </c>
      <c r="Q35" s="39" cm="1">
        <f t="array" ref="Q35">TrajectoryErrorCM($E$19,1,$A35)</f>
        <v>15.185505689889014</v>
      </c>
    </row>
    <row r="69" spans="1:23" x14ac:dyDescent="0.25">
      <c r="Q69" s="13"/>
      <c r="R69" s="13"/>
      <c r="S69" s="13"/>
      <c r="T69" s="13"/>
      <c r="U69" s="13"/>
      <c r="V69" s="13"/>
      <c r="W69" s="13"/>
    </row>
    <row r="71" spans="1:23" x14ac:dyDescent="0.25">
      <c r="Q71" s="1"/>
      <c r="R71" s="1"/>
      <c r="S71" s="1"/>
      <c r="T71" s="1"/>
      <c r="U71" s="1"/>
      <c r="V71" s="1"/>
      <c r="W71" s="1"/>
    </row>
    <row r="72" spans="1:23" x14ac:dyDescent="0.25">
      <c r="Q72" s="1"/>
      <c r="R72" s="1"/>
      <c r="S72" s="1"/>
      <c r="T72" s="1"/>
      <c r="U72" s="1"/>
      <c r="V72" s="1"/>
      <c r="W72" s="1"/>
    </row>
    <row r="73" spans="1:23" x14ac:dyDescent="0.25">
      <c r="Q73" s="1"/>
      <c r="R73" s="1"/>
      <c r="S73" s="1"/>
      <c r="T73" s="1"/>
      <c r="U73" s="1"/>
      <c r="V73" s="1"/>
      <c r="W73" s="1"/>
    </row>
    <row r="74" spans="1:23" x14ac:dyDescent="0.25">
      <c r="Q74" s="1"/>
      <c r="R74" s="1"/>
      <c r="S74" s="1"/>
      <c r="T74" s="1"/>
      <c r="U74" s="1"/>
      <c r="V74" s="1"/>
      <c r="W74" s="1"/>
    </row>
    <row r="75" spans="1:23" x14ac:dyDescent="0.25">
      <c r="Q75" s="1"/>
      <c r="R75" s="1"/>
      <c r="S75" s="1"/>
      <c r="T75" s="1"/>
      <c r="U75" s="1"/>
      <c r="V75" s="1"/>
      <c r="W75" s="1"/>
    </row>
    <row r="76" spans="1:23" x14ac:dyDescent="0.25">
      <c r="Q76" s="1"/>
      <c r="R76" s="1"/>
      <c r="S76" s="1"/>
      <c r="T76" s="1"/>
      <c r="U76" s="1"/>
      <c r="V76" s="1"/>
      <c r="W76" s="1"/>
    </row>
    <row r="77" spans="1:23" x14ac:dyDescent="0.25">
      <c r="A77" t="s">
        <v>27</v>
      </c>
      <c r="Q77" s="1"/>
      <c r="R77" s="1"/>
      <c r="S77" s="1"/>
      <c r="T77" s="1"/>
      <c r="U77" s="1"/>
      <c r="V77" s="1"/>
      <c r="W77" s="1"/>
    </row>
    <row r="78" spans="1:23" x14ac:dyDescent="0.25">
      <c r="A78" t="s">
        <v>35</v>
      </c>
      <c r="O78" s="13"/>
      <c r="P78" s="13"/>
      <c r="Q78" s="1"/>
      <c r="R78" s="1"/>
      <c r="S78" s="1"/>
      <c r="T78" s="1"/>
      <c r="U78" s="1"/>
      <c r="V78" s="1"/>
      <c r="W78" s="1"/>
    </row>
    <row r="79" spans="1:23" x14ac:dyDescent="0.25">
      <c r="A79" t="s">
        <v>12</v>
      </c>
      <c r="B79" t="s">
        <v>13</v>
      </c>
      <c r="C79" t="s">
        <v>14</v>
      </c>
      <c r="D79" t="s">
        <v>15</v>
      </c>
      <c r="E79" t="s">
        <v>16</v>
      </c>
      <c r="F79" t="s">
        <v>17</v>
      </c>
      <c r="G79" t="s">
        <v>37</v>
      </c>
      <c r="H79" t="s">
        <v>38</v>
      </c>
      <c r="I79" t="s">
        <v>39</v>
      </c>
      <c r="Q79" s="1"/>
      <c r="R79" s="1"/>
      <c r="S79" s="1"/>
      <c r="T79" s="1"/>
      <c r="U79" s="1"/>
      <c r="V79" s="1"/>
      <c r="W79" s="1"/>
    </row>
    <row r="80" spans="1:23" x14ac:dyDescent="0.25">
      <c r="A80" s="1">
        <v>0</v>
      </c>
      <c r="B80" s="1">
        <v>856</v>
      </c>
      <c r="C80" s="1">
        <v>4754</v>
      </c>
      <c r="D80" s="1">
        <v>-3.8</v>
      </c>
      <c r="E80" s="1">
        <v>0</v>
      </c>
      <c r="F80" s="1">
        <v>0</v>
      </c>
      <c r="G80" s="1">
        <v>0</v>
      </c>
      <c r="H80" s="1">
        <v>0</v>
      </c>
      <c r="I80" s="1">
        <v>0</v>
      </c>
      <c r="J80" s="1"/>
      <c r="K80" s="1"/>
      <c r="L80" s="1"/>
      <c r="M80" s="1"/>
      <c r="O80" s="1"/>
      <c r="P80" s="1"/>
      <c r="Q80" s="1"/>
      <c r="R80" s="1"/>
      <c r="S80" s="1"/>
      <c r="T80" s="1"/>
      <c r="U80" s="1"/>
      <c r="V80" s="1"/>
      <c r="W80" s="1"/>
    </row>
    <row r="81" spans="1:23" x14ac:dyDescent="0.25">
      <c r="A81" s="1">
        <v>25</v>
      </c>
      <c r="B81" s="1">
        <v>832</v>
      </c>
      <c r="C81" s="1">
        <v>4485</v>
      </c>
      <c r="D81" s="1">
        <v>-1.5</v>
      </c>
      <c r="E81" s="1">
        <v>2</v>
      </c>
      <c r="F81" s="1">
        <v>0.6</v>
      </c>
      <c r="G81" s="1">
        <v>0</v>
      </c>
      <c r="H81" s="1">
        <v>-1</v>
      </c>
      <c r="I81" s="1">
        <v>0</v>
      </c>
      <c r="J81" s="1"/>
      <c r="K81" s="1"/>
      <c r="L81" s="1"/>
      <c r="M81" s="1"/>
      <c r="O81" s="1"/>
      <c r="P81" s="1"/>
      <c r="Q81" s="1"/>
      <c r="R81" s="1"/>
      <c r="S81" s="1"/>
      <c r="T81" s="1"/>
      <c r="U81" s="1"/>
      <c r="V81" s="1"/>
      <c r="W81" s="1"/>
    </row>
    <row r="82" spans="1:23" x14ac:dyDescent="0.25">
      <c r="A82" s="1">
        <v>50</v>
      </c>
      <c r="B82" s="1">
        <v>808</v>
      </c>
      <c r="C82" s="1">
        <v>4230</v>
      </c>
      <c r="D82" s="1">
        <v>0</v>
      </c>
      <c r="E82" s="1">
        <v>0</v>
      </c>
      <c r="F82" s="1">
        <v>0</v>
      </c>
      <c r="G82" s="1">
        <v>-2</v>
      </c>
      <c r="H82" s="10">
        <v>-1</v>
      </c>
      <c r="I82" s="10">
        <v>0</v>
      </c>
      <c r="J82" s="10"/>
      <c r="K82" s="10"/>
      <c r="L82" s="10"/>
      <c r="M82" s="10"/>
      <c r="O82" s="1"/>
      <c r="P82" s="1"/>
      <c r="Q82" s="1"/>
      <c r="R82" s="1"/>
      <c r="S82" s="1"/>
      <c r="T82" s="1"/>
      <c r="U82" s="1"/>
      <c r="V82" s="1"/>
      <c r="W82" s="1"/>
    </row>
    <row r="83" spans="1:23" x14ac:dyDescent="0.25">
      <c r="A83" s="1">
        <v>75</v>
      </c>
      <c r="B83" s="1">
        <v>784</v>
      </c>
      <c r="C83" s="1">
        <v>3986</v>
      </c>
      <c r="D83" s="1">
        <v>0.5</v>
      </c>
      <c r="E83" s="1">
        <v>-0.2</v>
      </c>
      <c r="F83" s="1">
        <v>-0.1</v>
      </c>
      <c r="G83" s="1">
        <v>-4</v>
      </c>
      <c r="H83" s="1">
        <v>-2</v>
      </c>
      <c r="I83" s="1">
        <v>0</v>
      </c>
      <c r="J83" s="1"/>
      <c r="K83" s="1"/>
      <c r="L83" s="1"/>
      <c r="M83" s="1"/>
      <c r="O83" s="1"/>
      <c r="P83" s="1"/>
      <c r="Q83" s="1"/>
      <c r="R83" s="1"/>
      <c r="S83" s="1"/>
      <c r="T83" s="1"/>
      <c r="U83" s="1"/>
      <c r="V83" s="1"/>
      <c r="W83" s="1"/>
    </row>
    <row r="84" spans="1:23" x14ac:dyDescent="0.25">
      <c r="A84" s="1">
        <v>100</v>
      </c>
      <c r="B84" s="1">
        <v>761</v>
      </c>
      <c r="C84" s="1">
        <v>3754</v>
      </c>
      <c r="D84" s="1">
        <v>0</v>
      </c>
      <c r="E84" s="1">
        <v>0</v>
      </c>
      <c r="F84" s="1">
        <v>0</v>
      </c>
      <c r="G84" s="1">
        <v>-6</v>
      </c>
      <c r="H84" s="1">
        <v>-2</v>
      </c>
      <c r="I84" s="1">
        <v>-1</v>
      </c>
      <c r="J84" s="1"/>
      <c r="K84" s="1"/>
      <c r="L84" s="1"/>
      <c r="M84" s="1"/>
      <c r="O84" s="1"/>
      <c r="P84" s="1"/>
      <c r="Q84" s="1"/>
      <c r="R84" s="1"/>
      <c r="S84" s="1"/>
      <c r="T84" s="1"/>
      <c r="U84" s="1"/>
      <c r="V84" s="1"/>
      <c r="W84" s="1"/>
    </row>
    <row r="85" spans="1:23" x14ac:dyDescent="0.25">
      <c r="A85" s="1">
        <v>125</v>
      </c>
      <c r="B85" s="1">
        <v>738</v>
      </c>
      <c r="C85" s="1">
        <v>3533</v>
      </c>
      <c r="D85" s="1">
        <v>-1.6</v>
      </c>
      <c r="E85" s="1">
        <v>0.5</v>
      </c>
      <c r="F85" s="1">
        <v>0.1</v>
      </c>
      <c r="G85" s="1">
        <v>-10</v>
      </c>
      <c r="H85" s="1">
        <v>-3</v>
      </c>
      <c r="I85" s="1">
        <v>-1</v>
      </c>
      <c r="J85" s="1"/>
      <c r="K85" s="1"/>
      <c r="L85" s="1"/>
      <c r="M85" s="1"/>
      <c r="O85" s="1"/>
      <c r="P85" s="1"/>
      <c r="Q85" s="1"/>
      <c r="R85" s="1"/>
      <c r="S85" s="1"/>
      <c r="T85" s="1"/>
      <c r="U85" s="1"/>
      <c r="V85" s="1"/>
      <c r="W85" s="1"/>
    </row>
    <row r="86" spans="1:23" x14ac:dyDescent="0.25">
      <c r="A86" s="1">
        <v>150</v>
      </c>
      <c r="B86" s="1">
        <v>716</v>
      </c>
      <c r="C86" s="1">
        <v>3321</v>
      </c>
      <c r="D86" s="1">
        <v>-4.4000000000000004</v>
      </c>
      <c r="E86" s="1">
        <v>1</v>
      </c>
      <c r="F86" s="1">
        <v>0.3</v>
      </c>
      <c r="G86" s="1">
        <v>-14</v>
      </c>
      <c r="H86" s="1">
        <v>-4</v>
      </c>
      <c r="I86" s="1">
        <v>-1</v>
      </c>
      <c r="J86" s="1"/>
      <c r="K86" s="1"/>
      <c r="L86" s="1"/>
      <c r="M86" s="1"/>
      <c r="O86" s="1"/>
      <c r="P86" s="1"/>
      <c r="Q86" s="1"/>
      <c r="R86" s="1"/>
      <c r="S86" s="1"/>
      <c r="T86" s="1"/>
      <c r="U86" s="1"/>
      <c r="V86" s="1"/>
      <c r="W86" s="1"/>
    </row>
    <row r="87" spans="1:23" x14ac:dyDescent="0.25">
      <c r="A87" s="1">
        <v>175</v>
      </c>
      <c r="B87" s="1">
        <v>694</v>
      </c>
      <c r="C87" s="1">
        <v>3120</v>
      </c>
      <c r="D87" s="1">
        <v>-8.3000000000000007</v>
      </c>
      <c r="E87" s="1">
        <v>1.6</v>
      </c>
      <c r="F87" s="1">
        <v>0.5</v>
      </c>
      <c r="G87" s="1">
        <v>-20</v>
      </c>
      <c r="H87" s="1">
        <v>-4</v>
      </c>
      <c r="I87" s="1">
        <v>-1</v>
      </c>
      <c r="J87" s="1"/>
      <c r="K87" s="1"/>
      <c r="L87" s="1"/>
      <c r="M87" s="1"/>
      <c r="O87" s="1"/>
      <c r="P87" s="1"/>
      <c r="Q87" s="1"/>
      <c r="R87" s="1"/>
      <c r="S87" s="1"/>
      <c r="T87" s="1"/>
      <c r="U87" s="1"/>
      <c r="V87" s="1"/>
      <c r="W87" s="1"/>
    </row>
    <row r="88" spans="1:23" x14ac:dyDescent="0.25">
      <c r="A88" s="1">
        <v>200</v>
      </c>
      <c r="B88" s="1">
        <v>672</v>
      </c>
      <c r="C88" s="1">
        <v>2928</v>
      </c>
      <c r="D88" s="1">
        <v>-13.8</v>
      </c>
      <c r="E88" s="1">
        <v>2.4</v>
      </c>
      <c r="F88" s="1">
        <v>0.7</v>
      </c>
      <c r="G88" s="1">
        <v>-26</v>
      </c>
      <c r="H88" s="1">
        <v>-5</v>
      </c>
      <c r="I88" s="1">
        <v>-1</v>
      </c>
      <c r="J88" s="1"/>
      <c r="K88" s="1"/>
      <c r="L88" s="1"/>
      <c r="M88" s="1"/>
      <c r="O88" s="1"/>
      <c r="P88" s="1"/>
      <c r="Q88" s="1"/>
      <c r="R88" s="1"/>
      <c r="S88" s="1"/>
      <c r="T88" s="1"/>
      <c r="U88" s="1"/>
      <c r="V88" s="1"/>
      <c r="W88" s="1"/>
    </row>
    <row r="89" spans="1:23" x14ac:dyDescent="0.25">
      <c r="A89" s="1">
        <v>225</v>
      </c>
      <c r="B89" s="1">
        <v>651</v>
      </c>
      <c r="C89" s="1">
        <v>2746</v>
      </c>
      <c r="D89" s="1">
        <v>-20.399999999999999</v>
      </c>
      <c r="E89" s="1">
        <v>3.1</v>
      </c>
      <c r="F89" s="1">
        <v>0.9</v>
      </c>
      <c r="G89" s="1">
        <v>-34</v>
      </c>
      <c r="H89" s="1">
        <v>-6</v>
      </c>
      <c r="I89" s="1">
        <v>-2</v>
      </c>
      <c r="J89" s="1"/>
      <c r="K89" s="1"/>
      <c r="L89" s="1"/>
      <c r="M89" s="1"/>
      <c r="O89" s="1"/>
      <c r="P89" s="1"/>
      <c r="Q89" s="1"/>
      <c r="R89" s="1"/>
      <c r="S89" s="1"/>
      <c r="T89" s="1"/>
      <c r="U89" s="1"/>
      <c r="V89" s="1"/>
      <c r="W89" s="1"/>
    </row>
    <row r="90" spans="1:23" x14ac:dyDescent="0.25">
      <c r="A90" s="1">
        <v>250</v>
      </c>
      <c r="B90" s="1">
        <v>630</v>
      </c>
      <c r="C90" s="1">
        <v>2572</v>
      </c>
      <c r="D90" s="1">
        <v>-28.6</v>
      </c>
      <c r="E90" s="1">
        <v>3.9</v>
      </c>
      <c r="F90" s="1">
        <v>1.1000000000000001</v>
      </c>
      <c r="G90" s="1">
        <v>-42</v>
      </c>
      <c r="H90" s="1">
        <v>-6</v>
      </c>
      <c r="I90" s="1">
        <v>-2</v>
      </c>
      <c r="J90" s="1"/>
      <c r="K90" s="1"/>
      <c r="L90" s="1"/>
      <c r="M90" s="1"/>
      <c r="O90" s="1"/>
      <c r="P90" s="1"/>
      <c r="Q90" s="1"/>
      <c r="R90" s="1"/>
      <c r="S90" s="1"/>
      <c r="T90" s="1"/>
      <c r="U90" s="1"/>
      <c r="V90" s="1"/>
      <c r="W90" s="1"/>
    </row>
    <row r="91" spans="1:23" x14ac:dyDescent="0.25">
      <c r="A91" s="1">
        <v>275</v>
      </c>
      <c r="B91" s="1">
        <v>610</v>
      </c>
      <c r="C91" s="1">
        <v>2408</v>
      </c>
      <c r="D91" s="1">
        <v>-38.799999999999997</v>
      </c>
      <c r="E91" s="1">
        <v>4.8</v>
      </c>
      <c r="F91" s="1">
        <v>1.4</v>
      </c>
      <c r="G91" s="1">
        <v>-52</v>
      </c>
      <c r="H91" s="1">
        <v>-7</v>
      </c>
      <c r="I91" s="1">
        <v>-2</v>
      </c>
      <c r="J91" s="1"/>
      <c r="K91" s="1"/>
      <c r="L91" s="1"/>
      <c r="M91" s="1"/>
      <c r="O91" s="1"/>
      <c r="P91" s="1"/>
      <c r="Q91" s="1"/>
      <c r="R91" s="1"/>
      <c r="S91" s="1"/>
      <c r="T91" s="1"/>
      <c r="U91" s="1"/>
      <c r="V91" s="1"/>
      <c r="W91" s="1"/>
    </row>
    <row r="92" spans="1:23" x14ac:dyDescent="0.25">
      <c r="A92" s="1">
        <v>300</v>
      </c>
      <c r="B92" s="1">
        <v>589</v>
      </c>
      <c r="C92" s="1">
        <v>2252</v>
      </c>
      <c r="D92" s="1">
        <v>-50.3</v>
      </c>
      <c r="E92" s="1">
        <v>5.8</v>
      </c>
      <c r="F92" s="1">
        <v>1.7</v>
      </c>
      <c r="G92" s="1">
        <v>-63</v>
      </c>
      <c r="H92" s="1">
        <v>-8</v>
      </c>
      <c r="I92" s="1">
        <v>-2</v>
      </c>
      <c r="J92" s="1"/>
      <c r="K92" s="1"/>
      <c r="L92" s="1"/>
      <c r="M92" s="1"/>
      <c r="O92" s="1"/>
      <c r="P92" s="1"/>
    </row>
    <row r="93" spans="1:23" x14ac:dyDescent="0.25">
      <c r="A93" s="1">
        <v>325</v>
      </c>
      <c r="B93" s="1">
        <v>570</v>
      </c>
      <c r="C93" s="1">
        <v>2104</v>
      </c>
      <c r="D93" s="1">
        <v>-63.7</v>
      </c>
      <c r="E93" s="1">
        <v>6.7</v>
      </c>
      <c r="F93" s="1">
        <v>2</v>
      </c>
      <c r="G93" s="1">
        <v>-75</v>
      </c>
      <c r="H93" s="1">
        <v>-9</v>
      </c>
      <c r="I93" s="1">
        <v>-2</v>
      </c>
      <c r="J93" s="1"/>
      <c r="K93" s="1"/>
      <c r="L93" s="1"/>
      <c r="M93" s="1"/>
      <c r="O93" s="1"/>
      <c r="P93" s="1"/>
    </row>
    <row r="94" spans="1:23" x14ac:dyDescent="0.25">
      <c r="A94" s="1">
        <v>350</v>
      </c>
      <c r="B94" s="1">
        <v>551</v>
      </c>
      <c r="C94" s="1">
        <v>1964</v>
      </c>
      <c r="D94" s="1">
        <v>-79.7</v>
      </c>
      <c r="E94" s="1">
        <v>7.8</v>
      </c>
      <c r="F94" s="1">
        <v>2.2999999999999998</v>
      </c>
      <c r="G94" s="1">
        <v>-88</v>
      </c>
      <c r="H94" s="1">
        <v>-10</v>
      </c>
      <c r="I94" s="1">
        <v>-3</v>
      </c>
      <c r="J94" s="1"/>
      <c r="K94" s="1"/>
      <c r="L94" s="1"/>
      <c r="M94" s="1"/>
      <c r="O94" s="1"/>
      <c r="P94" s="1"/>
    </row>
    <row r="95" spans="1:23" x14ac:dyDescent="0.25">
      <c r="A95" s="1">
        <v>375</v>
      </c>
      <c r="B95" s="1">
        <v>532</v>
      </c>
      <c r="C95" s="1">
        <v>1833</v>
      </c>
      <c r="D95" s="1">
        <v>-97.4</v>
      </c>
      <c r="E95" s="1">
        <v>8.9</v>
      </c>
      <c r="F95" s="1">
        <v>2.6</v>
      </c>
      <c r="G95" s="1">
        <v>-103</v>
      </c>
      <c r="H95" s="1">
        <v>-10</v>
      </c>
      <c r="I95" s="1">
        <v>-3</v>
      </c>
      <c r="J95" s="1"/>
      <c r="K95" s="1"/>
      <c r="L95" s="1"/>
      <c r="M95" s="1"/>
      <c r="O95" s="1"/>
      <c r="P95" s="1"/>
      <c r="Q95" s="1"/>
      <c r="R95" s="1"/>
      <c r="S95" s="1"/>
      <c r="T95" s="1"/>
      <c r="U95" s="1"/>
      <c r="V95" s="1"/>
      <c r="W95" s="1"/>
    </row>
    <row r="96" spans="1:23" x14ac:dyDescent="0.25">
      <c r="A96" s="1">
        <v>400</v>
      </c>
      <c r="B96" s="1">
        <v>513</v>
      </c>
      <c r="C96" s="1">
        <v>1709</v>
      </c>
      <c r="D96" s="1">
        <v>-117.4</v>
      </c>
      <c r="E96" s="1">
        <v>10.1</v>
      </c>
      <c r="F96" s="1">
        <v>2.9</v>
      </c>
      <c r="G96" s="1">
        <v>-120</v>
      </c>
      <c r="H96" s="1">
        <v>-11</v>
      </c>
      <c r="I96" s="1">
        <v>-3</v>
      </c>
      <c r="J96" s="1"/>
      <c r="K96" s="1"/>
      <c r="L96" s="1"/>
      <c r="M96" s="1"/>
      <c r="O96" s="1"/>
      <c r="P96" s="1"/>
      <c r="Q96" s="1"/>
      <c r="R96" s="1"/>
      <c r="S96" s="1"/>
      <c r="T96" s="1"/>
      <c r="U96" s="1"/>
      <c r="V96" s="1"/>
      <c r="W96" s="1"/>
    </row>
    <row r="97" spans="1:23" x14ac:dyDescent="0.25">
      <c r="A97" s="1">
        <v>425</v>
      </c>
      <c r="B97" s="1">
        <v>496</v>
      </c>
      <c r="C97" s="1">
        <v>1593</v>
      </c>
      <c r="D97" s="1">
        <v>-140.80000000000001</v>
      </c>
      <c r="E97" s="1">
        <v>11.4</v>
      </c>
      <c r="F97" s="1">
        <v>3.3</v>
      </c>
      <c r="G97" s="1">
        <v>-137</v>
      </c>
      <c r="H97" s="1">
        <v>-12</v>
      </c>
      <c r="I97" s="1">
        <v>-4</v>
      </c>
      <c r="J97" s="1"/>
      <c r="K97" s="1"/>
      <c r="L97" s="1"/>
      <c r="M97" s="1"/>
      <c r="O97" s="1"/>
      <c r="P97" s="1"/>
      <c r="Q97" s="1"/>
      <c r="R97" s="1"/>
      <c r="S97" s="1"/>
      <c r="T97" s="1"/>
      <c r="U97" s="1"/>
      <c r="V97" s="1"/>
      <c r="W97" s="1"/>
    </row>
    <row r="98" spans="1:23" x14ac:dyDescent="0.25">
      <c r="A98" s="1">
        <v>450</v>
      </c>
      <c r="B98" s="1">
        <v>479</v>
      </c>
      <c r="C98" s="1">
        <v>1484</v>
      </c>
      <c r="D98" s="1">
        <v>-166.1</v>
      </c>
      <c r="E98" s="1">
        <v>12.7</v>
      </c>
      <c r="F98" s="1">
        <v>3.7</v>
      </c>
      <c r="G98" s="1">
        <v>-156</v>
      </c>
      <c r="H98" s="1">
        <v>-13</v>
      </c>
      <c r="I98" s="1">
        <v>-4</v>
      </c>
      <c r="J98" s="1"/>
      <c r="K98" s="1"/>
      <c r="L98" s="1"/>
      <c r="M98" s="1"/>
      <c r="O98" s="1"/>
      <c r="P98" s="1"/>
      <c r="Q98" s="1"/>
      <c r="R98" s="1"/>
      <c r="S98" s="1"/>
      <c r="T98" s="1"/>
      <c r="U98" s="1"/>
      <c r="V98" s="1"/>
      <c r="W98" s="1"/>
    </row>
    <row r="99" spans="1:23" x14ac:dyDescent="0.25">
      <c r="A99" s="1">
        <v>475</v>
      </c>
      <c r="B99" s="1">
        <v>462</v>
      </c>
      <c r="C99" s="1">
        <v>1383</v>
      </c>
      <c r="D99" s="1">
        <v>-194.4</v>
      </c>
      <c r="E99" s="1">
        <v>14.1</v>
      </c>
      <c r="F99" s="1">
        <v>4.0999999999999996</v>
      </c>
      <c r="G99" s="1">
        <v>-177</v>
      </c>
      <c r="H99" s="1">
        <v>-14</v>
      </c>
      <c r="I99" s="1">
        <v>-4</v>
      </c>
      <c r="J99" s="1"/>
      <c r="K99" s="1"/>
      <c r="L99" s="1"/>
      <c r="M99" s="1"/>
      <c r="O99" s="1"/>
      <c r="P99" s="1"/>
      <c r="Q99" s="1"/>
      <c r="R99" s="1"/>
      <c r="S99" s="1"/>
      <c r="T99" s="1"/>
      <c r="U99" s="1"/>
      <c r="V99" s="1"/>
      <c r="W99" s="1"/>
    </row>
    <row r="100" spans="1:23" x14ac:dyDescent="0.25">
      <c r="A100" s="1">
        <v>500</v>
      </c>
      <c r="B100" s="1">
        <v>446</v>
      </c>
      <c r="C100" s="1">
        <v>1292</v>
      </c>
      <c r="D100" s="1">
        <v>-225.8</v>
      </c>
      <c r="E100" s="1">
        <v>15.5</v>
      </c>
      <c r="F100" s="1">
        <v>4.5</v>
      </c>
      <c r="G100" s="1">
        <v>-199</v>
      </c>
      <c r="H100" s="1">
        <v>-15</v>
      </c>
      <c r="I100" s="1">
        <v>-4</v>
      </c>
      <c r="J100" s="1"/>
      <c r="K100" s="1"/>
      <c r="L100" s="1"/>
      <c r="M100" s="1"/>
      <c r="O100" s="1"/>
      <c r="P100" s="1"/>
      <c r="Q100" s="1"/>
      <c r="R100" s="1"/>
      <c r="S100" s="1"/>
      <c r="T100" s="1"/>
      <c r="U100" s="1"/>
      <c r="V100" s="1"/>
      <c r="W100" s="1"/>
    </row>
    <row r="101" spans="1:23" x14ac:dyDescent="0.25">
      <c r="Q101" s="1"/>
      <c r="R101" s="1"/>
      <c r="S101" s="1"/>
      <c r="T101" s="1"/>
      <c r="U101" s="1"/>
      <c r="V101" s="1"/>
      <c r="W101" s="1"/>
    </row>
    <row r="102" spans="1:23" x14ac:dyDescent="0.25">
      <c r="A102" t="s">
        <v>83</v>
      </c>
      <c r="Q102" s="1"/>
      <c r="R102" s="1"/>
      <c r="S102" s="1"/>
      <c r="T102" s="1"/>
      <c r="U102" s="1"/>
      <c r="V102" s="1"/>
      <c r="W102" s="1"/>
    </row>
    <row r="103" spans="1:23" x14ac:dyDescent="0.25">
      <c r="A103" t="s">
        <v>12</v>
      </c>
      <c r="B103" t="s">
        <v>13</v>
      </c>
      <c r="C103" t="s">
        <v>14</v>
      </c>
      <c r="D103" t="s">
        <v>15</v>
      </c>
      <c r="E103" t="s">
        <v>16</v>
      </c>
      <c r="F103" t="s">
        <v>17</v>
      </c>
      <c r="G103" t="s">
        <v>37</v>
      </c>
      <c r="H103" t="s">
        <v>38</v>
      </c>
      <c r="I103" t="s">
        <v>39</v>
      </c>
      <c r="Q103" s="1"/>
      <c r="R103" s="1"/>
      <c r="S103" s="1"/>
      <c r="T103" s="1"/>
      <c r="U103" s="1"/>
      <c r="V103" s="1"/>
      <c r="W103" s="1"/>
    </row>
    <row r="104" spans="1:23" x14ac:dyDescent="0.25">
      <c r="A104" s="1">
        <v>0</v>
      </c>
      <c r="B104" s="1">
        <v>856</v>
      </c>
      <c r="C104" s="1">
        <v>4754</v>
      </c>
      <c r="D104" s="1">
        <v>-3.8</v>
      </c>
      <c r="E104" s="1">
        <v>0</v>
      </c>
      <c r="F104" s="1">
        <v>0</v>
      </c>
      <c r="G104">
        <v>0</v>
      </c>
      <c r="H104" s="1">
        <v>0</v>
      </c>
      <c r="I104" s="1">
        <v>0</v>
      </c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</row>
    <row r="105" spans="1:23" x14ac:dyDescent="0.25">
      <c r="A105" s="1">
        <v>25</v>
      </c>
      <c r="B105" s="1">
        <v>832</v>
      </c>
      <c r="C105" s="1">
        <v>4485</v>
      </c>
      <c r="D105" s="1">
        <v>-1.5</v>
      </c>
      <c r="E105" s="1">
        <v>2</v>
      </c>
      <c r="F105" s="1">
        <v>0.6</v>
      </c>
      <c r="G105">
        <v>0</v>
      </c>
      <c r="H105" s="1">
        <v>-1</v>
      </c>
      <c r="I105" s="1">
        <v>0</v>
      </c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</row>
    <row r="106" spans="1:23" x14ac:dyDescent="0.25">
      <c r="A106" s="1">
        <v>50</v>
      </c>
      <c r="B106" s="1">
        <v>808</v>
      </c>
      <c r="C106" s="1">
        <v>4230</v>
      </c>
      <c r="D106" s="1">
        <v>0</v>
      </c>
      <c r="E106" s="1">
        <v>0</v>
      </c>
      <c r="F106" s="1">
        <v>0</v>
      </c>
      <c r="G106">
        <v>-2</v>
      </c>
      <c r="H106" s="1">
        <v>-1</v>
      </c>
      <c r="I106" s="1">
        <v>0</v>
      </c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</row>
    <row r="107" spans="1:23" x14ac:dyDescent="0.25">
      <c r="A107" s="1">
        <v>75</v>
      </c>
      <c r="B107" s="1">
        <v>784</v>
      </c>
      <c r="C107" s="1">
        <v>3986</v>
      </c>
      <c r="D107" s="1">
        <v>0.5</v>
      </c>
      <c r="E107" s="1">
        <v>-0.2</v>
      </c>
      <c r="F107" s="1">
        <v>-0.1</v>
      </c>
      <c r="G107">
        <v>-4</v>
      </c>
      <c r="H107" s="1">
        <v>-2</v>
      </c>
      <c r="I107" s="1">
        <v>0</v>
      </c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</row>
    <row r="108" spans="1:23" x14ac:dyDescent="0.25">
      <c r="A108" s="10">
        <v>100</v>
      </c>
      <c r="B108" s="10">
        <v>761</v>
      </c>
      <c r="C108" s="10">
        <v>3754</v>
      </c>
      <c r="D108" s="10">
        <v>0</v>
      </c>
      <c r="E108" s="10">
        <v>0</v>
      </c>
      <c r="F108" s="10">
        <v>0</v>
      </c>
      <c r="G108">
        <v>-6</v>
      </c>
      <c r="H108" s="1">
        <v>-2</v>
      </c>
      <c r="I108" s="1">
        <v>-1</v>
      </c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</row>
    <row r="109" spans="1:23" x14ac:dyDescent="0.25">
      <c r="A109" s="1">
        <v>125</v>
      </c>
      <c r="B109" s="1">
        <v>738</v>
      </c>
      <c r="C109" s="1">
        <v>3533</v>
      </c>
      <c r="D109" s="1">
        <v>-1.6</v>
      </c>
      <c r="E109" s="1">
        <v>0.4</v>
      </c>
      <c r="F109" s="1">
        <v>0.1</v>
      </c>
      <c r="G109">
        <v>-10</v>
      </c>
      <c r="H109" s="1">
        <v>-3</v>
      </c>
      <c r="I109" s="1">
        <v>-1</v>
      </c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</row>
    <row r="110" spans="1:23" x14ac:dyDescent="0.25">
      <c r="A110" s="1">
        <v>150</v>
      </c>
      <c r="B110" s="1">
        <v>716</v>
      </c>
      <c r="C110" s="1">
        <v>3321</v>
      </c>
      <c r="D110" s="1">
        <v>-4.3</v>
      </c>
      <c r="E110" s="1">
        <v>1</v>
      </c>
      <c r="F110" s="1">
        <v>0.3</v>
      </c>
      <c r="G110">
        <v>-14</v>
      </c>
      <c r="H110" s="1">
        <v>-4</v>
      </c>
      <c r="I110" s="1">
        <v>-1</v>
      </c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</row>
    <row r="111" spans="1:23" x14ac:dyDescent="0.25">
      <c r="A111" s="1">
        <v>175</v>
      </c>
      <c r="B111" s="1">
        <v>694</v>
      </c>
      <c r="C111" s="1">
        <v>3120</v>
      </c>
      <c r="D111" s="1">
        <v>-8.1999999999999993</v>
      </c>
      <c r="E111" s="1">
        <v>1.6</v>
      </c>
      <c r="F111" s="1">
        <v>0.5</v>
      </c>
      <c r="G111">
        <v>-20</v>
      </c>
      <c r="H111" s="1">
        <v>-4</v>
      </c>
      <c r="I111" s="1">
        <v>-1</v>
      </c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</row>
    <row r="112" spans="1:23" x14ac:dyDescent="0.25">
      <c r="A112" s="1">
        <v>200</v>
      </c>
      <c r="B112" s="1">
        <v>672</v>
      </c>
      <c r="C112" s="1">
        <v>2928</v>
      </c>
      <c r="D112" s="1">
        <v>-13.7</v>
      </c>
      <c r="E112" s="1">
        <v>2.2999999999999998</v>
      </c>
      <c r="F112" s="1">
        <v>0.7</v>
      </c>
      <c r="G112">
        <v>-26</v>
      </c>
      <c r="H112" s="1">
        <v>-5</v>
      </c>
      <c r="I112" s="1">
        <v>-1</v>
      </c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</row>
    <row r="113" spans="1:23" x14ac:dyDescent="0.25">
      <c r="A113" s="1">
        <v>225</v>
      </c>
      <c r="B113" s="1">
        <v>651</v>
      </c>
      <c r="C113" s="1">
        <v>2746</v>
      </c>
      <c r="D113" s="1">
        <v>-20.3</v>
      </c>
      <c r="E113" s="1">
        <v>3.1</v>
      </c>
      <c r="F113" s="1">
        <v>0.9</v>
      </c>
      <c r="G113">
        <v>-34</v>
      </c>
      <c r="H113" s="1">
        <v>-6</v>
      </c>
      <c r="I113" s="1">
        <v>-2</v>
      </c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</row>
    <row r="114" spans="1:23" x14ac:dyDescent="0.25">
      <c r="A114" s="1">
        <v>250</v>
      </c>
      <c r="B114" s="1">
        <v>630</v>
      </c>
      <c r="C114" s="1">
        <v>2572</v>
      </c>
      <c r="D114" s="1">
        <v>-28.5</v>
      </c>
      <c r="E114" s="1">
        <v>3.9</v>
      </c>
      <c r="F114" s="1">
        <v>1.1000000000000001</v>
      </c>
      <c r="G114">
        <v>-42</v>
      </c>
      <c r="H114" s="1">
        <v>-6</v>
      </c>
      <c r="I114" s="1">
        <v>-2</v>
      </c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</row>
    <row r="115" spans="1:23" x14ac:dyDescent="0.25">
      <c r="A115" s="1">
        <v>275</v>
      </c>
      <c r="B115" s="1">
        <v>610</v>
      </c>
      <c r="C115" s="1">
        <v>2408</v>
      </c>
      <c r="D115" s="1">
        <v>-38.700000000000003</v>
      </c>
      <c r="E115" s="1">
        <v>4.8</v>
      </c>
      <c r="F115" s="1">
        <v>1.4</v>
      </c>
      <c r="G115">
        <v>-52</v>
      </c>
      <c r="H115" s="1">
        <v>-7</v>
      </c>
      <c r="I115" s="1">
        <v>-2</v>
      </c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</row>
    <row r="116" spans="1:23" x14ac:dyDescent="0.25">
      <c r="A116" s="1">
        <v>300</v>
      </c>
      <c r="B116" s="1">
        <v>589</v>
      </c>
      <c r="C116" s="1">
        <v>2252</v>
      </c>
      <c r="D116" s="1">
        <v>-50.2</v>
      </c>
      <c r="E116" s="1">
        <v>5.8</v>
      </c>
      <c r="F116" s="1">
        <v>1.7</v>
      </c>
      <c r="G116">
        <v>-63</v>
      </c>
      <c r="H116" s="1">
        <v>-8</v>
      </c>
      <c r="I116" s="1">
        <v>-2</v>
      </c>
      <c r="J116" s="1"/>
      <c r="K116" s="1"/>
      <c r="L116" s="1"/>
      <c r="M116" s="1"/>
      <c r="N116" s="1"/>
      <c r="O116" s="1"/>
      <c r="P116" s="1"/>
    </row>
    <row r="117" spans="1:23" x14ac:dyDescent="0.25">
      <c r="A117" s="1">
        <v>325</v>
      </c>
      <c r="B117" s="1">
        <v>570</v>
      </c>
      <c r="C117" s="1">
        <v>2104</v>
      </c>
      <c r="D117" s="1">
        <v>-63.6</v>
      </c>
      <c r="E117" s="1">
        <v>6.7</v>
      </c>
      <c r="F117" s="1">
        <v>2</v>
      </c>
      <c r="G117">
        <v>-75</v>
      </c>
      <c r="H117" s="1">
        <v>-9</v>
      </c>
      <c r="I117" s="1">
        <v>-2</v>
      </c>
      <c r="J117" s="1"/>
      <c r="K117" s="1"/>
      <c r="L117" s="1"/>
      <c r="M117" s="1"/>
      <c r="N117" s="1"/>
      <c r="O117" s="1"/>
      <c r="P117" s="1"/>
    </row>
    <row r="118" spans="1:23" x14ac:dyDescent="0.25">
      <c r="A118" s="1">
        <v>350</v>
      </c>
      <c r="B118" s="1">
        <v>551</v>
      </c>
      <c r="C118" s="1">
        <v>1964</v>
      </c>
      <c r="D118" s="1">
        <v>-79.599999999999994</v>
      </c>
      <c r="E118" s="1">
        <v>7.8</v>
      </c>
      <c r="F118" s="1">
        <v>2.2999999999999998</v>
      </c>
      <c r="G118">
        <v>-88</v>
      </c>
      <c r="H118" s="1">
        <v>-10</v>
      </c>
      <c r="I118" s="1">
        <v>-3</v>
      </c>
      <c r="J118" s="1"/>
      <c r="K118" s="1"/>
      <c r="L118" s="1"/>
      <c r="M118" s="1"/>
      <c r="N118" s="1"/>
      <c r="O118" s="1"/>
      <c r="P118" s="1"/>
    </row>
    <row r="119" spans="1:23" x14ac:dyDescent="0.25">
      <c r="A119" s="1">
        <v>375</v>
      </c>
      <c r="B119" s="1">
        <v>532</v>
      </c>
      <c r="C119" s="1">
        <v>1833</v>
      </c>
      <c r="D119" s="1">
        <v>-97.3</v>
      </c>
      <c r="E119" s="1">
        <v>8.9</v>
      </c>
      <c r="F119" s="1">
        <v>2.6</v>
      </c>
      <c r="G119">
        <v>-103</v>
      </c>
      <c r="H119" s="1">
        <v>-10</v>
      </c>
      <c r="I119" s="1">
        <v>-3</v>
      </c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</row>
    <row r="120" spans="1:23" x14ac:dyDescent="0.25">
      <c r="A120" s="1">
        <v>400</v>
      </c>
      <c r="B120" s="1">
        <v>513</v>
      </c>
      <c r="C120" s="1">
        <v>1709</v>
      </c>
      <c r="D120" s="1">
        <v>-117.2</v>
      </c>
      <c r="E120" s="1">
        <v>10.1</v>
      </c>
      <c r="F120" s="1">
        <v>2.9</v>
      </c>
      <c r="G120">
        <v>-120</v>
      </c>
      <c r="H120" s="1">
        <v>-11</v>
      </c>
      <c r="I120" s="1">
        <v>-3</v>
      </c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</row>
    <row r="121" spans="1:23" x14ac:dyDescent="0.25">
      <c r="A121" s="1">
        <v>425</v>
      </c>
      <c r="B121" s="1">
        <v>496</v>
      </c>
      <c r="C121" s="1">
        <v>1593</v>
      </c>
      <c r="D121" s="1">
        <v>-140.6</v>
      </c>
      <c r="E121" s="1">
        <v>11.4</v>
      </c>
      <c r="F121" s="1">
        <v>3.3</v>
      </c>
      <c r="G121">
        <v>-137</v>
      </c>
      <c r="H121" s="1">
        <v>-12</v>
      </c>
      <c r="I121" s="1">
        <v>-4</v>
      </c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</row>
    <row r="122" spans="1:23" x14ac:dyDescent="0.25">
      <c r="A122" s="1">
        <v>450</v>
      </c>
      <c r="B122" s="1">
        <v>479</v>
      </c>
      <c r="C122" s="1">
        <v>1484</v>
      </c>
      <c r="D122" s="1">
        <v>-165.9</v>
      </c>
      <c r="E122" s="1">
        <v>12.7</v>
      </c>
      <c r="F122" s="1">
        <v>3.7</v>
      </c>
      <c r="G122">
        <v>-156</v>
      </c>
      <c r="H122" s="1">
        <v>-13</v>
      </c>
      <c r="I122" s="1">
        <v>-4</v>
      </c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</row>
    <row r="123" spans="1:23" x14ac:dyDescent="0.25">
      <c r="A123" s="1">
        <v>475</v>
      </c>
      <c r="B123" s="1">
        <v>462</v>
      </c>
      <c r="C123" s="1">
        <v>1383</v>
      </c>
      <c r="D123" s="1">
        <v>-194.2</v>
      </c>
      <c r="E123" s="1">
        <v>14.1</v>
      </c>
      <c r="F123" s="1">
        <v>4.0999999999999996</v>
      </c>
      <c r="G123">
        <v>-177</v>
      </c>
      <c r="H123" s="1">
        <v>-14</v>
      </c>
      <c r="I123" s="1">
        <v>-4</v>
      </c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</row>
    <row r="124" spans="1:23" x14ac:dyDescent="0.25">
      <c r="A124" s="1">
        <v>500</v>
      </c>
      <c r="B124" s="1">
        <v>446</v>
      </c>
      <c r="C124" s="1">
        <v>1292</v>
      </c>
      <c r="D124" s="1">
        <v>-225.6</v>
      </c>
      <c r="E124" s="1">
        <v>15.5</v>
      </c>
      <c r="F124" s="1">
        <v>4.5</v>
      </c>
      <c r="G124">
        <v>-199</v>
      </c>
      <c r="H124" s="1">
        <v>-15</v>
      </c>
      <c r="I124" s="1">
        <v>-4</v>
      </c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</row>
    <row r="125" spans="1:23" x14ac:dyDescent="0.25">
      <c r="Q125" s="1"/>
      <c r="R125" s="1"/>
      <c r="S125" s="1"/>
      <c r="T125" s="1"/>
      <c r="U125" s="1"/>
      <c r="V125" s="1"/>
      <c r="W125" s="1"/>
    </row>
    <row r="126" spans="1:23" x14ac:dyDescent="0.25">
      <c r="A126" t="s">
        <v>82</v>
      </c>
      <c r="Q126" s="1"/>
      <c r="R126" s="1"/>
      <c r="S126" s="1"/>
      <c r="T126" s="1"/>
      <c r="U126" s="1"/>
      <c r="V126" s="1"/>
      <c r="W126" s="1"/>
    </row>
    <row r="127" spans="1:23" x14ac:dyDescent="0.25">
      <c r="A127" t="s">
        <v>12</v>
      </c>
      <c r="B127" t="s">
        <v>13</v>
      </c>
      <c r="C127" t="s">
        <v>14</v>
      </c>
      <c r="D127" t="s">
        <v>15</v>
      </c>
      <c r="E127" t="s">
        <v>16</v>
      </c>
      <c r="F127" t="s">
        <v>17</v>
      </c>
      <c r="G127" t="s">
        <v>37</v>
      </c>
      <c r="H127" t="s">
        <v>38</v>
      </c>
      <c r="I127" t="s">
        <v>39</v>
      </c>
      <c r="Q127" s="1"/>
      <c r="R127" s="1"/>
      <c r="S127" s="1"/>
      <c r="T127" s="1"/>
      <c r="U127" s="1"/>
      <c r="V127" s="1"/>
      <c r="W127" s="1"/>
    </row>
    <row r="128" spans="1:23" x14ac:dyDescent="0.25">
      <c r="A128" s="1">
        <v>0</v>
      </c>
      <c r="B128" s="1">
        <v>856</v>
      </c>
      <c r="C128" s="1">
        <v>4754</v>
      </c>
      <c r="D128" s="1">
        <v>-3.8</v>
      </c>
      <c r="E128" s="1">
        <v>0</v>
      </c>
      <c r="F128" s="1">
        <v>0</v>
      </c>
      <c r="G128">
        <v>0</v>
      </c>
      <c r="H128" s="1">
        <v>0</v>
      </c>
      <c r="I128" s="1">
        <v>0</v>
      </c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</row>
    <row r="129" spans="1:23" x14ac:dyDescent="0.25">
      <c r="A129" s="1">
        <v>25</v>
      </c>
      <c r="B129" s="1">
        <v>832</v>
      </c>
      <c r="C129" s="1">
        <v>4485</v>
      </c>
      <c r="D129" s="1">
        <v>-0.8</v>
      </c>
      <c r="E129" s="1">
        <v>1</v>
      </c>
      <c r="F129" s="1">
        <v>0.3</v>
      </c>
      <c r="G129">
        <v>0</v>
      </c>
      <c r="H129" s="1">
        <v>-1</v>
      </c>
      <c r="I129" s="1">
        <v>0</v>
      </c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</row>
    <row r="130" spans="1:23" x14ac:dyDescent="0.25">
      <c r="A130" s="1">
        <v>50</v>
      </c>
      <c r="B130" s="1">
        <v>808</v>
      </c>
      <c r="C130" s="1">
        <v>4230</v>
      </c>
      <c r="D130" s="1">
        <v>1.5</v>
      </c>
      <c r="E130" s="1">
        <v>-1</v>
      </c>
      <c r="F130" s="1">
        <v>-0.3</v>
      </c>
      <c r="G130">
        <v>-2</v>
      </c>
      <c r="H130" s="1">
        <v>-1</v>
      </c>
      <c r="I130" s="1">
        <v>0</v>
      </c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</row>
    <row r="131" spans="1:23" x14ac:dyDescent="0.25">
      <c r="A131" s="1">
        <v>75</v>
      </c>
      <c r="B131" s="1">
        <v>784</v>
      </c>
      <c r="C131" s="1">
        <v>3986</v>
      </c>
      <c r="D131" s="1">
        <v>2.7</v>
      </c>
      <c r="E131" s="1">
        <v>-1.2</v>
      </c>
      <c r="F131" s="1">
        <v>-0.4</v>
      </c>
      <c r="G131">
        <v>-4</v>
      </c>
      <c r="H131" s="1">
        <v>-2</v>
      </c>
      <c r="I131" s="1">
        <v>0</v>
      </c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</row>
    <row r="132" spans="1:23" x14ac:dyDescent="0.25">
      <c r="A132" s="1">
        <v>100</v>
      </c>
      <c r="B132" s="1">
        <v>761</v>
      </c>
      <c r="C132" s="1">
        <v>3754</v>
      </c>
      <c r="D132" s="1">
        <v>2.9</v>
      </c>
      <c r="E132" s="1">
        <v>-1</v>
      </c>
      <c r="F132" s="1">
        <v>-0.3</v>
      </c>
      <c r="G132">
        <v>-6</v>
      </c>
      <c r="H132" s="1">
        <v>-2</v>
      </c>
      <c r="I132" s="1">
        <v>-1</v>
      </c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</row>
    <row r="133" spans="1:23" x14ac:dyDescent="0.25">
      <c r="A133" s="1">
        <v>125</v>
      </c>
      <c r="B133" s="1">
        <v>738</v>
      </c>
      <c r="C133" s="1">
        <v>3533</v>
      </c>
      <c r="D133" s="1">
        <v>2</v>
      </c>
      <c r="E133" s="1">
        <v>-0.5</v>
      </c>
      <c r="F133" s="1">
        <v>-0.2</v>
      </c>
      <c r="G133">
        <v>-10</v>
      </c>
      <c r="H133" s="1">
        <v>-3</v>
      </c>
      <c r="I133" s="1">
        <v>-1</v>
      </c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</row>
    <row r="134" spans="1:23" x14ac:dyDescent="0.25">
      <c r="A134" s="10">
        <v>150</v>
      </c>
      <c r="B134" s="10">
        <v>716</v>
      </c>
      <c r="C134" s="10">
        <v>3321</v>
      </c>
      <c r="D134" s="10">
        <v>0</v>
      </c>
      <c r="E134" s="10">
        <v>0</v>
      </c>
      <c r="F134" s="10">
        <v>0</v>
      </c>
      <c r="G134">
        <v>-14</v>
      </c>
      <c r="H134" s="1">
        <v>-4</v>
      </c>
      <c r="I134" s="1">
        <v>-1</v>
      </c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</row>
    <row r="135" spans="1:23" x14ac:dyDescent="0.25">
      <c r="A135" s="1">
        <v>175</v>
      </c>
      <c r="B135" s="1">
        <v>694</v>
      </c>
      <c r="C135" s="1">
        <v>3120</v>
      </c>
      <c r="D135" s="1">
        <v>-3.2</v>
      </c>
      <c r="E135" s="1">
        <v>0.6</v>
      </c>
      <c r="F135" s="1">
        <v>0.2</v>
      </c>
      <c r="G135">
        <v>-20</v>
      </c>
      <c r="H135" s="1">
        <v>-4</v>
      </c>
      <c r="I135" s="1">
        <v>-1</v>
      </c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</row>
    <row r="136" spans="1:23" x14ac:dyDescent="0.25">
      <c r="A136" s="1">
        <v>200</v>
      </c>
      <c r="B136" s="1">
        <v>672</v>
      </c>
      <c r="C136" s="1">
        <v>2928</v>
      </c>
      <c r="D136" s="1">
        <v>-7.9</v>
      </c>
      <c r="E136" s="1">
        <v>1.4</v>
      </c>
      <c r="F136" s="1">
        <v>0.4</v>
      </c>
      <c r="G136">
        <v>-26</v>
      </c>
      <c r="H136" s="1">
        <v>-5</v>
      </c>
      <c r="I136" s="1">
        <v>-1</v>
      </c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</row>
    <row r="137" spans="1:23" x14ac:dyDescent="0.25">
      <c r="A137" s="1">
        <v>225</v>
      </c>
      <c r="B137" s="1">
        <v>651</v>
      </c>
      <c r="C137" s="1">
        <v>2746</v>
      </c>
      <c r="D137" s="1">
        <v>-13.9</v>
      </c>
      <c r="E137" s="1">
        <v>2.1</v>
      </c>
      <c r="F137" s="1">
        <v>0.6</v>
      </c>
      <c r="G137">
        <v>-34</v>
      </c>
      <c r="H137" s="1">
        <v>-6</v>
      </c>
      <c r="I137" s="1">
        <v>-2</v>
      </c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</row>
    <row r="138" spans="1:23" x14ac:dyDescent="0.25">
      <c r="A138" s="1">
        <v>250</v>
      </c>
      <c r="B138" s="1">
        <v>630</v>
      </c>
      <c r="C138" s="1">
        <v>2572</v>
      </c>
      <c r="D138" s="1">
        <v>-21.3</v>
      </c>
      <c r="E138" s="1">
        <v>2.9</v>
      </c>
      <c r="F138" s="1">
        <v>0.9</v>
      </c>
      <c r="G138">
        <v>-42</v>
      </c>
      <c r="H138" s="1">
        <v>-6</v>
      </c>
      <c r="I138" s="1">
        <v>-2</v>
      </c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</row>
    <row r="139" spans="1:23" x14ac:dyDescent="0.25">
      <c r="A139" s="1">
        <v>275</v>
      </c>
      <c r="B139" s="1">
        <v>610</v>
      </c>
      <c r="C139" s="1">
        <v>2408</v>
      </c>
      <c r="D139" s="1">
        <v>-30.7</v>
      </c>
      <c r="E139" s="1">
        <v>3.8</v>
      </c>
      <c r="F139" s="1">
        <v>1.1000000000000001</v>
      </c>
      <c r="G139">
        <v>-52</v>
      </c>
      <c r="H139" s="1">
        <v>-7</v>
      </c>
      <c r="I139" s="1">
        <v>-2</v>
      </c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</row>
    <row r="140" spans="1:23" x14ac:dyDescent="0.25">
      <c r="A140" s="1">
        <v>300</v>
      </c>
      <c r="B140" s="1">
        <v>589</v>
      </c>
      <c r="C140" s="1">
        <v>2252</v>
      </c>
      <c r="D140" s="1">
        <v>-41.6</v>
      </c>
      <c r="E140" s="1">
        <v>4.8</v>
      </c>
      <c r="F140" s="1">
        <v>1.4</v>
      </c>
      <c r="G140">
        <v>-63</v>
      </c>
      <c r="H140" s="1">
        <v>-8</v>
      </c>
      <c r="I140" s="1">
        <v>-2</v>
      </c>
      <c r="J140" s="1"/>
      <c r="K140" s="1"/>
      <c r="L140" s="1"/>
      <c r="M140" s="1"/>
      <c r="N140" s="1"/>
      <c r="O140" s="1"/>
      <c r="P140" s="1"/>
    </row>
    <row r="141" spans="1:23" x14ac:dyDescent="0.25">
      <c r="A141" s="1">
        <v>325</v>
      </c>
      <c r="B141" s="1">
        <v>570</v>
      </c>
      <c r="C141" s="1">
        <v>2104</v>
      </c>
      <c r="D141" s="1">
        <v>-54.3</v>
      </c>
      <c r="E141" s="1">
        <v>5.7</v>
      </c>
      <c r="F141" s="1">
        <v>1.7</v>
      </c>
      <c r="G141">
        <v>-75</v>
      </c>
      <c r="H141" s="1">
        <v>-9</v>
      </c>
      <c r="I141" s="1">
        <v>-2</v>
      </c>
      <c r="J141" s="1"/>
      <c r="K141" s="1"/>
      <c r="L141" s="1"/>
      <c r="M141" s="1"/>
      <c r="N141" s="1"/>
      <c r="O141" s="1"/>
      <c r="P141" s="1"/>
    </row>
    <row r="142" spans="1:23" x14ac:dyDescent="0.25">
      <c r="A142" s="1">
        <v>350</v>
      </c>
      <c r="B142" s="1">
        <v>551</v>
      </c>
      <c r="C142" s="1">
        <v>1964</v>
      </c>
      <c r="D142" s="1">
        <v>-69.599999999999994</v>
      </c>
      <c r="E142" s="1">
        <v>6.8</v>
      </c>
      <c r="F142" s="1">
        <v>2</v>
      </c>
      <c r="G142">
        <v>-88</v>
      </c>
      <c r="H142" s="1">
        <v>-10</v>
      </c>
      <c r="I142" s="1">
        <v>-3</v>
      </c>
      <c r="J142" s="1"/>
      <c r="K142" s="1"/>
      <c r="L142" s="1"/>
      <c r="M142" s="1"/>
      <c r="N142" s="1"/>
      <c r="O142" s="1"/>
      <c r="P142" s="1"/>
    </row>
    <row r="143" spans="1:23" x14ac:dyDescent="0.25">
      <c r="A143" s="1">
        <v>375</v>
      </c>
      <c r="B143" s="1">
        <v>532</v>
      </c>
      <c r="C143" s="1">
        <v>1833</v>
      </c>
      <c r="D143" s="1">
        <v>-86.5</v>
      </c>
      <c r="E143" s="1">
        <v>7.9</v>
      </c>
      <c r="F143" s="1">
        <v>2.2999999999999998</v>
      </c>
      <c r="G143">
        <v>-103</v>
      </c>
      <c r="H143" s="1">
        <v>-10</v>
      </c>
      <c r="I143" s="1">
        <v>-3</v>
      </c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</row>
    <row r="144" spans="1:23" x14ac:dyDescent="0.25">
      <c r="A144" s="1">
        <v>400</v>
      </c>
      <c r="B144" s="1">
        <v>513</v>
      </c>
      <c r="C144" s="1">
        <v>1709</v>
      </c>
      <c r="D144" s="1">
        <v>-105.8</v>
      </c>
      <c r="E144" s="1">
        <v>9.1</v>
      </c>
      <c r="F144" s="1">
        <v>2.6</v>
      </c>
      <c r="G144">
        <v>-120</v>
      </c>
      <c r="H144" s="1">
        <v>-11</v>
      </c>
      <c r="I144" s="1">
        <v>-3</v>
      </c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</row>
    <row r="145" spans="1:23" x14ac:dyDescent="0.25">
      <c r="A145" s="1">
        <v>425</v>
      </c>
      <c r="B145" s="1">
        <v>496</v>
      </c>
      <c r="C145" s="1">
        <v>1593</v>
      </c>
      <c r="D145" s="1">
        <v>-128.4</v>
      </c>
      <c r="E145" s="1">
        <v>10.4</v>
      </c>
      <c r="F145" s="1">
        <v>3</v>
      </c>
      <c r="G145">
        <v>-137</v>
      </c>
      <c r="H145" s="1">
        <v>-12</v>
      </c>
      <c r="I145" s="1">
        <v>-4</v>
      </c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</row>
    <row r="146" spans="1:23" x14ac:dyDescent="0.25">
      <c r="A146" s="1">
        <v>450</v>
      </c>
      <c r="B146" s="1">
        <v>479</v>
      </c>
      <c r="C146" s="1">
        <v>1484</v>
      </c>
      <c r="D146" s="1">
        <v>-153</v>
      </c>
      <c r="E146" s="1">
        <v>11.7</v>
      </c>
      <c r="F146" s="1">
        <v>3.4</v>
      </c>
      <c r="G146">
        <v>-156</v>
      </c>
      <c r="H146" s="1">
        <v>-13</v>
      </c>
      <c r="I146" s="1">
        <v>-4</v>
      </c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</row>
    <row r="147" spans="1:23" x14ac:dyDescent="0.25">
      <c r="A147" s="1">
        <v>475</v>
      </c>
      <c r="B147" s="1">
        <v>462</v>
      </c>
      <c r="C147" s="1">
        <v>1383</v>
      </c>
      <c r="D147" s="1">
        <v>-180.6</v>
      </c>
      <c r="E147" s="1">
        <v>13.1</v>
      </c>
      <c r="F147" s="1">
        <v>3.8</v>
      </c>
      <c r="G147">
        <v>-177</v>
      </c>
      <c r="H147" s="1">
        <v>-14</v>
      </c>
      <c r="I147" s="1">
        <v>-4</v>
      </c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</row>
    <row r="148" spans="1:23" x14ac:dyDescent="0.25">
      <c r="A148" s="1">
        <v>500</v>
      </c>
      <c r="B148" s="1">
        <v>446</v>
      </c>
      <c r="C148" s="1">
        <v>1292</v>
      </c>
      <c r="D148" s="1">
        <v>-211.3</v>
      </c>
      <c r="E148" s="1">
        <v>14.5</v>
      </c>
      <c r="F148" s="1">
        <v>4.2</v>
      </c>
      <c r="G148">
        <v>-199</v>
      </c>
      <c r="H148" s="1">
        <v>-15</v>
      </c>
      <c r="I148" s="1">
        <v>-4</v>
      </c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</row>
    <row r="149" spans="1:23" x14ac:dyDescent="0.25">
      <c r="Q149" s="1"/>
      <c r="R149" s="1"/>
      <c r="S149" s="1"/>
      <c r="T149" s="1"/>
      <c r="U149" s="1"/>
      <c r="V149" s="1"/>
      <c r="W149" s="1"/>
    </row>
    <row r="150" spans="1:23" x14ac:dyDescent="0.25">
      <c r="A150" t="s">
        <v>81</v>
      </c>
      <c r="Q150" s="1"/>
      <c r="R150" s="1"/>
      <c r="S150" s="1"/>
      <c r="T150" s="1"/>
      <c r="U150" s="1"/>
      <c r="V150" s="1"/>
      <c r="W150" s="1"/>
    </row>
    <row r="151" spans="1:23" x14ac:dyDescent="0.25">
      <c r="A151" t="s">
        <v>12</v>
      </c>
      <c r="B151" t="s">
        <v>13</v>
      </c>
      <c r="C151" t="s">
        <v>14</v>
      </c>
      <c r="D151" t="s">
        <v>15</v>
      </c>
      <c r="E151" t="s">
        <v>16</v>
      </c>
      <c r="F151" t="s">
        <v>17</v>
      </c>
      <c r="G151" t="s">
        <v>37</v>
      </c>
      <c r="H151" t="s">
        <v>38</v>
      </c>
      <c r="I151" t="s">
        <v>39</v>
      </c>
      <c r="Q151" s="1"/>
      <c r="R151" s="1"/>
      <c r="S151" s="1"/>
      <c r="T151" s="1"/>
      <c r="U151" s="1"/>
      <c r="V151" s="1"/>
      <c r="W151" s="1"/>
    </row>
    <row r="152" spans="1:23" x14ac:dyDescent="0.25">
      <c r="A152" s="1">
        <v>0</v>
      </c>
      <c r="B152" s="1">
        <v>856</v>
      </c>
      <c r="C152" s="1">
        <v>4754</v>
      </c>
      <c r="D152" s="1">
        <v>-3.8</v>
      </c>
      <c r="E152" s="1">
        <v>0</v>
      </c>
      <c r="F152" s="1">
        <v>0</v>
      </c>
      <c r="G152">
        <v>0</v>
      </c>
      <c r="H152" s="1">
        <v>0</v>
      </c>
      <c r="I152" s="1">
        <v>0</v>
      </c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</row>
    <row r="153" spans="1:23" x14ac:dyDescent="0.25">
      <c r="A153" s="1">
        <v>25</v>
      </c>
      <c r="B153" s="1">
        <v>832</v>
      </c>
      <c r="C153" s="1">
        <v>4485</v>
      </c>
      <c r="D153" s="1">
        <v>0.2</v>
      </c>
      <c r="E153" s="1">
        <v>-0.3</v>
      </c>
      <c r="F153" s="1">
        <v>-0.1</v>
      </c>
      <c r="G153">
        <v>0</v>
      </c>
      <c r="H153" s="1">
        <v>-1</v>
      </c>
      <c r="I153" s="1">
        <v>0</v>
      </c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</row>
    <row r="154" spans="1:23" x14ac:dyDescent="0.25">
      <c r="A154" s="1">
        <v>50</v>
      </c>
      <c r="B154" s="1">
        <v>808</v>
      </c>
      <c r="C154" s="1">
        <v>4230</v>
      </c>
      <c r="D154" s="1">
        <v>3.5</v>
      </c>
      <c r="E154" s="1">
        <v>-2.4</v>
      </c>
      <c r="F154" s="1">
        <v>-0.7</v>
      </c>
      <c r="G154">
        <v>-2</v>
      </c>
      <c r="H154" s="1">
        <v>-1</v>
      </c>
      <c r="I154" s="1">
        <v>0</v>
      </c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</row>
    <row r="155" spans="1:23" x14ac:dyDescent="0.25">
      <c r="A155" s="1">
        <v>75</v>
      </c>
      <c r="B155" s="1">
        <v>784</v>
      </c>
      <c r="C155" s="1">
        <v>3986</v>
      </c>
      <c r="D155" s="1">
        <v>5.6</v>
      </c>
      <c r="E155" s="1">
        <v>-2.6</v>
      </c>
      <c r="F155" s="1">
        <v>-0.8</v>
      </c>
      <c r="G155">
        <v>-4</v>
      </c>
      <c r="H155" s="1">
        <v>-2</v>
      </c>
      <c r="I155" s="1">
        <v>0</v>
      </c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</row>
    <row r="156" spans="1:23" x14ac:dyDescent="0.25">
      <c r="A156" s="1">
        <v>100</v>
      </c>
      <c r="B156" s="1">
        <v>761</v>
      </c>
      <c r="C156" s="1">
        <v>3754</v>
      </c>
      <c r="D156" s="1">
        <v>6.8</v>
      </c>
      <c r="E156" s="1">
        <v>-2.4</v>
      </c>
      <c r="F156" s="1">
        <v>-0.7</v>
      </c>
      <c r="G156">
        <v>-6</v>
      </c>
      <c r="H156" s="1">
        <v>-2</v>
      </c>
      <c r="I156" s="1">
        <v>-1</v>
      </c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</row>
    <row r="157" spans="1:23" x14ac:dyDescent="0.25">
      <c r="A157" s="1">
        <v>125</v>
      </c>
      <c r="B157" s="1">
        <v>738</v>
      </c>
      <c r="C157" s="1">
        <v>3533</v>
      </c>
      <c r="D157" s="1">
        <v>7</v>
      </c>
      <c r="E157" s="1">
        <v>-1.9</v>
      </c>
      <c r="F157" s="1">
        <v>-0.6</v>
      </c>
      <c r="G157">
        <v>-10</v>
      </c>
      <c r="H157" s="1">
        <v>-3</v>
      </c>
      <c r="I157" s="1">
        <v>-1</v>
      </c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</row>
    <row r="158" spans="1:23" x14ac:dyDescent="0.25">
      <c r="A158" s="1">
        <v>150</v>
      </c>
      <c r="B158" s="1">
        <v>716</v>
      </c>
      <c r="C158" s="1">
        <v>3321</v>
      </c>
      <c r="D158" s="1">
        <v>5.9</v>
      </c>
      <c r="E158" s="1">
        <v>-1.4</v>
      </c>
      <c r="F158" s="1">
        <v>-0.4</v>
      </c>
      <c r="G158">
        <v>-14</v>
      </c>
      <c r="H158" s="1">
        <v>-4</v>
      </c>
      <c r="I158" s="1">
        <v>-1</v>
      </c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</row>
    <row r="159" spans="1:23" x14ac:dyDescent="0.25">
      <c r="A159" s="1">
        <v>175</v>
      </c>
      <c r="B159" s="1">
        <v>694</v>
      </c>
      <c r="C159" s="1">
        <v>3120</v>
      </c>
      <c r="D159" s="1">
        <v>3.7</v>
      </c>
      <c r="E159" s="1">
        <v>-0.7</v>
      </c>
      <c r="F159" s="1">
        <v>-0.2</v>
      </c>
      <c r="G159">
        <v>-20</v>
      </c>
      <c r="H159" s="1">
        <v>-4</v>
      </c>
      <c r="I159" s="1">
        <v>-1</v>
      </c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</row>
    <row r="160" spans="1:23" x14ac:dyDescent="0.25">
      <c r="A160" s="10">
        <v>200</v>
      </c>
      <c r="B160" s="10">
        <v>672</v>
      </c>
      <c r="C160" s="10">
        <v>2928</v>
      </c>
      <c r="D160" s="10">
        <v>0</v>
      </c>
      <c r="E160" s="10">
        <v>0</v>
      </c>
      <c r="F160" s="10">
        <v>0</v>
      </c>
      <c r="G160">
        <v>-26</v>
      </c>
      <c r="H160" s="1">
        <v>-5</v>
      </c>
      <c r="I160" s="1">
        <v>-1</v>
      </c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</row>
    <row r="161" spans="1:23" x14ac:dyDescent="0.25">
      <c r="A161" s="1">
        <v>225</v>
      </c>
      <c r="B161" s="1">
        <v>651</v>
      </c>
      <c r="C161" s="1">
        <v>2746</v>
      </c>
      <c r="D161" s="1">
        <v>-5</v>
      </c>
      <c r="E161" s="1">
        <v>0.8</v>
      </c>
      <c r="F161" s="1">
        <v>0.2</v>
      </c>
      <c r="G161">
        <v>-34</v>
      </c>
      <c r="H161" s="1">
        <v>-6</v>
      </c>
      <c r="I161" s="1">
        <v>-2</v>
      </c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</row>
    <row r="162" spans="1:23" x14ac:dyDescent="0.25">
      <c r="A162" s="1">
        <v>250</v>
      </c>
      <c r="B162" s="1">
        <v>630</v>
      </c>
      <c r="C162" s="1">
        <v>2572</v>
      </c>
      <c r="D162" s="1">
        <v>-11.5</v>
      </c>
      <c r="E162" s="1">
        <v>1.6</v>
      </c>
      <c r="F162" s="1">
        <v>0.5</v>
      </c>
      <c r="G162">
        <v>-42</v>
      </c>
      <c r="H162" s="1">
        <v>-6</v>
      </c>
      <c r="I162" s="1">
        <v>-2</v>
      </c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</row>
    <row r="163" spans="1:23" x14ac:dyDescent="0.25">
      <c r="A163" s="1">
        <v>275</v>
      </c>
      <c r="B163" s="1">
        <v>610</v>
      </c>
      <c r="C163" s="1">
        <v>2408</v>
      </c>
      <c r="D163" s="1">
        <v>-19.899999999999999</v>
      </c>
      <c r="E163" s="1">
        <v>2.5</v>
      </c>
      <c r="F163" s="1">
        <v>0.7</v>
      </c>
      <c r="G163">
        <v>-52</v>
      </c>
      <c r="H163" s="1">
        <v>-7</v>
      </c>
      <c r="I163" s="1">
        <v>-2</v>
      </c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</row>
    <row r="164" spans="1:23" x14ac:dyDescent="0.25">
      <c r="A164" s="1">
        <v>300</v>
      </c>
      <c r="B164" s="1">
        <v>589</v>
      </c>
      <c r="C164" s="1">
        <v>2251</v>
      </c>
      <c r="D164" s="1">
        <v>-29.7</v>
      </c>
      <c r="E164" s="1">
        <v>3.4</v>
      </c>
      <c r="F164" s="1">
        <v>1</v>
      </c>
      <c r="G164">
        <v>-63</v>
      </c>
      <c r="H164" s="1">
        <v>-8</v>
      </c>
      <c r="I164" s="1">
        <v>-2</v>
      </c>
      <c r="J164" s="1"/>
      <c r="K164" s="1"/>
      <c r="L164" s="1"/>
      <c r="M164" s="1"/>
      <c r="N164" s="1"/>
      <c r="O164" s="1"/>
      <c r="P164" s="1"/>
    </row>
    <row r="165" spans="1:23" x14ac:dyDescent="0.25">
      <c r="A165" s="1">
        <v>325</v>
      </c>
      <c r="B165" s="1">
        <v>570</v>
      </c>
      <c r="C165" s="1">
        <v>2104</v>
      </c>
      <c r="D165" s="1">
        <v>-41.4</v>
      </c>
      <c r="E165" s="1">
        <v>4.4000000000000004</v>
      </c>
      <c r="F165" s="1">
        <v>1.3</v>
      </c>
      <c r="G165">
        <v>-75</v>
      </c>
      <c r="H165" s="1">
        <v>-9</v>
      </c>
      <c r="I165" s="1">
        <v>-2</v>
      </c>
      <c r="J165" s="1"/>
      <c r="K165" s="1"/>
      <c r="L165" s="1"/>
      <c r="M165" s="1"/>
      <c r="N165" s="1"/>
      <c r="O165" s="1"/>
      <c r="P165" s="1"/>
    </row>
    <row r="166" spans="1:23" x14ac:dyDescent="0.25">
      <c r="A166" s="1">
        <v>350</v>
      </c>
      <c r="B166" s="1">
        <v>551</v>
      </c>
      <c r="C166" s="1">
        <v>1964</v>
      </c>
      <c r="D166" s="1">
        <v>-55.7</v>
      </c>
      <c r="E166" s="1">
        <v>5.5</v>
      </c>
      <c r="F166" s="1">
        <v>1.6</v>
      </c>
      <c r="G166">
        <v>-89</v>
      </c>
      <c r="H166" s="1">
        <v>-10</v>
      </c>
      <c r="I166" s="1">
        <v>-3</v>
      </c>
      <c r="J166" s="1"/>
      <c r="K166" s="1"/>
      <c r="L166" s="1"/>
      <c r="M166" s="1"/>
      <c r="N166" s="1"/>
      <c r="O166" s="1"/>
      <c r="P166" s="1"/>
    </row>
    <row r="167" spans="1:23" x14ac:dyDescent="0.25">
      <c r="A167" s="1">
        <v>375</v>
      </c>
      <c r="B167" s="1">
        <v>532</v>
      </c>
      <c r="C167" s="1">
        <v>1833</v>
      </c>
      <c r="D167" s="1">
        <v>-71.7</v>
      </c>
      <c r="E167" s="1">
        <v>6.6</v>
      </c>
      <c r="F167" s="1">
        <v>1.9</v>
      </c>
      <c r="G167">
        <v>-103</v>
      </c>
      <c r="H167" s="1">
        <v>-10</v>
      </c>
      <c r="I167" s="1">
        <v>-3</v>
      </c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</row>
    <row r="168" spans="1:23" x14ac:dyDescent="0.25">
      <c r="A168" s="1">
        <v>400</v>
      </c>
      <c r="B168" s="1">
        <v>513</v>
      </c>
      <c r="C168" s="1">
        <v>1709</v>
      </c>
      <c r="D168" s="1">
        <v>-90</v>
      </c>
      <c r="E168" s="1">
        <v>7.7</v>
      </c>
      <c r="F168" s="1">
        <v>2.2999999999999998</v>
      </c>
      <c r="G168">
        <v>-120</v>
      </c>
      <c r="H168" s="1">
        <v>-11</v>
      </c>
      <c r="I168" s="1">
        <v>-3</v>
      </c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</row>
    <row r="169" spans="1:23" x14ac:dyDescent="0.25">
      <c r="A169" s="1">
        <v>425</v>
      </c>
      <c r="B169" s="1">
        <v>496</v>
      </c>
      <c r="C169" s="1">
        <v>1593</v>
      </c>
      <c r="D169" s="1">
        <v>-111.6</v>
      </c>
      <c r="E169" s="1">
        <v>9</v>
      </c>
      <c r="F169" s="1">
        <v>2.6</v>
      </c>
      <c r="G169">
        <v>-137</v>
      </c>
      <c r="H169" s="1">
        <v>-12</v>
      </c>
      <c r="I169" s="1">
        <v>-4</v>
      </c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</row>
    <row r="170" spans="1:23" x14ac:dyDescent="0.25">
      <c r="A170" s="1">
        <v>450</v>
      </c>
      <c r="B170" s="1">
        <v>479</v>
      </c>
      <c r="C170" s="1">
        <v>1484</v>
      </c>
      <c r="D170" s="1">
        <v>-135.19999999999999</v>
      </c>
      <c r="E170" s="1">
        <v>10.3</v>
      </c>
      <c r="F170" s="1">
        <v>3</v>
      </c>
      <c r="G170">
        <v>-156</v>
      </c>
      <c r="H170" s="1">
        <v>-13</v>
      </c>
      <c r="I170" s="1">
        <v>-4</v>
      </c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</row>
    <row r="171" spans="1:23" x14ac:dyDescent="0.25">
      <c r="A171" s="1">
        <v>475</v>
      </c>
      <c r="B171" s="1">
        <v>462</v>
      </c>
      <c r="C171" s="1">
        <v>1383</v>
      </c>
      <c r="D171" s="1">
        <v>-161.80000000000001</v>
      </c>
      <c r="E171" s="1">
        <v>11.7</v>
      </c>
      <c r="F171" s="1">
        <v>3.4</v>
      </c>
      <c r="G171">
        <v>-177</v>
      </c>
      <c r="H171" s="1">
        <v>-14</v>
      </c>
      <c r="I171" s="1">
        <v>-4</v>
      </c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</row>
    <row r="172" spans="1:23" x14ac:dyDescent="0.25">
      <c r="A172" s="1">
        <v>500</v>
      </c>
      <c r="B172" s="1">
        <v>446</v>
      </c>
      <c r="C172" s="1">
        <v>1292</v>
      </c>
      <c r="D172" s="1">
        <v>-191.6</v>
      </c>
      <c r="E172" s="1">
        <v>13.2</v>
      </c>
      <c r="F172" s="1">
        <v>3.8</v>
      </c>
      <c r="G172">
        <v>-199</v>
      </c>
      <c r="H172" s="1">
        <v>-15</v>
      </c>
      <c r="I172" s="1">
        <v>-4</v>
      </c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</row>
    <row r="173" spans="1:23" x14ac:dyDescent="0.25">
      <c r="Q173" s="1"/>
      <c r="R173" s="1"/>
      <c r="S173" s="1"/>
      <c r="T173" s="1"/>
      <c r="U173" s="1"/>
      <c r="V173" s="1"/>
      <c r="W173" s="1"/>
    </row>
    <row r="174" spans="1:23" x14ac:dyDescent="0.25">
      <c r="A174" t="s">
        <v>80</v>
      </c>
      <c r="Q174" s="1"/>
      <c r="R174" s="1"/>
      <c r="S174" s="1"/>
      <c r="T174" s="1"/>
      <c r="U174" s="1"/>
      <c r="V174" s="1"/>
      <c r="W174" s="1"/>
    </row>
    <row r="175" spans="1:23" x14ac:dyDescent="0.25">
      <c r="A175" t="s">
        <v>12</v>
      </c>
      <c r="B175" t="s">
        <v>13</v>
      </c>
      <c r="C175" t="s">
        <v>14</v>
      </c>
      <c r="D175" t="s">
        <v>15</v>
      </c>
      <c r="E175" t="s">
        <v>16</v>
      </c>
      <c r="F175" t="s">
        <v>17</v>
      </c>
      <c r="G175" t="s">
        <v>37</v>
      </c>
      <c r="H175" t="s">
        <v>38</v>
      </c>
      <c r="I175" t="s">
        <v>39</v>
      </c>
      <c r="Q175" s="1"/>
      <c r="R175" s="1"/>
      <c r="S175" s="1"/>
      <c r="T175" s="1"/>
      <c r="U175" s="1"/>
      <c r="V175" s="1"/>
      <c r="W175" s="1"/>
    </row>
    <row r="176" spans="1:23" x14ac:dyDescent="0.25">
      <c r="A176" s="1">
        <v>0</v>
      </c>
      <c r="B176" s="1">
        <v>856</v>
      </c>
      <c r="C176" s="1">
        <v>4754</v>
      </c>
      <c r="D176" s="1">
        <v>-3.8</v>
      </c>
      <c r="E176" s="1">
        <v>0</v>
      </c>
      <c r="F176" s="1">
        <v>0</v>
      </c>
      <c r="G176">
        <v>0</v>
      </c>
      <c r="H176" s="1">
        <v>0</v>
      </c>
      <c r="I176" s="1">
        <v>0</v>
      </c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</row>
    <row r="177" spans="1:23" x14ac:dyDescent="0.25">
      <c r="A177" s="1">
        <v>25</v>
      </c>
      <c r="B177" s="1">
        <v>832</v>
      </c>
      <c r="C177" s="1">
        <v>4485</v>
      </c>
      <c r="D177" s="1">
        <v>2.7</v>
      </c>
      <c r="E177" s="1">
        <v>-3.7</v>
      </c>
      <c r="F177" s="1">
        <v>-1.1000000000000001</v>
      </c>
      <c r="G177">
        <v>0</v>
      </c>
      <c r="H177" s="1">
        <v>-1</v>
      </c>
      <c r="I177" s="1">
        <v>0</v>
      </c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</row>
    <row r="178" spans="1:23" x14ac:dyDescent="0.25">
      <c r="A178" s="1">
        <v>50</v>
      </c>
      <c r="B178" s="1">
        <v>808</v>
      </c>
      <c r="C178" s="1">
        <v>4230</v>
      </c>
      <c r="D178" s="1">
        <v>8.5</v>
      </c>
      <c r="E178" s="1">
        <v>-5.8</v>
      </c>
      <c r="F178" s="1">
        <v>-1.7</v>
      </c>
      <c r="G178">
        <v>-2</v>
      </c>
      <c r="H178" s="1">
        <v>-1</v>
      </c>
      <c r="I178" s="1">
        <v>0</v>
      </c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</row>
    <row r="179" spans="1:23" x14ac:dyDescent="0.25">
      <c r="A179" s="1">
        <v>75</v>
      </c>
      <c r="B179" s="1">
        <v>784</v>
      </c>
      <c r="C179" s="1">
        <v>3986</v>
      </c>
      <c r="D179" s="1">
        <v>13.1</v>
      </c>
      <c r="E179" s="1">
        <v>-6</v>
      </c>
      <c r="F179" s="1">
        <v>-1.7</v>
      </c>
      <c r="G179">
        <v>-4</v>
      </c>
      <c r="H179" s="1">
        <v>-2</v>
      </c>
      <c r="I179" s="1">
        <v>0</v>
      </c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</row>
    <row r="180" spans="1:23" x14ac:dyDescent="0.25">
      <c r="A180" s="1">
        <v>100</v>
      </c>
      <c r="B180" s="1">
        <v>761</v>
      </c>
      <c r="C180" s="1">
        <v>3754</v>
      </c>
      <c r="D180" s="1">
        <v>16.7</v>
      </c>
      <c r="E180" s="1">
        <v>-5.8</v>
      </c>
      <c r="F180" s="1">
        <v>-1.7</v>
      </c>
      <c r="G180">
        <v>-6</v>
      </c>
      <c r="H180" s="1">
        <v>-2</v>
      </c>
      <c r="I180" s="1">
        <v>-1</v>
      </c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</row>
    <row r="181" spans="1:23" x14ac:dyDescent="0.25">
      <c r="A181" s="1">
        <v>125</v>
      </c>
      <c r="B181" s="1">
        <v>738</v>
      </c>
      <c r="C181" s="1">
        <v>3533</v>
      </c>
      <c r="D181" s="1">
        <v>19.399999999999999</v>
      </c>
      <c r="E181" s="1">
        <v>-5.3</v>
      </c>
      <c r="F181" s="1">
        <v>-1.5</v>
      </c>
      <c r="G181">
        <v>-10</v>
      </c>
      <c r="H181" s="1">
        <v>-3</v>
      </c>
      <c r="I181" s="1">
        <v>-1</v>
      </c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</row>
    <row r="182" spans="1:23" x14ac:dyDescent="0.25">
      <c r="A182" s="1">
        <v>150</v>
      </c>
      <c r="B182" s="1">
        <v>716</v>
      </c>
      <c r="C182" s="1">
        <v>3321</v>
      </c>
      <c r="D182" s="1">
        <v>20.8</v>
      </c>
      <c r="E182" s="1">
        <v>-4.8</v>
      </c>
      <c r="F182" s="1">
        <v>-1.4</v>
      </c>
      <c r="G182">
        <v>-14</v>
      </c>
      <c r="H182" s="1">
        <v>-4</v>
      </c>
      <c r="I182" s="1">
        <v>-1</v>
      </c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</row>
    <row r="183" spans="1:23" x14ac:dyDescent="0.25">
      <c r="A183" s="1">
        <v>175</v>
      </c>
      <c r="B183" s="1">
        <v>694</v>
      </c>
      <c r="C183" s="1">
        <v>3120</v>
      </c>
      <c r="D183" s="1">
        <v>21</v>
      </c>
      <c r="E183" s="1">
        <v>-4.0999999999999996</v>
      </c>
      <c r="F183" s="1">
        <v>-1.2</v>
      </c>
      <c r="G183">
        <v>-20</v>
      </c>
      <c r="H183" s="1">
        <v>-4</v>
      </c>
      <c r="I183" s="1">
        <v>-1</v>
      </c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</row>
    <row r="184" spans="1:23" x14ac:dyDescent="0.25">
      <c r="A184" s="1">
        <v>200</v>
      </c>
      <c r="B184" s="1">
        <v>672</v>
      </c>
      <c r="C184" s="1">
        <v>2928</v>
      </c>
      <c r="D184" s="1">
        <v>19.899999999999999</v>
      </c>
      <c r="E184" s="1">
        <v>-3.4</v>
      </c>
      <c r="F184" s="1">
        <v>-1</v>
      </c>
      <c r="G184">
        <v>-26</v>
      </c>
      <c r="H184" s="1">
        <v>-5</v>
      </c>
      <c r="I184" s="1">
        <v>-1</v>
      </c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</row>
    <row r="185" spans="1:23" x14ac:dyDescent="0.25">
      <c r="A185" s="1">
        <v>225</v>
      </c>
      <c r="B185" s="1">
        <v>651</v>
      </c>
      <c r="C185" s="1">
        <v>2746</v>
      </c>
      <c r="D185" s="1">
        <v>17.3</v>
      </c>
      <c r="E185" s="1">
        <v>-2.6</v>
      </c>
      <c r="F185" s="1">
        <v>-0.8</v>
      </c>
      <c r="G185">
        <v>-34</v>
      </c>
      <c r="H185" s="1">
        <v>-6</v>
      </c>
      <c r="I185" s="1">
        <v>-2</v>
      </c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</row>
    <row r="186" spans="1:23" x14ac:dyDescent="0.25">
      <c r="A186" s="1">
        <v>250</v>
      </c>
      <c r="B186" s="1">
        <v>630</v>
      </c>
      <c r="C186" s="1">
        <v>2572</v>
      </c>
      <c r="D186" s="1">
        <v>13.3</v>
      </c>
      <c r="E186" s="1">
        <v>-1.8</v>
      </c>
      <c r="F186" s="1">
        <v>-0.5</v>
      </c>
      <c r="G186">
        <v>-42</v>
      </c>
      <c r="H186" s="1">
        <v>-6</v>
      </c>
      <c r="I186" s="1">
        <v>-2</v>
      </c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</row>
    <row r="187" spans="1:23" x14ac:dyDescent="0.25">
      <c r="A187" s="1">
        <v>275</v>
      </c>
      <c r="B187" s="1">
        <v>610</v>
      </c>
      <c r="C187" s="1">
        <v>2408</v>
      </c>
      <c r="D187" s="1">
        <v>7.4</v>
      </c>
      <c r="E187" s="1">
        <v>-0.9</v>
      </c>
      <c r="F187" s="1">
        <v>-0.3</v>
      </c>
      <c r="G187">
        <v>-52</v>
      </c>
      <c r="H187" s="1">
        <v>-7</v>
      </c>
      <c r="I187" s="1">
        <v>-2</v>
      </c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</row>
    <row r="188" spans="1:23" x14ac:dyDescent="0.25">
      <c r="A188" s="10">
        <v>300</v>
      </c>
      <c r="B188" s="10">
        <v>589</v>
      </c>
      <c r="C188" s="10">
        <v>2251</v>
      </c>
      <c r="D188" s="10">
        <v>0</v>
      </c>
      <c r="E188" s="10">
        <v>0</v>
      </c>
      <c r="F188" s="10">
        <v>0</v>
      </c>
      <c r="G188">
        <v>-63</v>
      </c>
      <c r="H188" s="1">
        <v>-8</v>
      </c>
      <c r="I188" s="1">
        <v>-2</v>
      </c>
      <c r="J188" s="1"/>
      <c r="K188" s="1"/>
      <c r="L188" s="1"/>
      <c r="M188" s="1"/>
      <c r="N188" s="1"/>
      <c r="O188" s="1"/>
      <c r="P188" s="1"/>
    </row>
    <row r="189" spans="1:23" x14ac:dyDescent="0.25">
      <c r="A189" s="1">
        <v>325</v>
      </c>
      <c r="B189" s="1">
        <v>570</v>
      </c>
      <c r="C189" s="1">
        <v>2104</v>
      </c>
      <c r="D189" s="1">
        <v>-9.1999999999999993</v>
      </c>
      <c r="E189" s="1">
        <v>1</v>
      </c>
      <c r="F189" s="1">
        <v>0.3</v>
      </c>
      <c r="G189">
        <v>-75</v>
      </c>
      <c r="H189" s="1">
        <v>-9</v>
      </c>
      <c r="I189" s="1">
        <v>-2</v>
      </c>
      <c r="J189" s="1"/>
      <c r="K189" s="1"/>
      <c r="L189" s="1"/>
      <c r="M189" s="1"/>
      <c r="N189" s="1"/>
      <c r="O189" s="1"/>
      <c r="P189" s="1"/>
    </row>
    <row r="190" spans="1:23" x14ac:dyDescent="0.25">
      <c r="A190" s="1">
        <v>350</v>
      </c>
      <c r="B190" s="1">
        <v>551</v>
      </c>
      <c r="C190" s="1">
        <v>1964</v>
      </c>
      <c r="D190" s="1">
        <v>-21</v>
      </c>
      <c r="E190" s="1">
        <v>2.1</v>
      </c>
      <c r="F190" s="1">
        <v>0.6</v>
      </c>
      <c r="G190">
        <v>-89</v>
      </c>
      <c r="H190" s="1">
        <v>-10</v>
      </c>
      <c r="I190" s="1">
        <v>-3</v>
      </c>
      <c r="J190" s="1"/>
      <c r="K190" s="1"/>
      <c r="L190" s="1"/>
      <c r="M190" s="1"/>
      <c r="N190" s="1"/>
      <c r="O190" s="1"/>
      <c r="P190" s="1"/>
    </row>
    <row r="191" spans="1:23" x14ac:dyDescent="0.25">
      <c r="A191" s="1">
        <v>375</v>
      </c>
      <c r="B191" s="1">
        <v>532</v>
      </c>
      <c r="C191" s="1">
        <v>1832</v>
      </c>
      <c r="D191" s="1">
        <v>-34.5</v>
      </c>
      <c r="E191" s="1">
        <v>3.2</v>
      </c>
      <c r="F191" s="1">
        <v>0.9</v>
      </c>
      <c r="G191">
        <v>-103</v>
      </c>
      <c r="H191" s="1">
        <v>-10</v>
      </c>
      <c r="I191" s="1">
        <v>-3</v>
      </c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</row>
    <row r="192" spans="1:23" x14ac:dyDescent="0.25">
      <c r="A192" s="1">
        <v>400</v>
      </c>
      <c r="B192" s="1">
        <v>513</v>
      </c>
      <c r="C192" s="1">
        <v>1709</v>
      </c>
      <c r="D192" s="1">
        <v>-50.3</v>
      </c>
      <c r="E192" s="1">
        <v>4.3</v>
      </c>
      <c r="F192" s="1">
        <v>1.3</v>
      </c>
      <c r="G192">
        <v>-120</v>
      </c>
      <c r="H192" s="1">
        <v>-11</v>
      </c>
      <c r="I192" s="1">
        <v>-3</v>
      </c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</row>
    <row r="193" spans="1:23" x14ac:dyDescent="0.25">
      <c r="A193" s="1">
        <v>425</v>
      </c>
      <c r="B193" s="1">
        <v>496</v>
      </c>
      <c r="C193" s="1">
        <v>1593</v>
      </c>
      <c r="D193" s="1">
        <v>-69.400000000000006</v>
      </c>
      <c r="E193" s="1">
        <v>5.6</v>
      </c>
      <c r="F193" s="1">
        <v>1.6</v>
      </c>
      <c r="G193">
        <v>-137</v>
      </c>
      <c r="H193" s="1">
        <v>-12</v>
      </c>
      <c r="I193" s="1">
        <v>-4</v>
      </c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</row>
    <row r="194" spans="1:23" x14ac:dyDescent="0.25">
      <c r="A194" s="1">
        <v>450</v>
      </c>
      <c r="B194" s="1">
        <v>479</v>
      </c>
      <c r="C194" s="1">
        <v>1484</v>
      </c>
      <c r="D194" s="1">
        <v>-90.6</v>
      </c>
      <c r="E194" s="1">
        <v>6.9</v>
      </c>
      <c r="F194" s="1">
        <v>2</v>
      </c>
      <c r="G194">
        <v>-156</v>
      </c>
      <c r="H194" s="1">
        <v>-13</v>
      </c>
      <c r="I194" s="1">
        <v>-4</v>
      </c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</row>
    <row r="195" spans="1:23" x14ac:dyDescent="0.25">
      <c r="A195" s="1">
        <v>475</v>
      </c>
      <c r="B195" s="1">
        <v>462</v>
      </c>
      <c r="C195" s="1">
        <v>1383</v>
      </c>
      <c r="D195" s="1">
        <v>-114.7</v>
      </c>
      <c r="E195" s="1">
        <v>8.3000000000000007</v>
      </c>
      <c r="F195" s="1">
        <v>2.4</v>
      </c>
      <c r="G195">
        <v>-177</v>
      </c>
      <c r="H195" s="1">
        <v>-14</v>
      </c>
      <c r="I195" s="1">
        <v>-4</v>
      </c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</row>
    <row r="196" spans="1:23" x14ac:dyDescent="0.25">
      <c r="A196" s="1">
        <v>500</v>
      </c>
      <c r="B196" s="1">
        <v>446</v>
      </c>
      <c r="C196" s="1">
        <v>1292</v>
      </c>
      <c r="D196" s="1">
        <v>-142.1</v>
      </c>
      <c r="E196" s="1">
        <v>9.8000000000000007</v>
      </c>
      <c r="F196" s="1">
        <v>2.8</v>
      </c>
      <c r="G196">
        <v>-199</v>
      </c>
      <c r="H196" s="1">
        <v>-15</v>
      </c>
      <c r="I196" s="1">
        <v>-4</v>
      </c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</row>
    <row r="197" spans="1:23" x14ac:dyDescent="0.25">
      <c r="Q197" s="1"/>
      <c r="R197" s="1"/>
      <c r="S197" s="1"/>
      <c r="T197" s="1"/>
      <c r="U197" s="1"/>
      <c r="V197" s="1"/>
      <c r="W197" s="1"/>
    </row>
    <row r="198" spans="1:23" x14ac:dyDescent="0.25">
      <c r="A198" t="s">
        <v>79</v>
      </c>
      <c r="Q198" s="1"/>
      <c r="R198" s="1"/>
      <c r="S198" s="1"/>
      <c r="T198" s="1"/>
      <c r="U198" s="1"/>
      <c r="V198" s="1"/>
      <c r="W198" s="1"/>
    </row>
    <row r="199" spans="1:23" x14ac:dyDescent="0.25">
      <c r="A199" t="s">
        <v>12</v>
      </c>
      <c r="B199" t="s">
        <v>13</v>
      </c>
      <c r="C199" t="s">
        <v>14</v>
      </c>
      <c r="D199" t="s">
        <v>15</v>
      </c>
      <c r="E199" t="s">
        <v>16</v>
      </c>
      <c r="F199" t="s">
        <v>17</v>
      </c>
      <c r="G199" t="s">
        <v>37</v>
      </c>
      <c r="H199" t="s">
        <v>38</v>
      </c>
      <c r="I199" t="s">
        <v>39</v>
      </c>
      <c r="Q199" s="1"/>
      <c r="R199" s="1"/>
      <c r="S199" s="1"/>
      <c r="T199" s="1"/>
      <c r="U199" s="1"/>
      <c r="V199" s="1"/>
      <c r="W199" s="1"/>
    </row>
    <row r="200" spans="1:23" x14ac:dyDescent="0.25">
      <c r="A200" s="1">
        <v>0</v>
      </c>
      <c r="B200" s="1">
        <v>856</v>
      </c>
      <c r="C200" s="1">
        <v>4754</v>
      </c>
      <c r="D200" s="1">
        <v>-3.8</v>
      </c>
      <c r="E200" s="1">
        <v>0</v>
      </c>
      <c r="F200" s="1">
        <v>0</v>
      </c>
      <c r="G200">
        <v>0</v>
      </c>
      <c r="H200" s="1">
        <v>0</v>
      </c>
      <c r="I200" s="1">
        <v>0</v>
      </c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</row>
    <row r="201" spans="1:23" x14ac:dyDescent="0.25">
      <c r="A201" s="1">
        <v>25</v>
      </c>
      <c r="B201" s="1">
        <v>832</v>
      </c>
      <c r="C201" s="1">
        <v>4485</v>
      </c>
      <c r="D201" s="1">
        <v>5.8</v>
      </c>
      <c r="E201" s="1">
        <v>-8.1</v>
      </c>
      <c r="F201" s="1">
        <v>-2.4</v>
      </c>
      <c r="G201">
        <v>0</v>
      </c>
      <c r="H201" s="1">
        <v>-1</v>
      </c>
      <c r="I201" s="1">
        <v>0</v>
      </c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</row>
    <row r="202" spans="1:23" x14ac:dyDescent="0.25">
      <c r="A202" s="1">
        <v>50</v>
      </c>
      <c r="B202" s="1">
        <v>808</v>
      </c>
      <c r="C202" s="1">
        <v>4230</v>
      </c>
      <c r="D202" s="1">
        <v>14.9</v>
      </c>
      <c r="E202" s="1">
        <v>-10.1</v>
      </c>
      <c r="F202" s="1">
        <v>-2.9</v>
      </c>
      <c r="G202">
        <v>-2</v>
      </c>
      <c r="H202" s="1">
        <v>-1</v>
      </c>
      <c r="I202" s="1">
        <v>0</v>
      </c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</row>
    <row r="203" spans="1:23" x14ac:dyDescent="0.25">
      <c r="A203" s="1">
        <v>75</v>
      </c>
      <c r="B203" s="1">
        <v>784</v>
      </c>
      <c r="C203" s="1">
        <v>3986</v>
      </c>
      <c r="D203" s="1">
        <v>22.6</v>
      </c>
      <c r="E203" s="1">
        <v>-10.4</v>
      </c>
      <c r="F203" s="1">
        <v>-3</v>
      </c>
      <c r="G203">
        <v>-4</v>
      </c>
      <c r="H203" s="1">
        <v>-2</v>
      </c>
      <c r="I203" s="1">
        <v>0</v>
      </c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</row>
    <row r="204" spans="1:23" x14ac:dyDescent="0.25">
      <c r="A204" s="1">
        <v>100</v>
      </c>
      <c r="B204" s="1">
        <v>761</v>
      </c>
      <c r="C204" s="1">
        <v>3754</v>
      </c>
      <c r="D204" s="1">
        <v>29.4</v>
      </c>
      <c r="E204" s="1">
        <v>-10.1</v>
      </c>
      <c r="F204" s="1">
        <v>-2.9</v>
      </c>
      <c r="G204">
        <v>-6</v>
      </c>
      <c r="H204" s="1">
        <v>-2</v>
      </c>
      <c r="I204" s="1">
        <v>-1</v>
      </c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</row>
    <row r="205" spans="1:23" x14ac:dyDescent="0.25">
      <c r="A205" s="1">
        <v>125</v>
      </c>
      <c r="B205" s="1">
        <v>738</v>
      </c>
      <c r="C205" s="1">
        <v>3533</v>
      </c>
      <c r="D205" s="1">
        <v>35.299999999999997</v>
      </c>
      <c r="E205" s="1">
        <v>-9.6999999999999993</v>
      </c>
      <c r="F205" s="1">
        <v>-2.8</v>
      </c>
      <c r="G205">
        <v>-10</v>
      </c>
      <c r="H205" s="1">
        <v>-3</v>
      </c>
      <c r="I205" s="1">
        <v>-1</v>
      </c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</row>
    <row r="206" spans="1:23" x14ac:dyDescent="0.25">
      <c r="A206" s="1">
        <v>150</v>
      </c>
      <c r="B206" s="1">
        <v>716</v>
      </c>
      <c r="C206" s="1">
        <v>3321</v>
      </c>
      <c r="D206" s="1">
        <v>39.799999999999997</v>
      </c>
      <c r="E206" s="1">
        <v>-9.1</v>
      </c>
      <c r="F206" s="1">
        <v>-2.7</v>
      </c>
      <c r="G206">
        <v>-14</v>
      </c>
      <c r="H206" s="1">
        <v>-4</v>
      </c>
      <c r="I206" s="1">
        <v>-1</v>
      </c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</row>
    <row r="207" spans="1:23" x14ac:dyDescent="0.25">
      <c r="A207" s="1">
        <v>175</v>
      </c>
      <c r="B207" s="1">
        <v>694</v>
      </c>
      <c r="C207" s="1">
        <v>3120</v>
      </c>
      <c r="D207" s="1">
        <v>43.2</v>
      </c>
      <c r="E207" s="1">
        <v>-8.5</v>
      </c>
      <c r="F207" s="1">
        <v>-2.5</v>
      </c>
      <c r="G207">
        <v>-20</v>
      </c>
      <c r="H207" s="1">
        <v>-4</v>
      </c>
      <c r="I207" s="1">
        <v>-1</v>
      </c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</row>
    <row r="208" spans="1:23" x14ac:dyDescent="0.25">
      <c r="A208" s="1">
        <v>200</v>
      </c>
      <c r="B208" s="1">
        <v>672</v>
      </c>
      <c r="C208" s="1">
        <v>2928</v>
      </c>
      <c r="D208" s="1">
        <v>45.3</v>
      </c>
      <c r="E208" s="1">
        <v>-7.8</v>
      </c>
      <c r="F208" s="1">
        <v>-2.2999999999999998</v>
      </c>
      <c r="G208">
        <v>-26</v>
      </c>
      <c r="H208" s="1">
        <v>-5</v>
      </c>
      <c r="I208" s="1">
        <v>-1</v>
      </c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</row>
    <row r="209" spans="1:23" x14ac:dyDescent="0.25">
      <c r="A209" s="1">
        <v>225</v>
      </c>
      <c r="B209" s="1">
        <v>651</v>
      </c>
      <c r="C209" s="1">
        <v>2746</v>
      </c>
      <c r="D209" s="1">
        <v>45.9</v>
      </c>
      <c r="E209" s="1">
        <v>-7</v>
      </c>
      <c r="F209" s="1">
        <v>-2</v>
      </c>
      <c r="G209">
        <v>-34</v>
      </c>
      <c r="H209" s="1">
        <v>-6</v>
      </c>
      <c r="I209" s="1">
        <v>-2</v>
      </c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</row>
    <row r="210" spans="1:23" x14ac:dyDescent="0.25">
      <c r="A210" s="1">
        <v>250</v>
      </c>
      <c r="B210" s="1">
        <v>630</v>
      </c>
      <c r="C210" s="1">
        <v>2572</v>
      </c>
      <c r="D210" s="1">
        <v>45</v>
      </c>
      <c r="E210" s="1">
        <v>-6.2</v>
      </c>
      <c r="F210" s="1">
        <v>-1.8</v>
      </c>
      <c r="G210">
        <v>-42</v>
      </c>
      <c r="H210" s="1">
        <v>-6</v>
      </c>
      <c r="I210" s="1">
        <v>-2</v>
      </c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</row>
    <row r="211" spans="1:23" x14ac:dyDescent="0.25">
      <c r="A211" s="1">
        <v>275</v>
      </c>
      <c r="B211" s="1">
        <v>609</v>
      </c>
      <c r="C211" s="1">
        <v>2407</v>
      </c>
      <c r="D211" s="1">
        <v>42.4</v>
      </c>
      <c r="E211" s="1">
        <v>-5.3</v>
      </c>
      <c r="F211" s="1">
        <v>-1.5</v>
      </c>
      <c r="G211">
        <v>-52</v>
      </c>
      <c r="H211" s="1">
        <v>-7</v>
      </c>
      <c r="I211" s="1">
        <v>-2</v>
      </c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</row>
    <row r="212" spans="1:23" x14ac:dyDescent="0.25">
      <c r="A212" s="1">
        <v>300</v>
      </c>
      <c r="B212" s="1">
        <v>589</v>
      </c>
      <c r="C212" s="1">
        <v>2251</v>
      </c>
      <c r="D212" s="1">
        <v>38.1</v>
      </c>
      <c r="E212" s="1">
        <v>-4.4000000000000004</v>
      </c>
      <c r="F212" s="1">
        <v>-1.3</v>
      </c>
      <c r="G212">
        <v>-63</v>
      </c>
      <c r="H212" s="1">
        <v>-8</v>
      </c>
      <c r="I212" s="1">
        <v>-2</v>
      </c>
      <c r="J212" s="1"/>
      <c r="K212" s="1"/>
      <c r="L212" s="1"/>
      <c r="M212" s="1"/>
      <c r="N212" s="1"/>
      <c r="O212" s="1"/>
      <c r="P212" s="1"/>
    </row>
    <row r="213" spans="1:23" x14ac:dyDescent="0.25">
      <c r="A213" s="1">
        <v>325</v>
      </c>
      <c r="B213" s="1">
        <v>570</v>
      </c>
      <c r="C213" s="1">
        <v>2104</v>
      </c>
      <c r="D213" s="1">
        <v>31.9</v>
      </c>
      <c r="E213" s="1">
        <v>-3.4</v>
      </c>
      <c r="F213" s="1">
        <v>-1</v>
      </c>
      <c r="G213">
        <v>-75</v>
      </c>
      <c r="H213" s="1">
        <v>-9</v>
      </c>
      <c r="I213" s="1">
        <v>-2</v>
      </c>
      <c r="J213" s="1"/>
      <c r="K213" s="1"/>
      <c r="L213" s="1"/>
      <c r="M213" s="1"/>
      <c r="N213" s="1"/>
      <c r="O213" s="1"/>
      <c r="P213" s="1"/>
    </row>
    <row r="214" spans="1:23" x14ac:dyDescent="0.25">
      <c r="A214" s="1">
        <v>350</v>
      </c>
      <c r="B214" s="1">
        <v>550</v>
      </c>
      <c r="C214" s="1">
        <v>1964</v>
      </c>
      <c r="D214" s="1">
        <v>23.4</v>
      </c>
      <c r="E214" s="1">
        <v>-2.2999999999999998</v>
      </c>
      <c r="F214" s="1">
        <v>-0.7</v>
      </c>
      <c r="G214">
        <v>-89</v>
      </c>
      <c r="H214" s="1">
        <v>-10</v>
      </c>
      <c r="I214" s="1">
        <v>-3</v>
      </c>
      <c r="J214" s="1"/>
      <c r="K214" s="1"/>
      <c r="L214" s="1"/>
      <c r="M214" s="1"/>
      <c r="N214" s="1"/>
      <c r="O214" s="1"/>
      <c r="P214" s="1"/>
    </row>
    <row r="215" spans="1:23" x14ac:dyDescent="0.25">
      <c r="A215" s="1">
        <v>375</v>
      </c>
      <c r="B215" s="1">
        <v>532</v>
      </c>
      <c r="C215" s="1">
        <v>1832</v>
      </c>
      <c r="D215" s="1">
        <v>13.1</v>
      </c>
      <c r="E215" s="1">
        <v>-1.2</v>
      </c>
      <c r="F215" s="1">
        <v>-0.3</v>
      </c>
      <c r="G215">
        <v>-103</v>
      </c>
      <c r="H215" s="1">
        <v>-10</v>
      </c>
      <c r="I215" s="1">
        <v>-3</v>
      </c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</row>
    <row r="216" spans="1:23" x14ac:dyDescent="0.25">
      <c r="A216" s="10">
        <v>400</v>
      </c>
      <c r="B216" s="10">
        <v>513</v>
      </c>
      <c r="C216" s="10">
        <v>1709</v>
      </c>
      <c r="D216" s="10">
        <v>0.3</v>
      </c>
      <c r="E216" s="10">
        <v>0</v>
      </c>
      <c r="F216" s="10">
        <v>0</v>
      </c>
      <c r="G216">
        <v>-120</v>
      </c>
      <c r="H216" s="1">
        <v>-11</v>
      </c>
      <c r="I216" s="1">
        <v>-3</v>
      </c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</row>
    <row r="217" spans="1:23" x14ac:dyDescent="0.25">
      <c r="A217" s="1">
        <v>425</v>
      </c>
      <c r="B217" s="1">
        <v>496</v>
      </c>
      <c r="C217" s="1">
        <v>1593</v>
      </c>
      <c r="D217" s="1">
        <v>-15.5</v>
      </c>
      <c r="E217" s="1">
        <v>1.3</v>
      </c>
      <c r="F217" s="1">
        <v>0.4</v>
      </c>
      <c r="G217">
        <v>-137</v>
      </c>
      <c r="H217" s="1">
        <v>-12</v>
      </c>
      <c r="I217" s="1">
        <v>-4</v>
      </c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</row>
    <row r="218" spans="1:23" x14ac:dyDescent="0.25">
      <c r="A218" s="1">
        <v>450</v>
      </c>
      <c r="B218" s="1">
        <v>479</v>
      </c>
      <c r="C218" s="1">
        <v>1484</v>
      </c>
      <c r="D218" s="1">
        <v>-33.6</v>
      </c>
      <c r="E218" s="1">
        <v>2.6</v>
      </c>
      <c r="F218" s="1">
        <v>0.7</v>
      </c>
      <c r="G218">
        <v>-156</v>
      </c>
      <c r="H218" s="1">
        <v>-13</v>
      </c>
      <c r="I218" s="1">
        <v>-4</v>
      </c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</row>
    <row r="219" spans="1:23" x14ac:dyDescent="0.25">
      <c r="A219" s="1">
        <v>475</v>
      </c>
      <c r="B219" s="1">
        <v>462</v>
      </c>
      <c r="C219" s="1">
        <v>1383</v>
      </c>
      <c r="D219" s="1">
        <v>-54.6</v>
      </c>
      <c r="E219" s="1">
        <v>4</v>
      </c>
      <c r="F219" s="1">
        <v>1.1000000000000001</v>
      </c>
      <c r="G219">
        <v>-177</v>
      </c>
      <c r="H219" s="1">
        <v>-14</v>
      </c>
      <c r="I219" s="1">
        <v>-4</v>
      </c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</row>
    <row r="220" spans="1:23" x14ac:dyDescent="0.25">
      <c r="A220" s="1">
        <v>500</v>
      </c>
      <c r="B220" s="1">
        <v>446</v>
      </c>
      <c r="C220" s="1">
        <v>1292</v>
      </c>
      <c r="D220" s="1">
        <v>-78.8</v>
      </c>
      <c r="E220" s="1">
        <v>5.4</v>
      </c>
      <c r="F220" s="1">
        <v>1.6</v>
      </c>
      <c r="G220">
        <v>-199</v>
      </c>
      <c r="H220" s="1">
        <v>-15</v>
      </c>
      <c r="I220" s="1">
        <v>-4</v>
      </c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</row>
    <row r="221" spans="1:23" x14ac:dyDescent="0.25">
      <c r="Q221" s="1"/>
      <c r="R221" s="1"/>
      <c r="S221" s="1"/>
      <c r="T221" s="1"/>
      <c r="U221" s="1"/>
      <c r="V221" s="1"/>
      <c r="W221" s="1"/>
    </row>
    <row r="222" spans="1:23" x14ac:dyDescent="0.25">
      <c r="A222" t="s">
        <v>78</v>
      </c>
      <c r="Q222" s="1"/>
      <c r="R222" s="1"/>
      <c r="S222" s="1"/>
      <c r="T222" s="1"/>
      <c r="U222" s="1"/>
      <c r="V222" s="1"/>
      <c r="W222" s="1"/>
    </row>
    <row r="223" spans="1:23" x14ac:dyDescent="0.25">
      <c r="A223" t="s">
        <v>12</v>
      </c>
      <c r="B223" t="s">
        <v>13</v>
      </c>
      <c r="C223" t="s">
        <v>14</v>
      </c>
      <c r="D223" t="s">
        <v>15</v>
      </c>
      <c r="E223" t="s">
        <v>16</v>
      </c>
      <c r="F223" t="s">
        <v>17</v>
      </c>
      <c r="G223" t="s">
        <v>37</v>
      </c>
      <c r="H223" t="s">
        <v>38</v>
      </c>
      <c r="I223" t="s">
        <v>39</v>
      </c>
      <c r="Q223" s="1"/>
      <c r="R223" s="1"/>
      <c r="S223" s="1"/>
      <c r="T223" s="1"/>
      <c r="U223" s="1"/>
      <c r="V223" s="1"/>
      <c r="W223" s="1"/>
    </row>
    <row r="224" spans="1:23" x14ac:dyDescent="0.25">
      <c r="A224" s="1">
        <v>0</v>
      </c>
      <c r="B224" s="1">
        <v>856</v>
      </c>
      <c r="C224" s="1">
        <v>4754</v>
      </c>
      <c r="D224" s="1">
        <v>-3.8</v>
      </c>
      <c r="E224" s="1">
        <v>0</v>
      </c>
      <c r="F224" s="1">
        <v>0</v>
      </c>
      <c r="G224">
        <v>0</v>
      </c>
      <c r="H224" s="1">
        <v>0</v>
      </c>
      <c r="I224" s="1">
        <v>0</v>
      </c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</row>
    <row r="225" spans="1:23" x14ac:dyDescent="0.25">
      <c r="A225" s="1">
        <v>25</v>
      </c>
      <c r="B225" s="1">
        <v>832</v>
      </c>
      <c r="C225" s="1">
        <v>4485</v>
      </c>
      <c r="D225" s="1">
        <v>9.8000000000000007</v>
      </c>
      <c r="E225" s="1">
        <v>-13.6</v>
      </c>
      <c r="F225" s="1">
        <v>-3.9</v>
      </c>
      <c r="G225">
        <v>0</v>
      </c>
      <c r="H225" s="1">
        <v>-1</v>
      </c>
      <c r="I225" s="1">
        <v>0</v>
      </c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</row>
    <row r="226" spans="1:23" x14ac:dyDescent="0.25">
      <c r="A226" s="1">
        <v>50</v>
      </c>
      <c r="B226" s="1">
        <v>808</v>
      </c>
      <c r="C226" s="1">
        <v>4230</v>
      </c>
      <c r="D226" s="1">
        <v>22.9</v>
      </c>
      <c r="E226" s="1">
        <v>-15.6</v>
      </c>
      <c r="F226" s="1">
        <v>-4.5</v>
      </c>
      <c r="G226">
        <v>-2</v>
      </c>
      <c r="H226" s="1">
        <v>-1</v>
      </c>
      <c r="I226" s="1">
        <v>0</v>
      </c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</row>
    <row r="227" spans="1:23" x14ac:dyDescent="0.25">
      <c r="A227" s="1">
        <v>75</v>
      </c>
      <c r="B227" s="1">
        <v>784</v>
      </c>
      <c r="C227" s="1">
        <v>3986</v>
      </c>
      <c r="D227" s="1">
        <v>34.6</v>
      </c>
      <c r="E227" s="1">
        <v>-15.8</v>
      </c>
      <c r="F227" s="1">
        <v>-4.5999999999999996</v>
      </c>
      <c r="G227">
        <v>-4</v>
      </c>
      <c r="H227" s="1">
        <v>-2</v>
      </c>
      <c r="I227" s="1">
        <v>0</v>
      </c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</row>
    <row r="228" spans="1:23" x14ac:dyDescent="0.25">
      <c r="A228" s="1">
        <v>100</v>
      </c>
      <c r="B228" s="1">
        <v>761</v>
      </c>
      <c r="C228" s="1">
        <v>3754</v>
      </c>
      <c r="D228" s="1">
        <v>45.3</v>
      </c>
      <c r="E228" s="1">
        <v>-15.6</v>
      </c>
      <c r="F228" s="1">
        <v>-4.5</v>
      </c>
      <c r="G228">
        <v>-6</v>
      </c>
      <c r="H228" s="1">
        <v>-2</v>
      </c>
      <c r="I228" s="1">
        <v>-1</v>
      </c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</row>
    <row r="229" spans="1:23" x14ac:dyDescent="0.25">
      <c r="A229" s="1">
        <v>125</v>
      </c>
      <c r="B229" s="1">
        <v>738</v>
      </c>
      <c r="C229" s="1">
        <v>3533</v>
      </c>
      <c r="D229" s="1">
        <v>55.3</v>
      </c>
      <c r="E229" s="1">
        <v>-15.1</v>
      </c>
      <c r="F229" s="1">
        <v>-4.4000000000000004</v>
      </c>
      <c r="G229">
        <v>-10</v>
      </c>
      <c r="H229" s="1">
        <v>-3</v>
      </c>
      <c r="I229" s="1">
        <v>-1</v>
      </c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</row>
    <row r="230" spans="1:23" x14ac:dyDescent="0.25">
      <c r="A230" s="1">
        <v>150</v>
      </c>
      <c r="B230" s="1">
        <v>716</v>
      </c>
      <c r="C230" s="1">
        <v>3321</v>
      </c>
      <c r="D230" s="1">
        <v>63.7</v>
      </c>
      <c r="E230" s="1">
        <v>-14.6</v>
      </c>
      <c r="F230" s="1">
        <v>-4.2</v>
      </c>
      <c r="G230">
        <v>-14</v>
      </c>
      <c r="H230" s="1">
        <v>-4</v>
      </c>
      <c r="I230" s="1">
        <v>-1</v>
      </c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</row>
    <row r="231" spans="1:23" x14ac:dyDescent="0.25">
      <c r="A231" s="1">
        <v>175</v>
      </c>
      <c r="B231" s="1">
        <v>694</v>
      </c>
      <c r="C231" s="1">
        <v>3120</v>
      </c>
      <c r="D231" s="1">
        <v>71</v>
      </c>
      <c r="E231" s="1">
        <v>-14</v>
      </c>
      <c r="F231" s="1">
        <v>-4.0999999999999996</v>
      </c>
      <c r="G231">
        <v>-20</v>
      </c>
      <c r="H231" s="1">
        <v>-4</v>
      </c>
      <c r="I231" s="1">
        <v>-1</v>
      </c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</row>
    <row r="232" spans="1:23" x14ac:dyDescent="0.25">
      <c r="A232" s="1">
        <v>200</v>
      </c>
      <c r="B232" s="1">
        <v>672</v>
      </c>
      <c r="C232" s="1">
        <v>2928</v>
      </c>
      <c r="D232" s="1">
        <v>77.2</v>
      </c>
      <c r="E232" s="1">
        <v>-13.2</v>
      </c>
      <c r="F232" s="1">
        <v>-3.9</v>
      </c>
      <c r="G232">
        <v>-26</v>
      </c>
      <c r="H232" s="1">
        <v>-5</v>
      </c>
      <c r="I232" s="1">
        <v>-1</v>
      </c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</row>
    <row r="233" spans="1:23" x14ac:dyDescent="0.25">
      <c r="A233" s="1">
        <v>225</v>
      </c>
      <c r="B233" s="1">
        <v>651</v>
      </c>
      <c r="C233" s="1">
        <v>2746</v>
      </c>
      <c r="D233" s="1">
        <v>81.7</v>
      </c>
      <c r="E233" s="1">
        <v>-12.5</v>
      </c>
      <c r="F233" s="1">
        <v>-3.6</v>
      </c>
      <c r="G233">
        <v>-34</v>
      </c>
      <c r="H233" s="1">
        <v>-6</v>
      </c>
      <c r="I233" s="1">
        <v>-2</v>
      </c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</row>
    <row r="234" spans="1:23" x14ac:dyDescent="0.25">
      <c r="A234" s="1">
        <v>250</v>
      </c>
      <c r="B234" s="1">
        <v>630</v>
      </c>
      <c r="C234" s="1">
        <v>2572</v>
      </c>
      <c r="D234" s="1">
        <v>84.7</v>
      </c>
      <c r="E234" s="1">
        <v>-11.7</v>
      </c>
      <c r="F234" s="1">
        <v>-3.4</v>
      </c>
      <c r="G234">
        <v>-42</v>
      </c>
      <c r="H234" s="1">
        <v>-6</v>
      </c>
      <c r="I234" s="1">
        <v>-2</v>
      </c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</row>
    <row r="235" spans="1:23" x14ac:dyDescent="0.25">
      <c r="A235" s="1">
        <v>275</v>
      </c>
      <c r="B235" s="1">
        <v>609</v>
      </c>
      <c r="C235" s="1">
        <v>2407</v>
      </c>
      <c r="D235" s="1">
        <v>86.2</v>
      </c>
      <c r="E235" s="1">
        <v>-10.8</v>
      </c>
      <c r="F235" s="1">
        <v>-3.1</v>
      </c>
      <c r="G235">
        <v>-52</v>
      </c>
      <c r="H235" s="1">
        <v>-7</v>
      </c>
      <c r="I235" s="1">
        <v>-2</v>
      </c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</row>
    <row r="236" spans="1:23" x14ac:dyDescent="0.25">
      <c r="A236" s="1">
        <v>300</v>
      </c>
      <c r="B236" s="1">
        <v>589</v>
      </c>
      <c r="C236" s="1">
        <v>2251</v>
      </c>
      <c r="D236" s="1">
        <v>85.8</v>
      </c>
      <c r="E236" s="1">
        <v>-9.8000000000000007</v>
      </c>
      <c r="F236" s="1">
        <v>-2.9</v>
      </c>
      <c r="G236">
        <v>-63</v>
      </c>
      <c r="H236" s="1">
        <v>-8</v>
      </c>
      <c r="I236" s="1">
        <v>-2</v>
      </c>
      <c r="J236" s="1"/>
      <c r="K236" s="1"/>
      <c r="L236" s="1"/>
      <c r="M236" s="1"/>
      <c r="N236" s="1"/>
      <c r="O236" s="1"/>
      <c r="P236" s="1"/>
    </row>
    <row r="237" spans="1:23" x14ac:dyDescent="0.25">
      <c r="A237" s="1">
        <v>325</v>
      </c>
      <c r="B237" s="1">
        <v>570</v>
      </c>
      <c r="C237" s="1">
        <v>2104</v>
      </c>
      <c r="D237" s="1">
        <v>83.6</v>
      </c>
      <c r="E237" s="1">
        <v>-8.9</v>
      </c>
      <c r="F237" s="1">
        <v>-2.6</v>
      </c>
      <c r="G237">
        <v>-75</v>
      </c>
      <c r="H237" s="1">
        <v>-9</v>
      </c>
      <c r="I237" s="1">
        <v>-2</v>
      </c>
      <c r="J237" s="1"/>
      <c r="K237" s="1"/>
      <c r="L237" s="1"/>
      <c r="M237" s="1"/>
      <c r="N237" s="1"/>
      <c r="O237" s="1"/>
      <c r="P237" s="1"/>
    </row>
    <row r="238" spans="1:23" x14ac:dyDescent="0.25">
      <c r="A238" s="1">
        <v>350</v>
      </c>
      <c r="B238" s="1">
        <v>550</v>
      </c>
      <c r="C238" s="1">
        <v>1964</v>
      </c>
      <c r="D238" s="1">
        <v>79.2</v>
      </c>
      <c r="E238" s="1">
        <v>-7.8</v>
      </c>
      <c r="F238" s="1">
        <v>-2.2999999999999998</v>
      </c>
      <c r="G238">
        <v>-89</v>
      </c>
      <c r="H238" s="1">
        <v>-10</v>
      </c>
      <c r="I238" s="1">
        <v>-3</v>
      </c>
      <c r="J238" s="1"/>
      <c r="K238" s="1"/>
      <c r="L238" s="1"/>
      <c r="M238" s="1"/>
      <c r="N238" s="1"/>
      <c r="O238" s="1"/>
      <c r="P238" s="1"/>
    </row>
    <row r="239" spans="1:23" x14ac:dyDescent="0.25">
      <c r="A239" s="1">
        <v>375</v>
      </c>
      <c r="B239" s="1">
        <v>532</v>
      </c>
      <c r="C239" s="1">
        <v>1832</v>
      </c>
      <c r="D239" s="1">
        <v>72.8</v>
      </c>
      <c r="E239" s="1">
        <v>-6.7</v>
      </c>
      <c r="F239" s="1">
        <v>-1.9</v>
      </c>
      <c r="G239">
        <v>-103</v>
      </c>
      <c r="H239" s="1">
        <v>-10</v>
      </c>
      <c r="I239" s="1">
        <v>-3</v>
      </c>
      <c r="J239" s="1"/>
      <c r="K239" s="1"/>
      <c r="L239" s="1"/>
      <c r="M239" s="1"/>
      <c r="N239" s="1"/>
      <c r="O239" s="1"/>
      <c r="P239" s="1"/>
    </row>
    <row r="240" spans="1:23" x14ac:dyDescent="0.25">
      <c r="A240" s="1">
        <v>400</v>
      </c>
      <c r="B240" s="1">
        <v>513</v>
      </c>
      <c r="C240" s="1">
        <v>1709</v>
      </c>
      <c r="D240" s="1">
        <v>64</v>
      </c>
      <c r="E240" s="1">
        <v>-5.5</v>
      </c>
      <c r="F240" s="1">
        <v>-1.6</v>
      </c>
      <c r="G240">
        <v>-120</v>
      </c>
      <c r="H240" s="1">
        <v>-11</v>
      </c>
      <c r="I240" s="1">
        <v>-3</v>
      </c>
      <c r="J240" s="1"/>
      <c r="K240" s="1"/>
      <c r="L240" s="1"/>
      <c r="M240" s="1"/>
      <c r="N240" s="1"/>
      <c r="O240" s="1"/>
      <c r="P240" s="1"/>
    </row>
    <row r="241" spans="1:16" x14ac:dyDescent="0.25">
      <c r="A241" s="1">
        <v>425</v>
      </c>
      <c r="B241" s="1">
        <v>496</v>
      </c>
      <c r="C241" s="1">
        <v>1593</v>
      </c>
      <c r="D241" s="1">
        <v>52.2</v>
      </c>
      <c r="E241" s="1">
        <v>-4.2</v>
      </c>
      <c r="F241" s="1">
        <v>-1.2</v>
      </c>
      <c r="G241">
        <v>-137</v>
      </c>
      <c r="H241" s="1">
        <v>-12</v>
      </c>
      <c r="I241" s="1">
        <v>-4</v>
      </c>
      <c r="J241" s="1"/>
      <c r="K241" s="1"/>
      <c r="L241" s="1"/>
      <c r="M241" s="1"/>
      <c r="N241" s="1"/>
      <c r="O241" s="1"/>
      <c r="P241" s="1"/>
    </row>
    <row r="242" spans="1:16" x14ac:dyDescent="0.25">
      <c r="A242" s="1">
        <v>450</v>
      </c>
      <c r="B242" s="1">
        <v>479</v>
      </c>
      <c r="C242" s="1">
        <v>1484</v>
      </c>
      <c r="D242" s="1">
        <v>38.1</v>
      </c>
      <c r="E242" s="1">
        <v>-2.9</v>
      </c>
      <c r="F242" s="1">
        <v>-0.8</v>
      </c>
      <c r="G242">
        <v>-156</v>
      </c>
      <c r="H242" s="1">
        <v>-13</v>
      </c>
      <c r="I242" s="1">
        <v>-4</v>
      </c>
      <c r="J242" s="1"/>
      <c r="K242" s="1"/>
      <c r="L242" s="1"/>
      <c r="M242" s="1"/>
      <c r="N242" s="1"/>
      <c r="O242" s="1"/>
      <c r="P242" s="1"/>
    </row>
    <row r="243" spans="1:16" x14ac:dyDescent="0.25">
      <c r="A243" s="1">
        <v>475</v>
      </c>
      <c r="B243" s="1">
        <v>462</v>
      </c>
      <c r="C243" s="1">
        <v>1383</v>
      </c>
      <c r="D243" s="1">
        <v>21</v>
      </c>
      <c r="E243" s="1">
        <v>-1.5</v>
      </c>
      <c r="F243" s="1">
        <v>-0.4</v>
      </c>
      <c r="G243">
        <v>-177</v>
      </c>
      <c r="H243" s="1">
        <v>-14</v>
      </c>
      <c r="I243" s="1">
        <v>-4</v>
      </c>
      <c r="J243" s="1"/>
      <c r="K243" s="1"/>
      <c r="L243" s="1"/>
      <c r="M243" s="1"/>
      <c r="N243" s="1"/>
      <c r="O243" s="1"/>
      <c r="P243" s="1"/>
    </row>
    <row r="244" spans="1:16" x14ac:dyDescent="0.25">
      <c r="A244" s="1">
        <v>500</v>
      </c>
      <c r="B244" s="1">
        <v>446</v>
      </c>
      <c r="C244" s="1">
        <v>1292</v>
      </c>
      <c r="D244" s="1">
        <v>0.7</v>
      </c>
      <c r="E244" s="1">
        <v>-0.1</v>
      </c>
      <c r="F244" s="1">
        <v>0</v>
      </c>
      <c r="G244">
        <v>-199</v>
      </c>
      <c r="H244" s="1">
        <v>-15</v>
      </c>
      <c r="I244" s="1">
        <v>-4</v>
      </c>
      <c r="J244" s="1"/>
      <c r="K244" s="1"/>
      <c r="L244" s="1"/>
      <c r="M244" s="1"/>
      <c r="N244" s="1"/>
      <c r="O244" s="1"/>
      <c r="P244" s="1"/>
    </row>
    <row r="246" spans="1:16" ht="30" x14ac:dyDescent="0.25">
      <c r="A246" s="26" t="s">
        <v>42</v>
      </c>
      <c r="B246" s="27" t="s">
        <v>6</v>
      </c>
      <c r="C246" s="27" t="s">
        <v>7</v>
      </c>
      <c r="D246" s="27" t="s">
        <v>8</v>
      </c>
      <c r="E246" s="27" t="s">
        <v>9</v>
      </c>
      <c r="F246" s="27" t="s">
        <v>10</v>
      </c>
      <c r="G246" s="27" t="s">
        <v>33</v>
      </c>
      <c r="H246" s="27" t="s">
        <v>34</v>
      </c>
      <c r="I246" s="28" t="s">
        <v>43</v>
      </c>
      <c r="J246" s="28" t="s">
        <v>99</v>
      </c>
      <c r="K246" s="28"/>
    </row>
    <row r="247" spans="1:16" x14ac:dyDescent="0.25">
      <c r="A247" t="s">
        <v>44</v>
      </c>
      <c r="B247" s="22" cm="1">
        <f t="array" ref="B247">INDEX(LINEST(J$22:J$35,$A$22:$A$35^{1,2,3}), 1,4)</f>
        <v>-4.3680476620890758</v>
      </c>
      <c r="C247" s="22" cm="1">
        <f t="array" ref="C247">INDEX(LINEST(K$22:K$35,$A$22:$A$35^{1,2,3}), 1,4)</f>
        <v>-3.2951838477916908</v>
      </c>
      <c r="D247" s="23" cm="1">
        <f t="array" ref="D247">INDEX(LINEST(L$22:L$35,$A$22:$A$35^{1,2,3}), 1,4)</f>
        <v>-4.3516846316259006</v>
      </c>
      <c r="E247" s="23" cm="1">
        <f t="array" ref="E247">INDEX(LINEST(M$22:M$35,$A$22:$A$35^{1,2,3}), 1,4)</f>
        <v>-5.695224981254885</v>
      </c>
      <c r="F247" s="23" cm="1">
        <f t="array" ref="F247">INDEX(LINEST(N$22:N$35,$A$22:$A$35^{1,2,3}), 1,4)</f>
        <v>-5.2739030644800593</v>
      </c>
      <c r="G247" s="23" cm="1">
        <f t="array" ref="G247">INDEX(LINEST(O$22:O$35,$A$22:$A$35^{1,2,3}), 1,4)</f>
        <v>-4.8245729027512958</v>
      </c>
      <c r="H247" s="23" cm="1">
        <f t="array" ref="H247">INDEX(LINEST(P$22:P$35,$A$22:$A$35^{1,2,3}), 1,4)</f>
        <v>-5.4776006794812133</v>
      </c>
      <c r="I247" s="23" cm="1">
        <f t="array" ref="I247">INDEX(LINEST(B$22:B$35,$A$22:$A$35^{1,2,3}), 1,4)</f>
        <v>4782.7798334546442</v>
      </c>
      <c r="J247" s="23" cm="1">
        <f t="array" ref="J247">INDEX(LINEST($C$80:$C$100,$A$80:$A$100^{1,2,3}), 1,4)</f>
        <v>4751.1783361565967</v>
      </c>
      <c r="K247" s="23"/>
    </row>
    <row r="248" spans="1:16" x14ac:dyDescent="0.25">
      <c r="A248" t="s">
        <v>45</v>
      </c>
      <c r="B248" s="23" cm="1">
        <f t="array" ref="B248">INDEX(LINEST(J$22:J$35,$A$22:$A$35^{1,2,3}), 1,3)</f>
        <v>0.16284522141653401</v>
      </c>
      <c r="C248" s="22" cm="1">
        <f t="array" ref="C248">INDEX(LINEST(K$22:K$35,$A$22:$A$35^{1,2,3}), 1,3)</f>
        <v>4.4740586125246853E-2</v>
      </c>
      <c r="D248" s="23" cm="1">
        <f t="array" ref="D248">INDEX(LINEST(L$22:L$35,$A$22:$A$35^{1,2,3}), 1,3)</f>
        <v>0.12667826397493298</v>
      </c>
      <c r="E248" s="23" cm="1">
        <f t="array" ref="E248">INDEX(LINEST(M$22:M$35,$A$22:$A$35^{1,2,3}), 1,3)</f>
        <v>0.21040067881050428</v>
      </c>
      <c r="F248" s="23" cm="1">
        <f t="array" ref="F248">INDEX(LINEST(N$22:N$35,$A$22:$A$35^{1,2,3}), 1,3)</f>
        <v>0.28767054153367655</v>
      </c>
      <c r="G248" s="23" cm="1">
        <f t="array" ref="G248">INDEX(LINEST(O$22:O$35,$A$22:$A$35^{1,2,3}), 1,3)</f>
        <v>0.38939337921646822</v>
      </c>
      <c r="H248" s="23" cm="1">
        <f t="array" ref="H248">INDEX(LINEST(P$22:P$35,$A$22:$A$35^{1,2,3}), 1,3)</f>
        <v>0.5842681726205351</v>
      </c>
      <c r="I248" s="23" cm="1">
        <f t="array" ref="I248">INDEX(LINEST(B$22:B$35,$A$22:$A$35^{1,2,3}), 1,3)</f>
        <v>-10.959949015323211</v>
      </c>
      <c r="J248" s="23" cm="1">
        <f t="array" ref="J248">INDEX(LINEST($C$80:$C$100,$A$80:$A$100^{1,2,3}), 1,3)</f>
        <v>-10.850390083685276</v>
      </c>
      <c r="K248" s="23"/>
    </row>
    <row r="249" spans="1:16" x14ac:dyDescent="0.25">
      <c r="A249" t="s">
        <v>46</v>
      </c>
      <c r="B249" s="23" cm="1">
        <f t="array" ref="B249">INDEX(LINEST(J$22:J$35,$A$22:$A$35^{1,2,3}), 1,2)</f>
        <v>-5.7160412127747089E-4</v>
      </c>
      <c r="C249" s="23" cm="1">
        <f t="array" ref="C249">INDEX(LINEST(K$22:K$35,$A$22:$A$35^{1,2,3}), 1,2)</f>
        <v>4.7660322005346858E-6</v>
      </c>
      <c r="D249" s="23" cm="1">
        <f t="array" ref="D249">INDEX(LINEST(L$22:L$35,$A$22:$A$35^{1,2,3}), 1,2)</f>
        <v>-3.9484025568021358E-4</v>
      </c>
      <c r="E249" s="23" cm="1">
        <f t="array" ref="E249">INDEX(LINEST(M$22:M$35,$A$22:$A$35^{1,2,3}), 1,2)</f>
        <v>-7.8140028575966942E-4</v>
      </c>
      <c r="F249" s="23" cm="1">
        <f t="array" ref="F249">INDEX(LINEST(N$22:N$35,$A$22:$A$35^{1,2,3}), 1,2)</f>
        <v>-6.1727519291160512E-4</v>
      </c>
      <c r="G249" s="23" cm="1">
        <f t="array" ref="G249">INDEX(LINEST(O$22:O$35,$A$22:$A$35^{1,2,3}), 1,2)</f>
        <v>-5.0078854911524151E-4</v>
      </c>
      <c r="H249" s="23" cm="1">
        <f t="array" ref="H249">INDEX(LINEST(P$22:P$35,$A$22:$A$35^{1,2,3}), 1,2)</f>
        <v>-5.6251513096449335E-4</v>
      </c>
      <c r="I249" s="23" cm="1">
        <f t="array" ref="I249">INDEX(LINEST(B$22:B$35,$A$22:$A$35^{1,2,3}), 1,2)</f>
        <v>8.7258677015259953E-3</v>
      </c>
      <c r="J249" s="23" cm="1">
        <f t="array" ref="J249">INDEX(LINEST($C$80:$C$100,$A$80:$A$100^{1,2,3}), 1, 2)</f>
        <v>9.1903698640540578E-3</v>
      </c>
      <c r="K249" s="23"/>
    </row>
    <row r="250" spans="1:16" x14ac:dyDescent="0.25">
      <c r="A250" t="s">
        <v>47</v>
      </c>
      <c r="B250" s="22" cm="1">
        <f t="array" ref="B250">INDEX(LINEST(J$22:J$35,$A$22:$A$35^{1,2,3}), 1)</f>
        <v>-1.2866757193328494E-6</v>
      </c>
      <c r="C250" s="22" cm="1">
        <f t="array" ref="C250">INDEX(LINEST(K$22:K$35,$A$22:$A$35^{1,2,3}), 1)</f>
        <v>-2.0240056600664512E-6</v>
      </c>
      <c r="D250" s="23" cm="1">
        <f t="array" ref="D250">INDEX(LINEST(L$22:L$35,$A$22:$A$35^{1,2,3}), 1)</f>
        <v>-1.3379977682562767E-6</v>
      </c>
      <c r="E250" s="23" cm="1">
        <f t="array" ref="E250">INDEX(LINEST(M$22:M$35,$A$22:$A$35^{1,2,3}), 1)</f>
        <v>-7.2624508285812959E-7</v>
      </c>
      <c r="F250" s="23" cm="1">
        <f t="array" ref="F250">INDEX(LINEST(N$22:N$35,$A$22:$A$35^{1,2,3}), 1)</f>
        <v>-9.5576983348459281E-7</v>
      </c>
      <c r="G250" s="23" cm="1">
        <f t="array" ref="G250">INDEX(LINEST(O$22:O$35,$A$22:$A$35^{1,2,3}), 1)</f>
        <v>-1.0893301243606498E-6</v>
      </c>
      <c r="H250" s="23" cm="1">
        <f t="array" ref="H250">INDEX(LINEST(P$22:P$35,$A$22:$A$35^{1,2,3}), 1)</f>
        <v>-1.1506827520925464E-6</v>
      </c>
      <c r="I250" s="23" cm="1">
        <f t="array" ref="I250">INDEX(LINEST(B$22:B$35,$A$22:$A$35^{1,2,3}), 1)</f>
        <v>-1.6506427731269005E-6</v>
      </c>
      <c r="J250" s="23" cm="1">
        <f t="array" ref="J250">INDEX(LINEST($C$80:$C$100,$A$80:$A$100^{1,2,3}), 1)</f>
        <v>-2.6767137430752789E-6</v>
      </c>
      <c r="K250" s="23"/>
    </row>
    <row r="251" spans="1:16" x14ac:dyDescent="0.25">
      <c r="A251" t="s">
        <v>48</v>
      </c>
      <c r="B251" s="22"/>
      <c r="C251" s="22"/>
      <c r="D251" s="23"/>
      <c r="E251" s="23"/>
      <c r="F251" s="23"/>
      <c r="G251" s="23"/>
      <c r="H251" s="23"/>
      <c r="I251" s="23"/>
    </row>
    <row r="252" spans="1:16" x14ac:dyDescent="0.25">
      <c r="A252" t="s">
        <v>49</v>
      </c>
      <c r="B252" s="22"/>
      <c r="C252" s="22"/>
      <c r="D252" s="23"/>
      <c r="E252" s="23"/>
      <c r="F252" s="23"/>
      <c r="G252" s="23"/>
      <c r="H252" s="23"/>
      <c r="I252" s="23"/>
    </row>
    <row r="253" spans="1:16" x14ac:dyDescent="0.25">
      <c r="A253" t="s">
        <v>50</v>
      </c>
      <c r="B253" s="22"/>
      <c r="C253" s="22"/>
      <c r="D253" s="23"/>
      <c r="E253" s="23"/>
      <c r="F253" s="23"/>
      <c r="G253" s="23"/>
      <c r="H253" s="23"/>
      <c r="I253" s="23"/>
    </row>
    <row r="254" spans="1:16" x14ac:dyDescent="0.25">
      <c r="B254" s="22"/>
      <c r="C254" s="22"/>
      <c r="D254" s="22"/>
      <c r="E254" s="22"/>
      <c r="F254" s="22"/>
      <c r="G254" s="22"/>
      <c r="H254" s="22"/>
      <c r="I254" s="22"/>
    </row>
    <row r="255" spans="1:16" x14ac:dyDescent="0.25">
      <c r="A255" s="29"/>
      <c r="B255" s="49"/>
      <c r="C255" s="49"/>
      <c r="D255" s="49"/>
      <c r="E255" s="49"/>
      <c r="F255" s="49"/>
      <c r="G255" s="49"/>
      <c r="H255" s="49"/>
      <c r="L255" s="46" t="s">
        <v>102</v>
      </c>
      <c r="M255" s="46"/>
      <c r="N255" s="46"/>
      <c r="O255" s="46"/>
    </row>
    <row r="256" spans="1:16" x14ac:dyDescent="0.25">
      <c r="A256" s="30" t="s">
        <v>4</v>
      </c>
      <c r="B256" s="46" t="s">
        <v>52</v>
      </c>
      <c r="C256" s="46"/>
      <c r="D256" s="46"/>
      <c r="E256" s="46"/>
      <c r="F256" s="46"/>
      <c r="G256" s="46"/>
      <c r="H256" s="46"/>
      <c r="I256" s="46" t="s">
        <v>53</v>
      </c>
      <c r="J256" s="46"/>
      <c r="K256" s="47"/>
      <c r="L256" s="43" t="s">
        <v>101</v>
      </c>
      <c r="M256" s="43" t="s">
        <v>106</v>
      </c>
      <c r="N256" s="41" t="s">
        <v>103</v>
      </c>
      <c r="O256" s="1">
        <f>AVERAGE($L257:$L280)</f>
        <v>14.877796698291869</v>
      </c>
    </row>
    <row r="257" spans="1:15" x14ac:dyDescent="0.25">
      <c r="A257" s="1">
        <v>0</v>
      </c>
      <c r="B257" s="2" cm="1">
        <f t="array" ref="B257">TrajectoryToComeUp(B$247:B$250,$A257)</f>
        <v>0</v>
      </c>
      <c r="C257" s="2" cm="1">
        <f t="array" ref="C257">TrajectoryToComeUp(C$247:C$250,$A257)</f>
        <v>0</v>
      </c>
      <c r="D257" s="2" cm="1">
        <f t="array" ref="D257">TrajectoryToComeUp(D$247:D$250,$A257)</f>
        <v>0</v>
      </c>
      <c r="E257" s="2" cm="1">
        <f t="array" ref="E257">TrajectoryToComeUp(E$247:E$250,$A257)</f>
        <v>0</v>
      </c>
      <c r="F257" s="2" cm="1">
        <f t="array" ref="F257">TrajectoryToComeUp(F$247:F$250,$A257)</f>
        <v>0</v>
      </c>
      <c r="G257" s="2" cm="1">
        <f t="array" ref="G257">TrajectoryToComeUp(G$247:G$250,$A257)</f>
        <v>0</v>
      </c>
      <c r="H257" s="2" cm="1">
        <f t="array" ref="H257">TrajectoryToComeUp(H$247:H$250,$A257)</f>
        <v>0</v>
      </c>
      <c r="I257" s="2" cm="1">
        <f t="array" ref="I257">EvaluatePolynomial(I$247:I$250,$A257)</f>
        <v>4782.7798334546442</v>
      </c>
      <c r="J257" s="2" cm="1">
        <f t="array" ref="J257">EvaluatePolynomial(J$247:J$250,$A257)</f>
        <v>4751.1783361565967</v>
      </c>
      <c r="K257" s="1"/>
      <c r="L257" s="1">
        <f>ABS($I257-$J257)</f>
        <v>31.601497298047434</v>
      </c>
      <c r="M257" s="42">
        <f>$L257/AVERAGE($I257:$J257)</f>
        <v>6.6292502517526835E-3</v>
      </c>
      <c r="N257" s="41" t="s">
        <v>104</v>
      </c>
      <c r="O257" s="1">
        <f>_xlfn.STDEV.S($L257:$L280)</f>
        <v>7.9405039997171381</v>
      </c>
    </row>
    <row r="258" spans="1:15" x14ac:dyDescent="0.25">
      <c r="A258" s="1">
        <v>25</v>
      </c>
      <c r="B258" s="2" cm="1">
        <f t="array" ref="B258">TrajectoryToComeUp(B$247:B$250,$A258)</f>
        <v>0.26970960423548823</v>
      </c>
      <c r="C258" s="2" cm="1">
        <f t="array" ref="C258">TrajectoryToComeUp(C$247:C$250,$A258)</f>
        <v>0.88212620518948948</v>
      </c>
      <c r="D258" s="2" cm="1">
        <f t="array" ref="D258">TrajectoryToComeUp(D$247:D$250,$A258)</f>
        <v>0.58096376287268559</v>
      </c>
      <c r="E258" s="2" cm="1">
        <f t="array" ref="E258">TrajectoryToComeUp(E$247:E$250,$A258)</f>
        <v>0.37397230760469186</v>
      </c>
      <c r="F258" s="2" cm="1">
        <f t="array" ref="F258">TrajectoryToComeUp(F$247:F$250,$A258)</f>
        <v>-0.60685182985756203</v>
      </c>
      <c r="G258" s="2" cm="1">
        <f t="array" ref="G258">TrajectoryToComeUp(G$247:G$250,$A258)</f>
        <v>-1.8320991805080988</v>
      </c>
      <c r="H258" s="2" cm="1">
        <f t="array" ref="H258">TrajectoryToComeUp(H$247:H$250,$A258)</f>
        <v>-3.5038209044711639</v>
      </c>
      <c r="I258" s="2" cm="1">
        <f t="array" ref="I258">EvaluatePolynomial(I$247:I$250,$A258)</f>
        <v>4514.2089840916879</v>
      </c>
      <c r="J258" s="2" cm="1">
        <f t="array" ref="J258">EvaluatePolynomial(J$247:J$250,$A258)</f>
        <v>4485.6207415772633</v>
      </c>
      <c r="K258" s="1"/>
      <c r="L258" s="1">
        <f t="shared" ref="L258:L280" si="2">ABS($I258-$J258)</f>
        <v>28.588242514424564</v>
      </c>
      <c r="M258" s="42">
        <f t="shared" ref="M258:M280" si="3">$L258/AVERAGE($I258:$J258)</f>
        <v>6.3530629769330705E-3</v>
      </c>
      <c r="N258" s="41" t="s">
        <v>105</v>
      </c>
      <c r="O258" s="44">
        <f>_xlfn.VAR.S($L257:$L280)</f>
        <v>63.051603769523865</v>
      </c>
    </row>
    <row r="259" spans="1:15" x14ac:dyDescent="0.25">
      <c r="A259" s="1">
        <v>50</v>
      </c>
      <c r="B259" s="2" cm="1">
        <f t="array" ref="B259">TrajectoryToComeUp(B$247:B$250,$A259)</f>
        <v>-0.43687372812546821</v>
      </c>
      <c r="C259" s="2" cm="1">
        <f t="array" ref="C259">TrajectoryToComeUp(C$247:C$250,$A259)</f>
        <v>0.2598480337072635</v>
      </c>
      <c r="D259" s="2" cm="1">
        <f t="array" ref="D259">TrajectoryToComeUp(D$247:D$250,$A259)</f>
        <v>-0.16557564137763597</v>
      </c>
      <c r="E259" s="2" cm="1">
        <f t="array" ref="E259">TrajectoryToComeUp(E$247:E$250,$A259)</f>
        <v>-0.55610552190277784</v>
      </c>
      <c r="F259" s="2" cm="1">
        <f t="array" ref="F259">TrajectoryToComeUp(F$247:F$250,$A259)</f>
        <v>-1.4893929601478362</v>
      </c>
      <c r="G259" s="2" cm="1">
        <f t="array" ref="G259">TrajectoryToComeUp(G$247:G$250,$A259)</f>
        <v>-2.6513916839477862</v>
      </c>
      <c r="H259" s="2" cm="1">
        <f t="array" ref="H259">TrajectoryToComeUp(H$247:H$250,$A259)</f>
        <v>-4.4371369560245482</v>
      </c>
      <c r="I259" s="2" cm="1">
        <f t="array" ref="I259">EvaluatePolynomial(I$247:I$250,$A259)</f>
        <v>4256.3907215956579</v>
      </c>
      <c r="J259" s="2" cm="1">
        <f t="array" ref="J259">EvaluatePolynomial(J$247:J$250,$A259)</f>
        <v>4231.3001674145835</v>
      </c>
      <c r="K259" s="1"/>
      <c r="L259" s="1">
        <f t="shared" si="2"/>
        <v>25.090554181074367</v>
      </c>
      <c r="M259" s="42">
        <f t="shared" si="3"/>
        <v>5.9122214767649726E-3</v>
      </c>
      <c r="N259" s="41" t="s">
        <v>107</v>
      </c>
      <c r="O259" s="45">
        <f>AVERAGE($M260:$M283)</f>
        <v>6.1507024968305195E-3</v>
      </c>
    </row>
    <row r="260" spans="1:15" x14ac:dyDescent="0.25">
      <c r="A260" s="1">
        <v>75</v>
      </c>
      <c r="B260" s="2" cm="1">
        <f t="array" ref="B260">TrajectoryToComeUp(B$247:B$250,$A260)</f>
        <v>-0.54496725904955401</v>
      </c>
      <c r="C260" s="2" cm="1">
        <f t="array" ref="C260">TrajectoryToComeUp(C$247:C$250,$A260)</f>
        <v>0.10222777934809379</v>
      </c>
      <c r="D260" s="2" cm="1">
        <f t="array" ref="D260">TrajectoryToComeUp(D$247:D$250,$A260)</f>
        <v>-0.31516545597463397</v>
      </c>
      <c r="E260" s="2" cm="1">
        <f t="array" ref="E260">TrajectoryToComeUp(E$247:E$250,$A260)</f>
        <v>-0.71774195704053656</v>
      </c>
      <c r="F260" s="2" cm="1">
        <f t="array" ref="F260">TrajectoryToComeUp(F$247:F$250,$A260)</f>
        <v>-1.6567998922555456</v>
      </c>
      <c r="G260" s="2" cm="1">
        <f t="array" ref="G260">TrajectoryToComeUp(G$247:G$250,$A260)</f>
        <v>-2.8137911737994581</v>
      </c>
      <c r="H260" s="2" cm="1">
        <f t="array" ref="H260">TrajectoryToComeUp(H$247:H$250,$A260)</f>
        <v>-4.6257227159126142</v>
      </c>
      <c r="I260" s="2" cm="1">
        <f t="array" ref="I260">EvaluatePolynomial(I$247:I$250,$A260)</f>
        <v>4009.170298206574</v>
      </c>
      <c r="J260" s="2" cm="1">
        <f t="array" ref="J260">EvaluatePolynomial(J$247:J$250,$A260)</f>
        <v>3987.9656717551452</v>
      </c>
      <c r="K260" s="1"/>
      <c r="L260" s="1">
        <f t="shared" si="2"/>
        <v>21.204626451428794</v>
      </c>
      <c r="M260" s="42">
        <f t="shared" si="3"/>
        <v>5.3030551265043201E-3</v>
      </c>
      <c r="N260" s="41"/>
      <c r="O260" s="1"/>
    </row>
    <row r="261" spans="1:15" x14ac:dyDescent="0.25">
      <c r="A261" s="1">
        <v>100</v>
      </c>
      <c r="B261" s="2" cm="1">
        <f t="array" ref="B261">TrajectoryToComeUp(B$247:B$250,$A261)</f>
        <v>-0.49137575474567674</v>
      </c>
      <c r="C261" s="2" cm="1">
        <f t="array" ref="C261">TrajectoryToComeUp(C$247:C$250,$A261)</f>
        <v>7.9747057332810983E-2</v>
      </c>
      <c r="D261" s="2" cm="1">
        <f t="array" ref="D261">TrajectoryToComeUp(D$247:D$250,$A261)</f>
        <v>-0.30297414408089846</v>
      </c>
      <c r="E261" s="2" cm="1">
        <f t="array" ref="E261">TrajectoryToComeUp(E$247:E$250,$A261)</f>
        <v>-0.68045949593407207</v>
      </c>
      <c r="F261" s="2" cm="1">
        <f t="array" ref="F261">TrajectoryToComeUp(F$247:F$250,$A261)</f>
        <v>-1.6364629326286952</v>
      </c>
      <c r="G261" s="2" cm="1">
        <f t="array" ref="G261">TrajectoryToComeUp(G$247:G$250,$A261)</f>
        <v>-2.8017549403382462</v>
      </c>
      <c r="H261" s="2" cm="1">
        <f t="array" ref="H261">TrajectoryToComeUp(H$247:H$250,$A261)</f>
        <v>-4.6173382520834814</v>
      </c>
      <c r="I261" s="2" cm="1">
        <f t="array" ref="I261">EvaluatePolynomial(I$247:I$250,$A261)</f>
        <v>3772.3929661644561</v>
      </c>
      <c r="J261" s="2" cm="1">
        <f t="array" ref="J261">EvaluatePolynomial(J$247:J$250,$A261)</f>
        <v>3755.3663126855345</v>
      </c>
      <c r="K261" s="1"/>
      <c r="L261" s="1">
        <f t="shared" si="2"/>
        <v>17.026653478921617</v>
      </c>
      <c r="M261" s="42">
        <f t="shared" si="3"/>
        <v>4.5236976497799921E-3</v>
      </c>
      <c r="N261" s="41"/>
      <c r="O261" s="1"/>
    </row>
    <row r="262" spans="1:15" x14ac:dyDescent="0.25">
      <c r="A262" s="1">
        <v>125</v>
      </c>
      <c r="B262" s="2" cm="1">
        <f t="array" ref="B262">TrajectoryToComeUp(B$247:B$250,$A262)</f>
        <v>-0.36346016845561768</v>
      </c>
      <c r="C262" s="2" cm="1">
        <f t="array" ref="C262">TrajectoryToComeUp(C$247:C$250,$A262)</f>
        <v>0.12650219070558141</v>
      </c>
      <c r="D262" s="2" cm="1">
        <f t="array" ref="D262">TrajectoryToComeUp(D$247:D$250,$A262)</f>
        <v>-0.2160353983289475</v>
      </c>
      <c r="E262" s="2" cm="1">
        <f t="array" ref="E262">TrajectoryToComeUp(E$247:E$250,$A262)</f>
        <v>-0.55816263820848255</v>
      </c>
      <c r="F262" s="2" cm="1">
        <f t="array" ref="F262">TrajectoryToComeUp(F$247:F$250,$A262)</f>
        <v>-1.5338601425568867</v>
      </c>
      <c r="G262" s="2" cm="1">
        <f t="array" ref="G262">TrajectoryToComeUp(G$247:G$250,$A262)</f>
        <v>-2.7117744416191756</v>
      </c>
      <c r="H262" s="2" cm="1">
        <f t="array" ref="H262">TrajectoryToComeUp(H$247:H$250,$A262)</f>
        <v>-4.5215355781267768</v>
      </c>
      <c r="I262" s="2" cm="1">
        <f t="array" ref="I262">EvaluatePolynomial(I$247:I$250,$A262)</f>
        <v>3545.903977709323</v>
      </c>
      <c r="J262" s="2" cm="1">
        <f t="array" ref="J262">EvaluatePolynomial(J$247:J$250,$A262)</f>
        <v>3533.2511482923378</v>
      </c>
      <c r="K262" s="1"/>
      <c r="L262" s="1">
        <f t="shared" si="2"/>
        <v>12.652829416985242</v>
      </c>
      <c r="M262" s="42">
        <f t="shared" si="3"/>
        <v>3.5746721725341307E-3</v>
      </c>
      <c r="N262" s="41"/>
      <c r="O262" s="1"/>
    </row>
    <row r="263" spans="1:15" x14ac:dyDescent="0.25">
      <c r="A263" s="1">
        <v>145</v>
      </c>
      <c r="B263" s="2" cm="1">
        <f t="array" ref="B263">TrajectoryToComeUp(B$247:B$250,$A263)</f>
        <v>-0.22785800197230507</v>
      </c>
      <c r="C263" s="2" cm="1">
        <f t="array" ref="C263">TrajectoryToComeUp(C$247:C$250,$A263)</f>
        <v>0.19848464055412005</v>
      </c>
      <c r="D263" s="2" cm="1">
        <f t="array" ref="D263">TrajectoryToComeUp(D$247:D$250,$A263)</f>
        <v>-0.11283405674569649</v>
      </c>
      <c r="E263" s="2" cm="1">
        <f t="array" ref="E263">TrajectoryToComeUp(E$247:E$250,$A263)</f>
        <v>-0.42550920844433254</v>
      </c>
      <c r="F263" s="2" cm="1">
        <f t="array" ref="F263">TrajectoryToComeUp(F$247:F$250,$A263)</f>
        <v>-1.4169883254020399</v>
      </c>
      <c r="G263" s="2" cm="1">
        <f t="array" ref="G263">TrajectoryToComeUp(G$247:G$250,$A263)</f>
        <v>-2.6060295715937696</v>
      </c>
      <c r="H263" s="2" cm="1">
        <f t="array" ref="H263">TrajectoryToComeUp(H$247:H$250,$A263)</f>
        <v>-4.4073381735772248</v>
      </c>
      <c r="I263" s="2" cm="1">
        <f t="array" ref="I263">EvaluatePolynomial(I$247:I$250,$A263)</f>
        <v>3372.0164038331386</v>
      </c>
      <c r="J263" s="2" cm="1">
        <f t="array" ref="J263">EvaluatePolynomial(J$247:J$250,$A263)</f>
        <v>3362.9390039789855</v>
      </c>
      <c r="K263" s="1"/>
      <c r="L263" s="1">
        <f t="shared" si="2"/>
        <v>9.0773998541531</v>
      </c>
      <c r="M263" s="42">
        <f t="shared" si="3"/>
        <v>2.6956080046569835E-3</v>
      </c>
      <c r="N263" s="41"/>
      <c r="O263" s="1"/>
    </row>
    <row r="264" spans="1:15" x14ac:dyDescent="0.25">
      <c r="A264" s="1">
        <v>150</v>
      </c>
      <c r="B264" s="2" cm="1">
        <f t="array" ref="B264">TrajectoryToComeUp(B$247:B$250,$A264)</f>
        <v>-0.19034081792663768</v>
      </c>
      <c r="C264" s="2" cm="1">
        <f t="array" ref="C264">TrajectoryToComeUp(C$247:C$250,$A264)</f>
        <v>0.22052528714779371</v>
      </c>
      <c r="D264" s="2" cm="1">
        <f t="array" ref="D264">TrajectoryToComeUp(D$247:D$250,$A264)</f>
        <v>-8.336044959628712E-2</v>
      </c>
      <c r="E264" s="2" cm="1">
        <f t="array" ref="E264">TrajectoryToComeUp(E$247:E$250,$A264)</f>
        <v>-0.38881955040546717</v>
      </c>
      <c r="F264" s="2" cm="1">
        <f t="array" ref="F264">TrajectoryToComeUp(F$247:F$250,$A264)</f>
        <v>-1.3841508758033205</v>
      </c>
      <c r="G264" s="2" cm="1">
        <f t="array" ref="G264">TrajectoryToComeUp(G$247:G$250,$A264)</f>
        <v>-2.5760134969939208</v>
      </c>
      <c r="H264" s="2" cm="1">
        <f t="array" ref="H264">TrajectoryToComeUp(H$247:H$250,$A264)</f>
        <v>-4.374832031905707</v>
      </c>
      <c r="I264" s="2" cm="1">
        <f t="array" ref="I264">EvaluatePolynomial(I$247:I$250,$A264)</f>
        <v>3329.5485850811942</v>
      </c>
      <c r="J264" s="2" cm="1">
        <f t="array" ref="J264">EvaluatePolynomial(J$247:J$250,$A264)</f>
        <v>3321.3692366621426</v>
      </c>
      <c r="K264" s="1"/>
      <c r="L264" s="1">
        <f t="shared" si="2"/>
        <v>8.179348419051621</v>
      </c>
      <c r="M264" s="42">
        <f t="shared" si="3"/>
        <v>2.4596149398543169E-3</v>
      </c>
      <c r="N264" s="41"/>
      <c r="O264" s="1"/>
    </row>
    <row r="265" spans="1:15" x14ac:dyDescent="0.25">
      <c r="A265" s="1">
        <v>163.4</v>
      </c>
      <c r="B265" s="2" cm="1">
        <f t="array" ref="B265">TrajectoryToComeUp(B$247:B$250,$A265)</f>
        <v>-8.3591945968422204E-2</v>
      </c>
      <c r="C265" s="2" cm="1">
        <f t="array" ref="C265">TrajectoryToComeUp(C$247:C$250,$A265)</f>
        <v>0.28687068592044207</v>
      </c>
      <c r="D265" s="2" cm="1">
        <f t="array" ref="D265">TrajectoryToComeUp(D$247:D$250,$A265)</f>
        <v>1.9468238541387847E-3</v>
      </c>
      <c r="E265" s="2" cm="1">
        <f t="array" ref="E265">TrajectoryToComeUp(E$247:E$250,$A265)</f>
        <v>-0.28474949903603186</v>
      </c>
      <c r="F265" s="2" cm="1">
        <f t="array" ref="F265">TrajectoryToComeUp(F$247:F$250,$A265)</f>
        <v>-1.290131124502188</v>
      </c>
      <c r="G265" s="2" cm="1">
        <f t="array" ref="G265">TrajectoryToComeUp(G$247:G$250,$A265)</f>
        <v>-2.4895374532022481</v>
      </c>
      <c r="H265" s="2" cm="1">
        <f t="array" ref="H265">TrajectoryToComeUp(H$247:H$250,$A265)</f>
        <v>-4.2810782906323555</v>
      </c>
      <c r="I265" s="2" cm="1">
        <f t="array" ref="I265">EvaluatePolynomial(I$247:I$250,$A265)</f>
        <v>3217.6997199966572</v>
      </c>
      <c r="J265" s="2" cm="1">
        <f t="array" ref="J265">EvaluatePolynomial(J$247:J$250,$A265)</f>
        <v>3211.9257073509229</v>
      </c>
      <c r="K265" s="1"/>
      <c r="L265" s="1">
        <f t="shared" si="2"/>
        <v>5.774012645734274</v>
      </c>
      <c r="M265" s="42">
        <f t="shared" si="3"/>
        <v>1.796065015288529E-3</v>
      </c>
      <c r="O265" s="1"/>
    </row>
    <row r="266" spans="1:15" x14ac:dyDescent="0.25">
      <c r="A266" s="1">
        <v>175</v>
      </c>
      <c r="B266" s="2" cm="1">
        <f t="array" ref="B266">TrajectoryToComeUp(B$247:B$250,$A266)</f>
        <v>1.5502160663866208E-2</v>
      </c>
      <c r="C266" s="2" cm="1">
        <f t="array" ref="C266">TrajectoryToComeUp(C$247:C$250,$A266)</f>
        <v>0.35240153566575738</v>
      </c>
      <c r="D266" s="2" cm="1">
        <f t="array" ref="D266">TrajectoryToComeUp(D$247:D$250,$A266)</f>
        <v>8.2617317455294464E-2</v>
      </c>
      <c r="E266" s="2" cm="1">
        <f t="array" ref="E266">TrajectoryToComeUp(E$247:E$250,$A266)</f>
        <v>-0.18870230390003997</v>
      </c>
      <c r="F266" s="2" cm="1">
        <f t="array" ref="F266">TrajectoryToComeUp(F$247:F$250,$A266)</f>
        <v>-1.2024034268379395</v>
      </c>
      <c r="G266" s="2" cm="1">
        <f t="array" ref="G266">TrajectoryToComeUp(G$247:G$250,$A266)</f>
        <v>-2.4082566004703434</v>
      </c>
      <c r="H266" s="2" cm="1">
        <f t="array" ref="H266">TrajectoryToComeUp(H$247:H$250,$A266)</f>
        <v>-4.1928779010759332</v>
      </c>
      <c r="I266" s="2" cm="1">
        <f t="array" ref="I266">EvaluatePolynomial(I$247:I$250,$A266)</f>
        <v>3123.1720405200886</v>
      </c>
      <c r="J266" s="2" cm="1">
        <f t="array" ref="J266">EvaluatePolynomial(J$247:J$250,$A266)</f>
        <v>3119.4696358815349</v>
      </c>
      <c r="K266" s="1"/>
      <c r="L266" s="1">
        <f t="shared" si="2"/>
        <v>3.7024046385536167</v>
      </c>
      <c r="M266" s="42">
        <f t="shared" si="3"/>
        <v>1.1861659952546733E-3</v>
      </c>
      <c r="O266" s="1"/>
    </row>
    <row r="267" spans="1:15" x14ac:dyDescent="0.25">
      <c r="A267" s="1">
        <v>200</v>
      </c>
      <c r="B267" s="2" cm="1">
        <f t="array" ref="B267">TrajectoryToComeUp(B$247:B$250,$A267)</f>
        <v>0.24782869922719511</v>
      </c>
      <c r="C267" s="2" cm="1">
        <f t="array" ref="C267">TrajectoryToComeUp(C$247:C$250,$A267)</f>
        <v>0.51742353076262715</v>
      </c>
      <c r="D267" s="2" cm="1">
        <f t="array" ref="D267">TrajectoryToComeUp(D$247:D$250,$A267)</f>
        <v>0.27568121049490307</v>
      </c>
      <c r="E267" s="2" cm="1">
        <f t="array" ref="E267">TrajectoryToComeUp(E$247:E$250,$A267)</f>
        <v>3.4053065620292006E-2</v>
      </c>
      <c r="F267" s="2" cm="1">
        <f t="array" ref="F267">TrajectoryToComeUp(F$247:F$250,$A267)</f>
        <v>-0.99615194289571507</v>
      </c>
      <c r="G267" s="2" cm="1">
        <f t="array" ref="G267">TrajectoryToComeUp(G$247:G$250,$A267)</f>
        <v>-2.2153959990523746</v>
      </c>
      <c r="H267" s="2" cm="1">
        <f t="array" ref="H267">TrajectoryToComeUp(H$247:H$250,$A267)</f>
        <v>-3.9834983294652848</v>
      </c>
      <c r="I267" s="2" cm="1">
        <f t="array" ref="I267">EvaluatePolynomial(I$247:I$250,$A267)</f>
        <v>2926.6195962660267</v>
      </c>
      <c r="J267" s="2" cm="1">
        <f t="array" ref="J267">EvaluatePolynomial(J$247:J$250,$A267)</f>
        <v>2927.3014040371017</v>
      </c>
      <c r="K267" s="1"/>
      <c r="L267" s="1">
        <f t="shared" si="2"/>
        <v>0.68180777107500035</v>
      </c>
      <c r="M267" s="42">
        <f t="shared" si="3"/>
        <v>2.3294054396692229E-4</v>
      </c>
      <c r="O267" s="1"/>
    </row>
    <row r="268" spans="1:15" x14ac:dyDescent="0.25">
      <c r="A268" s="1">
        <v>225</v>
      </c>
      <c r="B268" s="2" cm="1">
        <f t="array" ref="B268">TrajectoryToComeUp(B$247:B$250,$A268)</f>
        <v>0.50317209326962786</v>
      </c>
      <c r="C268" s="2" cm="1">
        <f t="array" ref="C268">TrajectoryToComeUp(C$247:C$250,$A268)</f>
        <v>0.71297604716237795</v>
      </c>
      <c r="D268" s="2" cm="1">
        <f t="array" ref="D268">TrajectoryToComeUp(D$247:D$250,$A268)</f>
        <v>0.4923775115609309</v>
      </c>
      <c r="E268" s="2" cm="1">
        <f t="array" ref="E268">TrajectoryToComeUp(E$247:E$250,$A268)</f>
        <v>0.27492653832913627</v>
      </c>
      <c r="F268" s="2" cm="1">
        <f t="array" ref="F268">TrajectoryToComeUp(F$247:F$250,$A268)</f>
        <v>-0.76958206132940976</v>
      </c>
      <c r="G268" s="2" cm="1">
        <f t="array" ref="G268">TrajectoryToComeUp(G$247:G$250,$A268)</f>
        <v>-2.0012607188533078</v>
      </c>
      <c r="H268" s="2" cm="1">
        <f t="array" ref="H268">TrajectoryToComeUp(H$247:H$250,$A268)</f>
        <v>-3.7510406192003352</v>
      </c>
      <c r="I268" s="2" cm="1">
        <f t="array" ref="I268">EvaluatePolynomial(I$247:I$250,$A268)</f>
        <v>2739.7365045590268</v>
      </c>
      <c r="J268" s="2" cm="1">
        <f t="array" ref="J268">EvaluatePolynomial(J$247:J$250,$A268)</f>
        <v>2744.6135992154295</v>
      </c>
      <c r="K268" s="1"/>
      <c r="L268" s="1">
        <f t="shared" si="2"/>
        <v>4.8770946564027327</v>
      </c>
      <c r="M268" s="42">
        <f t="shared" si="3"/>
        <v>1.7785497147770357E-3</v>
      </c>
      <c r="O268" s="1"/>
    </row>
    <row r="269" spans="1:15" x14ac:dyDescent="0.25">
      <c r="A269" s="1">
        <v>247.4</v>
      </c>
      <c r="B269" s="2" cm="1">
        <f t="array" ref="B269">TrajectoryToComeUp(B$247:B$250,$A269)</f>
        <v>0.74978701222171384</v>
      </c>
      <c r="C269" s="2" cm="1">
        <f t="array" ref="C269">TrajectoryToComeUp(C$247:C$250,$A269)</f>
        <v>0.91282381832595727</v>
      </c>
      <c r="D269" s="2" cm="1">
        <f t="array" ref="D269">TrajectoryToComeUp(D$247:D$250,$A269)</f>
        <v>0.70489394668555472</v>
      </c>
      <c r="E269" s="2" cm="1">
        <f t="array" ref="E269">TrajectoryToComeUp(E$247:E$250,$A269)</f>
        <v>0.5038917153521052</v>
      </c>
      <c r="F269" s="2" cm="1">
        <f t="array" ref="F269">TrajectoryToComeUp(F$247:F$250,$A269)</f>
        <v>-0.55139771688112371</v>
      </c>
      <c r="G269" s="2" cm="1">
        <f t="array" ref="G269">TrajectoryToComeUp(G$247:G$250,$A269)</f>
        <v>-1.7932282159977593</v>
      </c>
      <c r="H269" s="2" cm="1">
        <f t="array" ref="H269">TrajectoryToComeUp(H$247:H$250,$A269)</f>
        <v>-3.5253170053586449</v>
      </c>
      <c r="I269" s="2" cm="1">
        <f t="array" ref="I269">EvaluatePolynomial(I$247:I$250,$A269)</f>
        <v>2580.3755925373644</v>
      </c>
      <c r="J269" s="2" cm="1">
        <f t="array" ref="J269">EvaluatePolynomial(J$247:J$250,$A269)</f>
        <v>2588.7723138546899</v>
      </c>
      <c r="K269" s="1"/>
      <c r="L269" s="1">
        <f t="shared" si="2"/>
        <v>8.3967213173255004</v>
      </c>
      <c r="M269" s="42">
        <f t="shared" si="3"/>
        <v>3.2487835401042793E-3</v>
      </c>
      <c r="O269" s="1"/>
    </row>
    <row r="270" spans="1:15" x14ac:dyDescent="0.25">
      <c r="A270" s="1">
        <v>250</v>
      </c>
      <c r="B270" s="2" cm="1">
        <f t="array" ref="B270">TrajectoryToComeUp(B$247:B$250,$A270)</f>
        <v>0.77945232009493115</v>
      </c>
      <c r="C270" s="2" cm="1">
        <f t="array" ref="C270">TrajectoryToComeUp(C$247:C$250,$A270)</f>
        <v>0.93748994969939448</v>
      </c>
      <c r="D270" s="2" cm="1">
        <f t="array" ref="D270">TrajectoryToComeUp(D$247:D$250,$A270)</f>
        <v>0.73063398987641326</v>
      </c>
      <c r="E270" s="2" cm="1">
        <f t="array" ref="E270">TrajectoryToComeUp(E$247:E$250,$A270)</f>
        <v>0.53120610233065713</v>
      </c>
      <c r="F270" s="2" cm="1">
        <f t="array" ref="F270">TrajectoryToComeUp(F$247:F$250,$A270)</f>
        <v>-0.52520516455067978</v>
      </c>
      <c r="G270" s="2" cm="1">
        <f t="array" ref="G270">TrajectoryToComeUp(G$247:G$250,$A270)</f>
        <v>-1.7681481755411204</v>
      </c>
      <c r="H270" s="2" cm="1">
        <f t="array" ref="H270">TrajectoryToComeUp(H$247:H$250,$A270)</f>
        <v>-3.4981131515570274</v>
      </c>
      <c r="I270" s="2" cm="1">
        <f t="array" ref="I270">EvaluatePolynomial(I$247:I$250,$A270)</f>
        <v>2562.3680176391081</v>
      </c>
      <c r="J270" s="2" cm="1">
        <f t="array" ref="J270">EvaluatePolynomial(J$247:J$250,$A270)</f>
        <v>2571.1552795031048</v>
      </c>
      <c r="K270" s="1"/>
      <c r="L270" s="1">
        <f t="shared" si="2"/>
        <v>8.7872618639967186</v>
      </c>
      <c r="M270" s="42">
        <f t="shared" si="3"/>
        <v>3.4234818292880873E-3</v>
      </c>
      <c r="O270" s="1"/>
    </row>
    <row r="271" spans="1:15" x14ac:dyDescent="0.25">
      <c r="A271" s="1">
        <v>275</v>
      </c>
      <c r="B271" s="2" cm="1">
        <f t="array" ref="B271">TrajectoryToComeUp(B$247:B$250,$A271)</f>
        <v>1.0753457288964114</v>
      </c>
      <c r="C271" s="2" cm="1">
        <f t="array" ref="C271">TrajectoryToComeUp(C$247:C$250,$A271)</f>
        <v>1.18996669781374</v>
      </c>
      <c r="D271" s="2" cm="1">
        <f t="array" ref="D271">TrajectoryToComeUp(D$247:D$250,$A271)</f>
        <v>0.98913195312873603</v>
      </c>
      <c r="E271" s="2" cm="1">
        <f t="array" ref="E271">TrajectoryToComeUp(E$247:E$250,$A271)</f>
        <v>0.80116593187295904</v>
      </c>
      <c r="F271" s="2" cm="1">
        <f t="array" ref="F271">TrajectoryToComeUp(F$247:F$250,$A271)</f>
        <v>-0.26461940500330777</v>
      </c>
      <c r="G271" s="2" cm="1">
        <f t="array" ref="G271">TrajectoryToComeUp(G$247:G$250,$A271)</f>
        <v>-1.5175203609045249</v>
      </c>
      <c r="H271" s="2" cm="1">
        <f t="array" ref="H271">TrajectoryToComeUp(H$247:H$250,$A271)</f>
        <v>-3.2263758055291438</v>
      </c>
      <c r="I271" s="2" cm="1">
        <f t="array" ref="I271">EvaluatePolynomial(I$247:I$250,$A271)</f>
        <v>2394.3593877462913</v>
      </c>
      <c r="J271" s="2" cm="1">
        <f t="array" ref="J271">EvaluatePolynomial(J$247:J$250,$A271)</f>
        <v>2406.6755029867149</v>
      </c>
      <c r="K271" s="1"/>
      <c r="L271" s="1">
        <f t="shared" si="2"/>
        <v>12.316115240423642</v>
      </c>
      <c r="M271" s="42">
        <f t="shared" si="3"/>
        <v>5.130608512842221E-3</v>
      </c>
      <c r="O271" s="1"/>
    </row>
    <row r="272" spans="1:15" x14ac:dyDescent="0.25">
      <c r="A272" s="1">
        <v>300</v>
      </c>
      <c r="B272" s="2" cm="1">
        <f t="array" ref="B272">TrajectoryToComeUp(B$247:B$250,$A272)</f>
        <v>1.3899698858029397</v>
      </c>
      <c r="C272" s="2" cm="1">
        <f t="array" ref="C272">TrajectoryToComeUp(C$247:C$250,$A272)</f>
        <v>1.4697405977987901</v>
      </c>
      <c r="D272" s="2" cm="1">
        <f t="array" ref="D272">TrajectoryToComeUp(D$247:D$250,$A272)</f>
        <v>1.26699227310949</v>
      </c>
      <c r="E272" s="2" cm="1">
        <f t="array" ref="E272">TrajectoryToComeUp(E$247:E$250,$A272)</f>
        <v>1.0836554764547783</v>
      </c>
      <c r="F272" s="2" cm="1">
        <f t="array" ref="F272">TrajectoryToComeUp(F$247:F$250,$A272)</f>
        <v>1.1109782350185515E-2</v>
      </c>
      <c r="G272" s="2" cm="1">
        <f t="array" ref="G272">TrajectoryToComeUp(G$247:G$250,$A272)</f>
        <v>-1.2503519361359963</v>
      </c>
      <c r="H272" s="2" cm="1">
        <f t="array" ref="H272">TrajectoryToComeUp(H$247:H$250,$A272)</f>
        <v>-2.936935167112539</v>
      </c>
      <c r="I272" s="2" cm="1">
        <f t="array" ref="I272">EvaluatePolynomial(I$247:I$250,$A272)</f>
        <v>2235.5558671205945</v>
      </c>
      <c r="J272" s="2" cm="1">
        <f t="array" ref="J272">EvaluatePolynomial(J$247:J$250,$A272)</f>
        <v>2250.9233277528465</v>
      </c>
      <c r="K272" s="1"/>
      <c r="L272" s="1">
        <f t="shared" si="2"/>
        <v>15.367460632252005</v>
      </c>
      <c r="M272" s="42">
        <f t="shared" si="3"/>
        <v>6.8505658734857927E-3</v>
      </c>
      <c r="O272" s="1"/>
    </row>
    <row r="273" spans="1:15" x14ac:dyDescent="0.25">
      <c r="A273" s="1">
        <v>325</v>
      </c>
      <c r="B273" s="2" cm="1">
        <f t="array" ref="B273">TrajectoryToComeUp(B$247:B$250,$A273)</f>
        <v>1.7227138750575803</v>
      </c>
      <c r="C273" s="2" cm="1">
        <f t="array" ref="C273">TrajectoryToComeUp(C$247:C$250,$A273)</f>
        <v>1.7763507847807272</v>
      </c>
      <c r="D273" s="2" cm="1">
        <f t="array" ref="D273">TrajectoryToComeUp(D$247:D$250,$A273)</f>
        <v>1.5636063225974692</v>
      </c>
      <c r="E273" s="2" cm="1">
        <f t="array" ref="E273">TrajectoryToComeUp(E$247:E$250,$A273)</f>
        <v>1.3778782011137019</v>
      </c>
      <c r="F273" s="2" cm="1">
        <f t="array" ref="F273">TrajectoryToComeUp(F$247:F$250,$A273)</f>
        <v>0.30124478868959259</v>
      </c>
      <c r="G273" s="2" cm="1">
        <f t="array" ref="G273">TrajectoryToComeUp(G$247:G$250,$A273)</f>
        <v>-0.96731766667647867</v>
      </c>
      <c r="H273" s="2" cm="1">
        <f t="array" ref="H273">TrajectoryToComeUp(H$247:H$250,$A273)</f>
        <v>-2.6305573343043429</v>
      </c>
      <c r="I273" s="2" cm="1">
        <f t="array" ref="I273">EvaluatePolynomial(I$247:I$250,$A273)</f>
        <v>2085.802708002037</v>
      </c>
      <c r="J273" s="2" cm="1">
        <f t="array" ref="J273">EvaluatePolynomial(J$247:J$250,$A273)</f>
        <v>2103.6478118880859</v>
      </c>
      <c r="K273" s="1"/>
      <c r="L273" s="1">
        <f t="shared" si="2"/>
        <v>17.845103886048946</v>
      </c>
      <c r="M273" s="42">
        <f t="shared" si="3"/>
        <v>8.5190665464725309E-3</v>
      </c>
      <c r="O273" s="1"/>
    </row>
    <row r="274" spans="1:15" x14ac:dyDescent="0.25">
      <c r="A274" s="1">
        <v>350</v>
      </c>
      <c r="B274" s="2" cm="1">
        <f t="array" ref="B274">TrajectoryToComeUp(B$247:B$250,$A274)</f>
        <v>2.0731413282625222</v>
      </c>
      <c r="C274" s="2" cm="1">
        <f t="array" ref="C274">TrajectoryToComeUp(C$247:C$250,$A274)</f>
        <v>2.1094680695639685</v>
      </c>
      <c r="D274" s="2" cm="1">
        <f t="array" ref="D274">TrajectoryToComeUp(D$247:D$250,$A274)</f>
        <v>1.8785393678632396</v>
      </c>
      <c r="E274" s="2" cm="1">
        <f t="array" ref="E274">TrajectoryToComeUp(E$247:E$250,$A274)</f>
        <v>1.6832651523051489</v>
      </c>
      <c r="F274" s="2" cm="1">
        <f t="array" ref="F274">TrajectoryToComeUp(F$247:F$250,$A274)</f>
        <v>0.60525875057190914</v>
      </c>
      <c r="G274" s="2" cm="1">
        <f t="array" ref="G274">TrajectoryToComeUp(G$247:G$250,$A274)</f>
        <v>-0.66889952784093265</v>
      </c>
      <c r="H274" s="2" cm="1">
        <f t="array" ref="H274">TrajectoryToComeUp(H$247:H$250,$A274)</f>
        <v>-2.3077895199596492</v>
      </c>
      <c r="I274" s="2" cm="1">
        <f t="array" ref="I274">EvaluatePolynomial(I$247:I$250,$A274)</f>
        <v>1944.9451626306386</v>
      </c>
      <c r="J274" s="2" cm="1">
        <f t="array" ref="J274">EvaluatePolynomial(J$247:J$250,$A274)</f>
        <v>1964.5980134790193</v>
      </c>
      <c r="K274" s="1"/>
      <c r="L274" s="1">
        <f t="shared" si="2"/>
        <v>19.652850848380695</v>
      </c>
      <c r="M274" s="42">
        <f t="shared" si="3"/>
        <v>1.0053783760964637E-2</v>
      </c>
      <c r="O274" s="1"/>
    </row>
    <row r="275" spans="1:15" x14ac:dyDescent="0.25">
      <c r="A275" s="1">
        <v>375</v>
      </c>
      <c r="B275" s="2" cm="1">
        <f t="array" ref="B275">TrajectoryToComeUp(B$247:B$250,$A275)</f>
        <v>2.4409322419260371</v>
      </c>
      <c r="C275" s="2" cm="1">
        <f t="array" ref="C275">TrajectoryToComeUp(C$247:C$250,$A275)</f>
        <v>2.4688510467384184</v>
      </c>
      <c r="D275" s="2" cm="1">
        <f t="array" ref="D275">TrajectoryToComeUp(D$247:D$250,$A275)</f>
        <v>2.2114726041718842</v>
      </c>
      <c r="E275" s="2" cm="1">
        <f t="array" ref="E275">TrajectoryToComeUp(E$247:E$250,$A275)</f>
        <v>1.9993990974297597</v>
      </c>
      <c r="F275" s="2" cm="1">
        <f t="array" ref="F275">TrajectoryToComeUp(F$247:F$250,$A275)</f>
        <v>0.9227653014722641</v>
      </c>
      <c r="G275" s="2" cm="1">
        <f t="array" ref="G275">TrajectoryToComeUp(G$247:G$250,$A275)</f>
        <v>-0.35545096819366168</v>
      </c>
      <c r="H275" s="2" cm="1">
        <f t="array" ref="H275">TrajectoryToComeUp(H$247:H$250,$A275)</f>
        <v>-1.9690330135055252</v>
      </c>
      <c r="I275" s="2" cm="1">
        <f t="array" ref="I275">EvaluatePolynomial(I$247:I$250,$A275)</f>
        <v>1812.8284832464194</v>
      </c>
      <c r="J275" s="2" cm="1">
        <f t="array" ref="J275">EvaluatePolynomial(J$247:J$250,$A275)</f>
        <v>1833.5229906122345</v>
      </c>
      <c r="K275" s="1"/>
      <c r="L275" s="1">
        <f t="shared" si="2"/>
        <v>20.69450736581507</v>
      </c>
      <c r="M275" s="42">
        <f t="shared" si="3"/>
        <v>1.1350802309748633E-2</v>
      </c>
      <c r="O275" s="1"/>
    </row>
    <row r="276" spans="1:15" x14ac:dyDescent="0.25">
      <c r="A276" s="1">
        <v>400</v>
      </c>
      <c r="B276" s="2" cm="1">
        <f t="array" ref="B276">TrajectoryToComeUp(B$247:B$250,$A276)</f>
        <v>2.825846613429329</v>
      </c>
      <c r="C276" s="2" cm="1">
        <f t="array" ref="C276">TrajectoryToComeUp(C$247:C$250,$A276)</f>
        <v>2.8543186622465067</v>
      </c>
      <c r="D276" s="2" cm="1">
        <f t="array" ref="D276">TrajectoryToComeUp(D$247:D$250,$A276)</f>
        <v>2.562166927972215</v>
      </c>
      <c r="E276" s="2" cm="1">
        <f t="array" ref="E276">TrajectoryToComeUp(E$247:E$250,$A276)</f>
        <v>2.3259671120380139</v>
      </c>
      <c r="F276" s="2" cm="1">
        <f t="array" ref="F276">TrajectoryToComeUp(F$247:F$250,$A276)</f>
        <v>1.2534746664970051</v>
      </c>
      <c r="G276" s="2" cm="1">
        <f t="array" ref="G276">TrajectoryToComeUp(G$247:G$250,$A276)</f>
        <v>-2.7237074157894104E-2</v>
      </c>
      <c r="H276" s="2" cm="1">
        <f t="array" ref="H276">TrajectoryToComeUp(H$247:H$250,$A276)</f>
        <v>-1.6145887820122728</v>
      </c>
      <c r="I276" s="2" cm="1">
        <f t="array" ref="I276">EvaluatePolynomial(I$247:I$250,$A276)</f>
        <v>1689.2979220893972</v>
      </c>
      <c r="J276" s="2" cm="1">
        <f t="array" ref="J276">EvaluatePolynomial(J$247:J$250,$A276)</f>
        <v>1710.1718013743177</v>
      </c>
      <c r="K276" s="1"/>
      <c r="L276" s="1">
        <f t="shared" si="2"/>
        <v>20.873879284920577</v>
      </c>
      <c r="M276" s="42">
        <f t="shared" si="3"/>
        <v>1.2280667858781345E-2</v>
      </c>
      <c r="O276" s="1"/>
    </row>
    <row r="277" spans="1:15" x14ac:dyDescent="0.25">
      <c r="A277" s="1">
        <v>425</v>
      </c>
      <c r="B277" s="2" cm="1">
        <f t="array" ref="B277">TrajectoryToComeUp(B$247:B$250,$A277)</f>
        <v>3.2277009113580259</v>
      </c>
      <c r="C277" s="2" cm="1">
        <f t="array" ref="C277">TrajectoryToComeUp(C$247:C$250,$A277)</f>
        <v>3.265732462985385</v>
      </c>
      <c r="D277" s="2" cm="1">
        <f t="array" ref="D277">TrajectoryToComeUp(D$247:D$250,$A277)</f>
        <v>2.9304394953721462</v>
      </c>
      <c r="E277" s="2" cm="1">
        <f t="array" ref="E277">TrajectoryToComeUp(E$247:E$250,$A277)</f>
        <v>2.6627299009626344</v>
      </c>
      <c r="F277" s="2" cm="1">
        <f t="array" ref="F277">TrajectoryToComeUp(F$247:F$250,$A277)</f>
        <v>1.5971652530803975</v>
      </c>
      <c r="G277" s="2" cm="1">
        <f t="array" ref="G277">TrajectoryToComeUp(G$247:G$250,$A277)</f>
        <v>0.31553944111919552</v>
      </c>
      <c r="H277" s="2" cm="1">
        <f t="array" ref="H277">TrajectoryToComeUp(H$247:H$250,$A277)</f>
        <v>-1.2446869767689464</v>
      </c>
      <c r="I277" s="2" cm="1">
        <f t="array" ref="I277">EvaluatePolynomial(I$247:I$250,$A277)</f>
        <v>1574.1987313995928</v>
      </c>
      <c r="J277" s="2" cm="1">
        <f t="array" ref="J277">EvaluatePolynomial(J$247:J$250,$A277)</f>
        <v>1594.2935038518551</v>
      </c>
      <c r="K277" s="1"/>
      <c r="L277" s="1">
        <f t="shared" si="2"/>
        <v>20.094772452262305</v>
      </c>
      <c r="M277" s="42">
        <f t="shared" si="3"/>
        <v>1.2684122895234179E-2</v>
      </c>
      <c r="O277" s="1"/>
    </row>
    <row r="278" spans="1:15" x14ac:dyDescent="0.25">
      <c r="A278" s="1">
        <v>450</v>
      </c>
      <c r="B278" s="2" cm="1">
        <f t="array" ref="B278">TrajectoryToComeUp(B$247:B$250,$A278)</f>
        <v>3.6463523890565006</v>
      </c>
      <c r="C278" s="2" cm="1">
        <f t="array" ref="C278">TrajectoryToComeUp(C$247:C$250,$A278)</f>
        <v>3.7029847632083936</v>
      </c>
      <c r="D278" s="2" cm="1">
        <f t="array" ref="D278">TrajectoryToComeUp(D$247:D$250,$A278)</f>
        <v>3.3161480944556119</v>
      </c>
      <c r="E278" s="2" cm="1">
        <f t="array" ref="E278">TrajectoryToComeUp(E$247:E$250,$A278)</f>
        <v>3.0095013457401794</v>
      </c>
      <c r="F278" s="2" cm="1">
        <f t="array" ref="F278">TrajectoryToComeUp(F$247:F$250,$A278)</f>
        <v>1.9536647114490924</v>
      </c>
      <c r="G278" s="2" cm="1">
        <f t="array" ref="G278">TrajectoryToComeUp(G$247:G$250,$A278)</f>
        <v>0.67272091185647165</v>
      </c>
      <c r="H278" s="2" cm="1">
        <f t="array" ref="H278">TrajectoryToComeUp(H$247:H$250,$A278)</f>
        <v>-0.85950660433369741</v>
      </c>
      <c r="I278" s="2" cm="1">
        <f t="array" ref="I278">EvaluatePolynomial(I$247:I$250,$A278)</f>
        <v>1467.3761634170244</v>
      </c>
      <c r="J278" s="2" cm="1">
        <f t="array" ref="J278">EvaluatePolynomial(J$247:J$250,$A278)</f>
        <v>1485.637156131434</v>
      </c>
      <c r="K278" s="1"/>
      <c r="L278" s="1">
        <f t="shared" si="2"/>
        <v>18.260992714409667</v>
      </c>
      <c r="M278" s="42">
        <f t="shared" si="3"/>
        <v>1.236770087931871E-2</v>
      </c>
      <c r="O278" s="1"/>
    </row>
    <row r="279" spans="1:15" x14ac:dyDescent="0.25">
      <c r="A279" s="1">
        <v>475</v>
      </c>
      <c r="B279" s="2" cm="1">
        <f t="array" ref="B279">TrajectoryToComeUp(B$247:B$250,$A279)</f>
        <v>4.0816883517966325</v>
      </c>
      <c r="C279" s="2" cm="1">
        <f t="array" ref="C279">TrajectoryToComeUp(C$247:C$250,$A279)</f>
        <v>4.1659905478523793</v>
      </c>
      <c r="D279" s="2" cm="1">
        <f t="array" ref="D279">TrajectoryToComeUp(D$247:D$250,$A279)</f>
        <v>3.7191804526572967</v>
      </c>
      <c r="E279" s="2" cm="1">
        <f t="array" ref="E279">TrajectoryToComeUp(E$247:E$250,$A279)</f>
        <v>3.3661345107416185</v>
      </c>
      <c r="F279" s="2" cm="1">
        <f t="array" ref="F279">TrajectoryToComeUp(F$247:F$250,$A279)</f>
        <v>2.3228369759925513</v>
      </c>
      <c r="G279" s="2" cm="1">
        <f t="array" ref="G279">TrajectoryToComeUp(G$247:G$250,$A279)</f>
        <v>1.0441828650688265</v>
      </c>
      <c r="H279" s="2" cm="1">
        <f t="array" ref="H279">TrajectoryToComeUp(H$247:H$250,$A279)</f>
        <v>-0.45918898567349054</v>
      </c>
      <c r="I279" s="2" cm="1">
        <f t="array" ref="I279">EvaluatePolynomial(I$247:I$250,$A279)</f>
        <v>1368.6754703817119</v>
      </c>
      <c r="J279" s="2" cm="1">
        <f t="array" ref="J279">EvaluatePolynomial(J$247:J$250,$A279)</f>
        <v>1383.9518162996412</v>
      </c>
      <c r="K279" s="1"/>
      <c r="L279" s="1">
        <f t="shared" si="2"/>
        <v>15.276345917929348</v>
      </c>
      <c r="M279" s="42">
        <f t="shared" si="3"/>
        <v>1.1099465584639284E-2</v>
      </c>
      <c r="O279" s="1"/>
    </row>
    <row r="280" spans="1:15" x14ac:dyDescent="0.25">
      <c r="A280" s="1">
        <v>500</v>
      </c>
      <c r="B280" s="2" cm="1">
        <f t="array" ref="B280">TrajectoryToComeUp(B$247:B$250,$A280)</f>
        <v>4.5336186437959194</v>
      </c>
      <c r="C280" s="2" cm="1">
        <f t="array" ref="C280">TrajectoryToComeUp(C$247:C$250,$A280)</f>
        <v>4.6546818048668195</v>
      </c>
      <c r="D280" s="2" cm="1">
        <f t="array" ref="D280">TrajectoryToComeUp(D$247:D$250,$A280)</f>
        <v>4.1394467519249476</v>
      </c>
      <c r="E280" s="2" cm="1">
        <f t="array" ref="E280">TrajectoryToComeUp(E$247:E$250,$A280)</f>
        <v>3.732511847463726</v>
      </c>
      <c r="F280" s="2" cm="1">
        <f t="array" ref="F280">TrajectoryToComeUp(F$247:F$250,$A280)</f>
        <v>2.7045731942223439</v>
      </c>
      <c r="G280" s="2" cm="1">
        <f t="array" ref="G280">TrajectoryToComeUp(G$247:G$250,$A280)</f>
        <v>1.4298257223681761</v>
      </c>
      <c r="H280" s="2" cm="1">
        <f t="array" ref="H280">TrajectoryToComeUp(H$247:H$250,$A280)</f>
        <v>-4.3847177561894171E-2</v>
      </c>
      <c r="I280" s="2" cm="1">
        <f t="array" ref="I280">EvaluatePolynomial(I$247:I$250,$A280)</f>
        <v>1277.9419045336749</v>
      </c>
      <c r="J280" s="2" cm="1">
        <f t="array" ref="J280">EvaluatePolynomial(J$247:J$250,$A280)</f>
        <v>1288.9865424430629</v>
      </c>
      <c r="K280" s="1"/>
      <c r="L280" s="1">
        <f t="shared" si="2"/>
        <v>11.04463790938803</v>
      </c>
      <c r="M280" s="42">
        <f t="shared" si="3"/>
        <v>8.6053336799443072E-3</v>
      </c>
      <c r="O280" s="1"/>
    </row>
    <row r="281" spans="1:15" x14ac:dyDescent="0.25">
      <c r="L281" s="1"/>
    </row>
    <row r="304" spans="1:9" x14ac:dyDescent="0.25">
      <c r="A304" t="s">
        <v>12</v>
      </c>
      <c r="B304" t="s">
        <v>13</v>
      </c>
      <c r="C304" t="s">
        <v>14</v>
      </c>
      <c r="D304" t="s">
        <v>15</v>
      </c>
      <c r="E304" t="s">
        <v>16</v>
      </c>
      <c r="F304" t="s">
        <v>17</v>
      </c>
      <c r="G304" t="s">
        <v>37</v>
      </c>
      <c r="H304" t="s">
        <v>38</v>
      </c>
      <c r="I304" t="s">
        <v>39</v>
      </c>
    </row>
    <row r="305" spans="1:9" x14ac:dyDescent="0.25">
      <c r="A305">
        <v>0</v>
      </c>
      <c r="B305">
        <v>856</v>
      </c>
      <c r="C305">
        <v>4754</v>
      </c>
      <c r="D305">
        <v>-3.8</v>
      </c>
      <c r="E305">
        <v>0</v>
      </c>
      <c r="F305">
        <v>0</v>
      </c>
      <c r="G305">
        <v>0</v>
      </c>
      <c r="H305">
        <v>0</v>
      </c>
      <c r="I305">
        <v>0</v>
      </c>
    </row>
    <row r="306" spans="1:9" x14ac:dyDescent="0.25">
      <c r="A306">
        <v>25</v>
      </c>
      <c r="B306">
        <v>831</v>
      </c>
      <c r="C306">
        <v>4475</v>
      </c>
      <c r="D306">
        <v>-1.5</v>
      </c>
      <c r="E306">
        <v>2</v>
      </c>
      <c r="F306">
        <v>0.6</v>
      </c>
      <c r="G306">
        <v>0</v>
      </c>
      <c r="H306">
        <v>0</v>
      </c>
      <c r="I306">
        <v>0</v>
      </c>
    </row>
    <row r="307" spans="1:9" x14ac:dyDescent="0.25">
      <c r="A307">
        <v>50</v>
      </c>
      <c r="B307">
        <v>806</v>
      </c>
      <c r="C307">
        <v>4212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</row>
    <row r="308" spans="1:9" x14ac:dyDescent="0.25">
      <c r="A308">
        <v>75</v>
      </c>
      <c r="B308">
        <v>782</v>
      </c>
      <c r="C308">
        <v>3961</v>
      </c>
      <c r="D308">
        <v>0.5</v>
      </c>
      <c r="E308">
        <v>-0.2</v>
      </c>
      <c r="F308">
        <v>-0.1</v>
      </c>
      <c r="G308">
        <v>0</v>
      </c>
      <c r="H308">
        <v>0</v>
      </c>
      <c r="I308">
        <v>0</v>
      </c>
    </row>
    <row r="309" spans="1:9" x14ac:dyDescent="0.25">
      <c r="A309">
        <v>100</v>
      </c>
      <c r="B309">
        <v>758</v>
      </c>
      <c r="C309">
        <v>3721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</row>
    <row r="310" spans="1:9" x14ac:dyDescent="0.25">
      <c r="A310">
        <v>125</v>
      </c>
      <c r="B310">
        <v>734</v>
      </c>
      <c r="C310">
        <v>3494</v>
      </c>
      <c r="D310">
        <v>-1.7</v>
      </c>
      <c r="E310">
        <v>0.5</v>
      </c>
      <c r="F310">
        <v>0.1</v>
      </c>
      <c r="G310">
        <v>0</v>
      </c>
      <c r="H310">
        <v>0</v>
      </c>
      <c r="I310">
        <v>0</v>
      </c>
    </row>
    <row r="311" spans="1:9" x14ac:dyDescent="0.25">
      <c r="A311">
        <v>150</v>
      </c>
      <c r="B311">
        <v>711</v>
      </c>
      <c r="C311">
        <v>3277</v>
      </c>
      <c r="D311">
        <v>-4.5</v>
      </c>
      <c r="E311">
        <v>1</v>
      </c>
      <c r="F311">
        <v>0.3</v>
      </c>
      <c r="G311">
        <v>0</v>
      </c>
      <c r="H311">
        <v>0</v>
      </c>
      <c r="I311">
        <v>0</v>
      </c>
    </row>
    <row r="312" spans="1:9" x14ac:dyDescent="0.25">
      <c r="A312">
        <v>175</v>
      </c>
      <c r="B312">
        <v>688</v>
      </c>
      <c r="C312">
        <v>3071</v>
      </c>
      <c r="D312">
        <v>-8.5</v>
      </c>
      <c r="E312">
        <v>1.7</v>
      </c>
      <c r="F312">
        <v>0.5</v>
      </c>
      <c r="G312">
        <v>0</v>
      </c>
      <c r="H312">
        <v>0</v>
      </c>
      <c r="I312">
        <v>0</v>
      </c>
    </row>
    <row r="313" spans="1:9" x14ac:dyDescent="0.25">
      <c r="A313">
        <v>200</v>
      </c>
      <c r="B313">
        <v>666</v>
      </c>
      <c r="C313">
        <v>2874</v>
      </c>
      <c r="D313">
        <v>-14</v>
      </c>
      <c r="E313">
        <v>2.4</v>
      </c>
      <c r="F313">
        <v>0.7</v>
      </c>
      <c r="G313">
        <v>0</v>
      </c>
      <c r="H313">
        <v>0</v>
      </c>
      <c r="I313">
        <v>0</v>
      </c>
    </row>
    <row r="314" spans="1:9" x14ac:dyDescent="0.25">
      <c r="A314">
        <v>225</v>
      </c>
      <c r="B314">
        <v>644</v>
      </c>
      <c r="C314">
        <v>2688</v>
      </c>
      <c r="D314">
        <v>-20.8</v>
      </c>
      <c r="E314">
        <v>3.2</v>
      </c>
      <c r="F314">
        <v>0.9</v>
      </c>
      <c r="G314">
        <v>0</v>
      </c>
      <c r="H314">
        <v>0</v>
      </c>
      <c r="I314">
        <v>0</v>
      </c>
    </row>
    <row r="315" spans="1:9" x14ac:dyDescent="0.25">
      <c r="A315">
        <v>250</v>
      </c>
      <c r="B315">
        <v>623</v>
      </c>
      <c r="C315">
        <v>2512</v>
      </c>
      <c r="D315">
        <v>-29.1</v>
      </c>
      <c r="E315">
        <v>4</v>
      </c>
      <c r="F315">
        <v>1.2</v>
      </c>
      <c r="G315">
        <v>0</v>
      </c>
      <c r="H315">
        <v>0</v>
      </c>
      <c r="I315">
        <v>0</v>
      </c>
    </row>
    <row r="316" spans="1:9" x14ac:dyDescent="0.25">
      <c r="A316">
        <v>275</v>
      </c>
      <c r="B316">
        <v>601</v>
      </c>
      <c r="C316">
        <v>2344</v>
      </c>
      <c r="D316">
        <v>-39.4</v>
      </c>
      <c r="E316">
        <v>4.9000000000000004</v>
      </c>
      <c r="F316">
        <v>1.4</v>
      </c>
      <c r="G316">
        <v>0</v>
      </c>
      <c r="H316">
        <v>0</v>
      </c>
      <c r="I316">
        <v>0</v>
      </c>
    </row>
    <row r="317" spans="1:9" x14ac:dyDescent="0.25">
      <c r="A317">
        <v>300</v>
      </c>
      <c r="B317">
        <v>581</v>
      </c>
      <c r="C317">
        <v>2186</v>
      </c>
      <c r="D317">
        <v>-51.2</v>
      </c>
      <c r="E317">
        <v>5.9</v>
      </c>
      <c r="F317">
        <v>1.7</v>
      </c>
      <c r="G317">
        <v>0</v>
      </c>
      <c r="H317">
        <v>0</v>
      </c>
      <c r="I317">
        <v>0</v>
      </c>
    </row>
    <row r="318" spans="1:9" x14ac:dyDescent="0.25">
      <c r="A318">
        <v>325</v>
      </c>
      <c r="B318">
        <v>561</v>
      </c>
      <c r="C318">
        <v>2037</v>
      </c>
      <c r="D318">
        <v>-64.900000000000006</v>
      </c>
      <c r="E318">
        <v>6.9</v>
      </c>
      <c r="F318">
        <v>2</v>
      </c>
      <c r="G318">
        <v>0</v>
      </c>
      <c r="H318">
        <v>0</v>
      </c>
      <c r="I318">
        <v>0</v>
      </c>
    </row>
    <row r="319" spans="1:9" x14ac:dyDescent="0.25">
      <c r="A319">
        <v>350</v>
      </c>
      <c r="B319">
        <v>541</v>
      </c>
      <c r="C319">
        <v>1896</v>
      </c>
      <c r="D319">
        <v>-81.400000000000006</v>
      </c>
      <c r="E319">
        <v>8</v>
      </c>
      <c r="F319">
        <v>2.2999999999999998</v>
      </c>
      <c r="G319">
        <v>0</v>
      </c>
      <c r="H319">
        <v>0</v>
      </c>
      <c r="I319">
        <v>0</v>
      </c>
    </row>
    <row r="320" spans="1:9" x14ac:dyDescent="0.25">
      <c r="A320">
        <v>375</v>
      </c>
      <c r="B320">
        <v>522</v>
      </c>
      <c r="C320">
        <v>1764</v>
      </c>
      <c r="D320">
        <v>-99.5</v>
      </c>
      <c r="E320">
        <v>9.1</v>
      </c>
      <c r="F320">
        <v>2.7</v>
      </c>
      <c r="G320">
        <v>0</v>
      </c>
      <c r="H320">
        <v>0</v>
      </c>
      <c r="I320">
        <v>0</v>
      </c>
    </row>
    <row r="321" spans="1:9" x14ac:dyDescent="0.25">
      <c r="A321">
        <v>400</v>
      </c>
      <c r="B321">
        <v>503</v>
      </c>
      <c r="C321">
        <v>1641</v>
      </c>
      <c r="D321">
        <v>-120</v>
      </c>
      <c r="E321">
        <v>10.3</v>
      </c>
      <c r="F321">
        <v>3</v>
      </c>
      <c r="G321">
        <v>0</v>
      </c>
      <c r="H321">
        <v>0</v>
      </c>
      <c r="I321">
        <v>0</v>
      </c>
    </row>
    <row r="322" spans="1:9" x14ac:dyDescent="0.25">
      <c r="A322">
        <v>425</v>
      </c>
      <c r="B322">
        <v>485</v>
      </c>
      <c r="C322">
        <v>1525</v>
      </c>
      <c r="D322">
        <v>-144.1</v>
      </c>
      <c r="E322">
        <v>11.7</v>
      </c>
      <c r="F322">
        <v>3.4</v>
      </c>
      <c r="G322">
        <v>0</v>
      </c>
      <c r="H322">
        <v>0</v>
      </c>
      <c r="I322">
        <v>0</v>
      </c>
    </row>
    <row r="323" spans="1:9" x14ac:dyDescent="0.25">
      <c r="A323">
        <v>450</v>
      </c>
      <c r="B323">
        <v>468</v>
      </c>
      <c r="C323">
        <v>1417</v>
      </c>
      <c r="D323">
        <v>-170.3</v>
      </c>
      <c r="E323">
        <v>13</v>
      </c>
      <c r="F323">
        <v>3.8</v>
      </c>
      <c r="G323">
        <v>0</v>
      </c>
      <c r="H323">
        <v>0</v>
      </c>
      <c r="I323">
        <v>0</v>
      </c>
    </row>
    <row r="324" spans="1:9" x14ac:dyDescent="0.25">
      <c r="A324">
        <v>475</v>
      </c>
      <c r="B324">
        <v>451</v>
      </c>
      <c r="C324">
        <v>1317</v>
      </c>
      <c r="D324">
        <v>-199.5</v>
      </c>
      <c r="E324">
        <v>14.4</v>
      </c>
      <c r="F324">
        <v>4.2</v>
      </c>
      <c r="G324">
        <v>0</v>
      </c>
      <c r="H324">
        <v>0</v>
      </c>
      <c r="I324">
        <v>0</v>
      </c>
    </row>
    <row r="325" spans="1:9" x14ac:dyDescent="0.25">
      <c r="A325">
        <v>500</v>
      </c>
      <c r="B325">
        <v>435</v>
      </c>
      <c r="C325">
        <v>1228</v>
      </c>
      <c r="D325">
        <v>-232.1</v>
      </c>
      <c r="E325">
        <v>16</v>
      </c>
      <c r="F325">
        <v>4.5999999999999996</v>
      </c>
      <c r="G325">
        <v>0</v>
      </c>
      <c r="H325">
        <v>0</v>
      </c>
      <c r="I325">
        <v>0</v>
      </c>
    </row>
  </sheetData>
  <mergeCells count="7">
    <mergeCell ref="B256:H256"/>
    <mergeCell ref="I256:K256"/>
    <mergeCell ref="F1:I1"/>
    <mergeCell ref="C20:G20"/>
    <mergeCell ref="J20:N20"/>
    <mergeCell ref="B255:H255"/>
    <mergeCell ref="L255:O255"/>
  </mergeCells>
  <pageMargins left="0.7" right="0.7" top="0.75" bottom="0.75" header="0.3" footer="0.3"/>
  <pageSetup orientation="portrait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674D47-F432-4863-9EF4-99AB69591884}">
  <sheetPr codeName="Sheet2"/>
  <dimension ref="A1:S280"/>
  <sheetViews>
    <sheetView topLeftCell="A51" workbookViewId="0">
      <selection activeCell="E19" sqref="E19"/>
    </sheetView>
  </sheetViews>
  <sheetFormatPr defaultRowHeight="15" x14ac:dyDescent="0.25"/>
  <cols>
    <col min="1" max="1" width="34.5703125" customWidth="1"/>
    <col min="2" max="2" width="26.28515625" customWidth="1"/>
    <col min="3" max="3" width="21.5703125" customWidth="1"/>
    <col min="4" max="4" width="16.42578125" customWidth="1"/>
    <col min="5" max="5" width="15.140625" customWidth="1"/>
    <col min="6" max="6" width="22.42578125" customWidth="1"/>
    <col min="7" max="7" width="13.42578125" customWidth="1"/>
    <col min="8" max="8" width="17.140625" customWidth="1"/>
    <col min="9" max="9" width="19.7109375" customWidth="1"/>
    <col min="10" max="10" width="18.85546875" customWidth="1"/>
    <col min="11" max="11" width="14.5703125" customWidth="1"/>
    <col min="12" max="12" width="13.5703125" customWidth="1"/>
    <col min="13" max="13" width="13.28515625" customWidth="1"/>
    <col min="14" max="14" width="14" customWidth="1"/>
    <col min="15" max="15" width="16.140625" customWidth="1"/>
    <col min="16" max="16" width="22.5703125" customWidth="1"/>
    <col min="17" max="17" width="19.5703125" customWidth="1"/>
    <col min="18" max="18" width="14.28515625" customWidth="1"/>
    <col min="19" max="19" width="15.140625" customWidth="1"/>
    <col min="20" max="20" width="17" customWidth="1"/>
  </cols>
  <sheetData>
    <row r="1" spans="1:9" x14ac:dyDescent="0.25">
      <c r="A1" t="s">
        <v>18</v>
      </c>
      <c r="B1" t="s">
        <v>31</v>
      </c>
      <c r="C1" t="s">
        <v>36</v>
      </c>
      <c r="D1" t="s">
        <v>28</v>
      </c>
      <c r="F1" s="47" t="s">
        <v>66</v>
      </c>
      <c r="G1" s="47"/>
      <c r="H1" s="47"/>
      <c r="I1" s="47"/>
    </row>
    <row r="2" spans="1:9" x14ac:dyDescent="0.25">
      <c r="A2" t="s">
        <v>20</v>
      </c>
      <c r="B2" s="2">
        <v>150</v>
      </c>
      <c r="C2" s="2">
        <f>CONVERT($B$2,"grain","g")</f>
        <v>9.7198364999999995</v>
      </c>
      <c r="F2" t="s">
        <v>67</v>
      </c>
      <c r="G2" s="2">
        <v>150</v>
      </c>
      <c r="H2" s="2">
        <f>CONVERT($G$2,"grain","g")</f>
        <v>9.7198364999999995</v>
      </c>
    </row>
    <row r="3" spans="1:9" x14ac:dyDescent="0.25">
      <c r="A3" t="s">
        <v>0</v>
      </c>
      <c r="B3" s="2">
        <v>0.308</v>
      </c>
      <c r="C3" s="2">
        <f>CONVERT($B$3,"in","cm")</f>
        <v>0.78232000000000002</v>
      </c>
      <c r="F3" t="s">
        <v>68</v>
      </c>
      <c r="G3" s="2">
        <v>0.26400000000000001</v>
      </c>
      <c r="H3" s="2">
        <f>CONVERT($G$3,"in","mm")</f>
        <v>6.7055999999999996</v>
      </c>
    </row>
    <row r="4" spans="1:9" x14ac:dyDescent="0.25">
      <c r="A4" t="s">
        <v>11</v>
      </c>
      <c r="B4" s="2">
        <v>0.38900000000000001</v>
      </c>
      <c r="C4" s="2"/>
      <c r="F4" t="s">
        <v>11</v>
      </c>
      <c r="G4" s="2"/>
      <c r="H4" s="2"/>
    </row>
    <row r="5" spans="1:9" x14ac:dyDescent="0.25">
      <c r="A5" t="s">
        <v>21</v>
      </c>
      <c r="B5" s="2">
        <v>0.38900000000000001</v>
      </c>
      <c r="C5" s="2"/>
      <c r="F5" t="s">
        <v>21</v>
      </c>
      <c r="G5" s="2">
        <v>0.38900000000000001</v>
      </c>
      <c r="H5" s="2"/>
    </row>
    <row r="6" spans="1:9" x14ac:dyDescent="0.25">
      <c r="A6" t="s">
        <v>22</v>
      </c>
      <c r="B6" s="2">
        <v>4481</v>
      </c>
      <c r="C6" s="2">
        <f>CONVERT($B$6,"J","flb")</f>
        <v>3305.0159909114263</v>
      </c>
      <c r="F6" t="s">
        <v>70</v>
      </c>
      <c r="G6" s="2">
        <f>CONVERT($H$6,"J","flb")</f>
        <v>2723.8900716787653</v>
      </c>
      <c r="H6" s="2">
        <f>($C$2/1000)*$H$7*$H$7/2</f>
        <v>3693.099048463775</v>
      </c>
    </row>
    <row r="7" spans="1:9" x14ac:dyDescent="0.25">
      <c r="A7" t="s">
        <v>19</v>
      </c>
      <c r="B7" s="2">
        <f xml:space="preserve"> SQRT(2*$B$6/(CONVERT($B$2,"grain","g")/1000))</f>
        <v>960.22495822267649</v>
      </c>
      <c r="C7" s="2">
        <f>CONVERT($B$7,"m","ft")</f>
        <v>3150.3443511242667</v>
      </c>
      <c r="F7" t="s">
        <v>71</v>
      </c>
      <c r="G7" s="2">
        <v>2860</v>
      </c>
      <c r="H7" s="2">
        <f>CONVERT($G$7,"ft","m")</f>
        <v>871.72799999999995</v>
      </c>
    </row>
    <row r="8" spans="1:9" x14ac:dyDescent="0.25">
      <c r="A8" t="s">
        <v>1</v>
      </c>
      <c r="B8" s="2">
        <v>0</v>
      </c>
      <c r="C8" s="2"/>
    </row>
    <row r="9" spans="1:9" x14ac:dyDescent="0.25">
      <c r="A9" t="s">
        <v>2</v>
      </c>
      <c r="B9" s="2">
        <v>8.8000000000000007</v>
      </c>
      <c r="C9" s="2">
        <f>CONVERT($B$9,"m/sec","km/hr")</f>
        <v>31.680000000000003</v>
      </c>
    </row>
    <row r="10" spans="1:9" x14ac:dyDescent="0.25">
      <c r="A10" t="s">
        <v>3</v>
      </c>
      <c r="B10" s="2">
        <v>200</v>
      </c>
      <c r="C10" s="2"/>
    </row>
    <row r="11" spans="1:9" x14ac:dyDescent="0.25">
      <c r="A11" s="32" t="s">
        <v>54</v>
      </c>
      <c r="B11" s="2">
        <v>0.5</v>
      </c>
      <c r="C11" s="33"/>
    </row>
    <row r="12" spans="1:9" x14ac:dyDescent="0.25">
      <c r="A12" s="32" t="s">
        <v>55</v>
      </c>
      <c r="B12" s="2" cm="1">
        <f t="array" ref="B12">MOAToMRAD($B$11)</f>
        <v>0.14544410433286079</v>
      </c>
      <c r="C12" s="33">
        <f>$B$12/2</f>
        <v>7.2722052166430393E-2</v>
      </c>
    </row>
    <row r="13" spans="1:9" x14ac:dyDescent="0.25">
      <c r="A13" s="32" t="s">
        <v>26</v>
      </c>
      <c r="B13" s="2">
        <f>CONVERT(1.5,"in","cm")</f>
        <v>3.81</v>
      </c>
      <c r="D13" s="2">
        <f>CONVERT($B$13,"cm","in")</f>
        <v>1.5</v>
      </c>
    </row>
    <row r="14" spans="1:9" x14ac:dyDescent="0.25">
      <c r="A14" s="32" t="s">
        <v>5</v>
      </c>
      <c r="B14" t="s">
        <v>56</v>
      </c>
    </row>
    <row r="15" spans="1:9" x14ac:dyDescent="0.25">
      <c r="A15" t="s">
        <v>57</v>
      </c>
      <c r="B15" s="31" t="s">
        <v>58</v>
      </c>
      <c r="C15" s="31" t="s">
        <v>59</v>
      </c>
      <c r="D15" s="31" t="s">
        <v>60</v>
      </c>
      <c r="E15" s="31" t="s">
        <v>61</v>
      </c>
    </row>
    <row r="16" spans="1:9" x14ac:dyDescent="0.25">
      <c r="A16" s="32" t="s">
        <v>62</v>
      </c>
      <c r="B16" s="2">
        <v>0.625</v>
      </c>
      <c r="C16">
        <f>$B16/2</f>
        <v>0.3125</v>
      </c>
      <c r="D16" s="2">
        <f>$B$16 * $B$18</f>
        <v>0.36361026083215198</v>
      </c>
      <c r="E16" s="24">
        <f>$D16/2</f>
        <v>0.18180513041607599</v>
      </c>
    </row>
    <row r="17" spans="1:17" x14ac:dyDescent="0.25">
      <c r="A17" s="32" t="s">
        <v>63</v>
      </c>
      <c r="B17" s="2">
        <v>0.25</v>
      </c>
      <c r="C17">
        <f t="shared" ref="C17" si="0">$B17/2</f>
        <v>0.125</v>
      </c>
      <c r="D17" s="2">
        <f>$B$17 * $B$18</f>
        <v>0.14544410433286079</v>
      </c>
      <c r="E17" s="24">
        <f>$D17/2</f>
        <v>7.2722052166430393E-2</v>
      </c>
    </row>
    <row r="18" spans="1:17" x14ac:dyDescent="0.25">
      <c r="A18" s="11" t="s">
        <v>64</v>
      </c>
      <c r="B18" s="12">
        <f>$B$12/$B$17</f>
        <v>0.58177641733144314</v>
      </c>
      <c r="C18" s="2"/>
      <c r="J18" s="2">
        <v>4.25</v>
      </c>
      <c r="K18" s="2">
        <v>4</v>
      </c>
      <c r="L18" s="2">
        <v>4.25</v>
      </c>
      <c r="M18" s="2">
        <v>4</v>
      </c>
      <c r="N18" s="2">
        <v>4</v>
      </c>
      <c r="O18" s="2">
        <v>4</v>
      </c>
      <c r="P18" s="2">
        <v>4</v>
      </c>
    </row>
    <row r="19" spans="1:17" x14ac:dyDescent="0.25">
      <c r="A19" s="34" t="s">
        <v>65</v>
      </c>
      <c r="B19" s="35"/>
      <c r="C19" s="2">
        <f>$C$17*0.61+$C16*0.39</f>
        <v>0.198125</v>
      </c>
      <c r="D19" s="2"/>
      <c r="E19" s="2" cm="1">
        <f t="array" ref="E19">ProbableAngularPOIError(D17,D16,B12,0.68)</f>
        <v>0.15024454823627703</v>
      </c>
      <c r="J19" s="2"/>
      <c r="K19" s="2"/>
      <c r="L19" s="2"/>
      <c r="M19" s="2"/>
      <c r="N19" s="2"/>
      <c r="O19" s="2"/>
      <c r="P19" s="2"/>
    </row>
    <row r="20" spans="1:17" x14ac:dyDescent="0.25">
      <c r="C20" s="48" t="s">
        <v>24</v>
      </c>
      <c r="D20" s="48"/>
      <c r="E20" s="48"/>
      <c r="F20" s="48"/>
      <c r="G20" s="48"/>
      <c r="H20" s="13"/>
      <c r="I20" s="13"/>
      <c r="J20" s="48" t="s">
        <v>25</v>
      </c>
      <c r="K20" s="48"/>
      <c r="L20" s="48"/>
      <c r="M20" s="48"/>
      <c r="N20" s="48"/>
      <c r="O20" s="13"/>
      <c r="P20" s="13"/>
      <c r="Q20" s="36" t="s">
        <v>29</v>
      </c>
    </row>
    <row r="21" spans="1:17" x14ac:dyDescent="0.25">
      <c r="A21" t="s">
        <v>4</v>
      </c>
      <c r="B21" t="s">
        <v>23</v>
      </c>
      <c r="C21" t="s">
        <v>6</v>
      </c>
      <c r="D21" t="s">
        <v>7</v>
      </c>
      <c r="E21" t="s">
        <v>8</v>
      </c>
      <c r="F21" t="s">
        <v>9</v>
      </c>
      <c r="G21" t="s">
        <v>10</v>
      </c>
      <c r="H21" t="s">
        <v>33</v>
      </c>
      <c r="I21" t="s">
        <v>34</v>
      </c>
      <c r="J21" s="16" t="s">
        <v>6</v>
      </c>
      <c r="K21" s="16" t="s">
        <v>7</v>
      </c>
      <c r="L21" s="16" t="s">
        <v>8</v>
      </c>
      <c r="M21" s="16" t="s">
        <v>9</v>
      </c>
      <c r="N21" s="16" t="s">
        <v>10</v>
      </c>
      <c r="O21" s="16" t="s">
        <v>33</v>
      </c>
      <c r="P21" s="37" t="s">
        <v>34</v>
      </c>
      <c r="Q21" s="36" t="s">
        <v>30</v>
      </c>
    </row>
    <row r="22" spans="1:17" x14ac:dyDescent="0.25">
      <c r="A22" s="1">
        <v>0</v>
      </c>
      <c r="B22" s="1">
        <v>4480.1000000000004</v>
      </c>
      <c r="C22" s="3"/>
      <c r="D22" s="4"/>
      <c r="E22" s="4"/>
      <c r="F22" s="4"/>
      <c r="G22" s="5"/>
      <c r="H22" s="5"/>
      <c r="I22" s="4"/>
      <c r="J22" s="8">
        <f t="shared" ref="J22:P22" si="1">$B$13*(-1)</f>
        <v>-3.81</v>
      </c>
      <c r="K22" s="8">
        <f t="shared" si="1"/>
        <v>-3.81</v>
      </c>
      <c r="L22" s="8">
        <f t="shared" si="1"/>
        <v>-3.81</v>
      </c>
      <c r="M22" s="8">
        <f t="shared" si="1"/>
        <v>-3.81</v>
      </c>
      <c r="N22" s="8">
        <f t="shared" si="1"/>
        <v>-3.81</v>
      </c>
      <c r="O22" s="8">
        <f t="shared" si="1"/>
        <v>-3.81</v>
      </c>
      <c r="P22" s="38">
        <f t="shared" si="1"/>
        <v>-3.81</v>
      </c>
      <c r="Q22" s="39">
        <v>0</v>
      </c>
    </row>
    <row r="23" spans="1:17" x14ac:dyDescent="0.25">
      <c r="A23" s="1">
        <v>25</v>
      </c>
      <c r="B23" s="1">
        <v>4396.7</v>
      </c>
      <c r="C23" s="6">
        <v>-0.25</v>
      </c>
      <c r="D23" s="6">
        <v>-0.375</v>
      </c>
      <c r="E23" s="6">
        <v>-0.3</v>
      </c>
      <c r="F23" s="6">
        <v>-0.27500000000000002</v>
      </c>
      <c r="G23" s="6">
        <v>-0.17499999999999999</v>
      </c>
      <c r="H23" s="6">
        <v>0</v>
      </c>
      <c r="I23" s="14">
        <v>0.1875</v>
      </c>
      <c r="J23" s="9" cm="1">
        <f t="array" ref="J23">TrajectoryDropInCM(C23,$A23,J$18)</f>
        <v>-2.65625099955286</v>
      </c>
      <c r="K23" s="9" cm="1">
        <f t="array" ref="K23">TrajectoryDropInCM(D23,$A23,K$18)</f>
        <v>-3.7500028125025313</v>
      </c>
      <c r="L23" s="9" cm="1">
        <f t="array" ref="L23">TrajectoryDropInCM(E23,$A23,L$18)</f>
        <v>-3.1875017272276853</v>
      </c>
      <c r="M23" s="9" cm="1">
        <f t="array" ref="M23">TrajectoryDropInCM(F23,$A23,M$18)</f>
        <v>-2.7500011091672039</v>
      </c>
      <c r="N23" s="9" cm="1">
        <f t="array" ref="N23">TrajectoryDropInCM(G23,$A23,N$18)</f>
        <v>-1.7500002858333894</v>
      </c>
      <c r="O23" s="9" cm="1">
        <f t="array" ref="O23">TrajectoryDropInCM(H23,$A23,O$18)</f>
        <v>0</v>
      </c>
      <c r="P23" s="40" cm="1">
        <f t="array" ref="P23">TrajectoryDropInCM(I23,$A23,P$18)</f>
        <v>1.8750003515625793</v>
      </c>
      <c r="Q23" s="39" cm="1">
        <f t="array" ref="Q23">TrajectoryErrorCM($E$19,1,$A23)</f>
        <v>0.37561137059069255</v>
      </c>
    </row>
    <row r="24" spans="1:17" x14ac:dyDescent="0.25">
      <c r="A24" s="1">
        <v>50</v>
      </c>
      <c r="B24" s="1">
        <v>4306.3</v>
      </c>
      <c r="C24" s="7">
        <v>0</v>
      </c>
      <c r="D24" s="6">
        <v>-7.4999999999999997E-2</v>
      </c>
      <c r="E24" s="6">
        <v>-6.25E-2</v>
      </c>
      <c r="F24" s="6">
        <v>0</v>
      </c>
      <c r="G24" s="6">
        <v>0.125</v>
      </c>
      <c r="H24" s="6">
        <v>0.26500000000000001</v>
      </c>
      <c r="I24" s="14">
        <v>0.48499999999999999</v>
      </c>
      <c r="J24" s="9" cm="1">
        <f t="array" ref="J24">TrajectoryDropInCM(C24,$A24,J$18)</f>
        <v>0</v>
      </c>
      <c r="K24" s="9" cm="1">
        <f t="array" ref="K24">TrajectoryDropInCM(D24,$A24,K$18)</f>
        <v>-1.5000000450000013</v>
      </c>
      <c r="L24" s="9" cm="1">
        <f t="array" ref="L24">TrajectoryDropInCM(E24,$A24,L$18)</f>
        <v>-1.3281250312360138</v>
      </c>
      <c r="M24" s="9" cm="1">
        <f t="array" ref="M24">TrajectoryDropInCM(F24,$A24,M$18)</f>
        <v>0</v>
      </c>
      <c r="N24" s="9" cm="1">
        <f t="array" ref="N24">TrajectoryDropInCM(G24,$A24,N$18)</f>
        <v>2.5000002083333537</v>
      </c>
      <c r="O24" s="9" cm="1">
        <f t="array" ref="O24">TrajectoryDropInCM(H24,$A24,O$18)</f>
        <v>5.300001985027559</v>
      </c>
      <c r="P24" s="40" cm="1">
        <f t="array" ref="P24">TrajectoryDropInCM(I24,$A24,P$18)</f>
        <v>9.7000121689916519</v>
      </c>
      <c r="Q24" s="39" cm="1">
        <f t="array" ref="Q24">TrajectoryErrorCM($E$19,1,$A24)</f>
        <v>0.7512227411813851</v>
      </c>
    </row>
    <row r="25" spans="1:17" x14ac:dyDescent="0.25">
      <c r="A25" s="1">
        <v>75</v>
      </c>
      <c r="B25" s="1">
        <v>4218.5</v>
      </c>
      <c r="C25" s="6">
        <v>0.1</v>
      </c>
      <c r="D25" s="6">
        <v>0</v>
      </c>
      <c r="E25" s="6">
        <v>0</v>
      </c>
      <c r="F25" s="6">
        <v>0.1</v>
      </c>
      <c r="G25" s="6">
        <v>0.24</v>
      </c>
      <c r="H25" s="6">
        <v>0.375</v>
      </c>
      <c r="I25" s="14">
        <v>0.55000000000000004</v>
      </c>
      <c r="J25" s="9" cm="1">
        <f t="array" ref="J25">TrajectoryDropInCM(C25,$A25,J$18)</f>
        <v>3.1875001919140762</v>
      </c>
      <c r="K25" s="9" cm="1">
        <f t="array" ref="K25">TrajectoryDropInCM(D25,$A25,K$18)</f>
        <v>0</v>
      </c>
      <c r="L25" s="9" cm="1">
        <f t="array" ref="L25">TrajectoryDropInCM(E25,$A25,L$18)</f>
        <v>0</v>
      </c>
      <c r="M25" s="9" cm="1">
        <f t="array" ref="M25">TrajectoryDropInCM(F25,$A25,M$18)</f>
        <v>3.0000001600000106</v>
      </c>
      <c r="N25" s="9" cm="1">
        <f t="array" ref="N25">TrajectoryDropInCM(G25,$A25,N$18)</f>
        <v>7.2000022118408156</v>
      </c>
      <c r="O25" s="9" cm="1">
        <f t="array" ref="O25">TrajectoryDropInCM(H25,$A25,O$18)</f>
        <v>11.250008437507594</v>
      </c>
      <c r="P25" s="40" cm="1">
        <f t="array" ref="P25">TrajectoryDropInCM(I25,$A25,P$18)</f>
        <v>16.500026620051539</v>
      </c>
      <c r="Q25" s="39" cm="1">
        <f t="array" ref="Q25">TrajectoryErrorCM($E$19,1,$A25)</f>
        <v>1.1268341117720777</v>
      </c>
    </row>
    <row r="26" spans="1:17" x14ac:dyDescent="0.25">
      <c r="A26" s="1">
        <v>100</v>
      </c>
      <c r="B26" s="1">
        <v>4115.8999999999996</v>
      </c>
      <c r="C26" s="6">
        <v>0.125</v>
      </c>
      <c r="D26" s="7">
        <v>0</v>
      </c>
      <c r="E26" s="6">
        <v>6.25E-2</v>
      </c>
      <c r="F26" s="6">
        <v>0.125</v>
      </c>
      <c r="G26" s="6">
        <v>0.2485</v>
      </c>
      <c r="H26" s="6">
        <v>0.375</v>
      </c>
      <c r="I26" s="14">
        <v>0.62549999999999994</v>
      </c>
      <c r="J26" s="9" cm="1">
        <f t="array" ref="J26">TrajectoryDropInCM(C26,$A26,J$18)</f>
        <v>5.3125004997762613</v>
      </c>
      <c r="K26" s="9" cm="1">
        <f t="array" ref="K26">TrajectoryDropInCM(D26,$A26,K$18)</f>
        <v>0</v>
      </c>
      <c r="L26" s="9" cm="1">
        <f t="array" ref="L26">TrajectoryDropInCM(E26,$A26,L$18)</f>
        <v>2.6562500624720276</v>
      </c>
      <c r="M26" s="9" cm="1">
        <f t="array" ref="M26">TrajectoryDropInCM(F26,$A26,M$18)</f>
        <v>5.0000004166667074</v>
      </c>
      <c r="N26" s="9" cm="1">
        <f t="array" ref="N26">TrajectoryDropInCM(G26,$A26,N$18)</f>
        <v>9.9400032736939075</v>
      </c>
      <c r="O26" s="9" cm="1">
        <f t="array" ref="O26">TrajectoryDropInCM(H26,$A26,O$18)</f>
        <v>15.000011250010125</v>
      </c>
      <c r="P26" s="40" cm="1">
        <f t="array" ref="P26">TrajectoryDropInCM(I26,$A26,P$18)</f>
        <v>25.020052208564092</v>
      </c>
      <c r="Q26" s="39" cm="1">
        <f t="array" ref="Q26">TrajectoryErrorCM($E$19,1,$A26)</f>
        <v>1.5024454823627702</v>
      </c>
    </row>
    <row r="27" spans="1:17" x14ac:dyDescent="0.25">
      <c r="A27" s="1">
        <v>125</v>
      </c>
      <c r="B27" s="1">
        <v>4032.6</v>
      </c>
      <c r="C27" s="6">
        <v>0.125</v>
      </c>
      <c r="D27" s="6">
        <v>0</v>
      </c>
      <c r="E27" s="6">
        <v>0.05</v>
      </c>
      <c r="F27" s="6">
        <v>0.1</v>
      </c>
      <c r="G27" s="6">
        <v>0.25</v>
      </c>
      <c r="H27" s="6">
        <v>0.375</v>
      </c>
      <c r="I27" s="14">
        <v>0.57499999999999996</v>
      </c>
      <c r="J27" s="9" cm="1">
        <f t="array" ref="J27">TrajectoryDropInCM(C27,$A27,J$18)</f>
        <v>6.640625624720327</v>
      </c>
      <c r="K27" s="9" cm="1">
        <f t="array" ref="K27">TrajectoryDropInCM(D27,$A27,K$18)</f>
        <v>0</v>
      </c>
      <c r="L27" s="9" cm="1">
        <f t="array" ref="L27">TrajectoryDropInCM(E27,$A27,L$18)</f>
        <v>2.6562500399820976</v>
      </c>
      <c r="M27" s="9" cm="1">
        <f t="array" ref="M27">TrajectoryDropInCM(F27,$A27,M$18)</f>
        <v>5.0000002666666834</v>
      </c>
      <c r="N27" s="9" cm="1">
        <f t="array" ref="N27">TrajectoryDropInCM(G27,$A27,N$18)</f>
        <v>12.500004166668335</v>
      </c>
      <c r="O27" s="9" cm="1">
        <f t="array" ref="O27">TrajectoryDropInCM(H27,$A27,O$18)</f>
        <v>18.750014062512658</v>
      </c>
      <c r="P27" s="40" cm="1">
        <f t="array" ref="P27">TrajectoryDropInCM(I27,$A27,P$18)</f>
        <v>28.750050695940605</v>
      </c>
      <c r="Q27" s="39" cm="1">
        <f t="array" ref="Q27">TrajectoryErrorCM($E$19,1,$A27)</f>
        <v>1.8780568529534629</v>
      </c>
    </row>
    <row r="28" spans="1:17" x14ac:dyDescent="0.25">
      <c r="A28" s="1">
        <v>150</v>
      </c>
      <c r="B28" s="1">
        <v>3935.5</v>
      </c>
      <c r="C28" s="6">
        <v>0.125</v>
      </c>
      <c r="D28" s="6">
        <v>0</v>
      </c>
      <c r="E28" s="7">
        <v>0</v>
      </c>
      <c r="F28" s="6">
        <v>0.115</v>
      </c>
      <c r="G28" s="6">
        <v>0.245</v>
      </c>
      <c r="H28" s="6">
        <v>0.36499999999999999</v>
      </c>
      <c r="I28" s="14">
        <v>0.5</v>
      </c>
      <c r="J28" s="9" cm="1">
        <f t="array" ref="J28">TrajectoryDropInCM(C28,$A28,J$18)</f>
        <v>7.9687507496643928</v>
      </c>
      <c r="K28" s="9" cm="1">
        <f t="array" ref="K28">TrajectoryDropInCM(D28,$A28,K$18)</f>
        <v>0</v>
      </c>
      <c r="L28" s="9" cm="1">
        <f t="array" ref="L28">TrajectoryDropInCM(E28,$A28,L$18)</f>
        <v>0</v>
      </c>
      <c r="M28" s="9" cm="1">
        <f t="array" ref="M28">TrajectoryDropInCM(F28,$A28,M$18)</f>
        <v>6.9000004866800415</v>
      </c>
      <c r="N28" s="9" cm="1">
        <f t="array" ref="N28">TrajectoryDropInCM(G28,$A28,N$18)</f>
        <v>14.700004705961808</v>
      </c>
      <c r="O28" s="9" cm="1">
        <f t="array" ref="O28">TrajectoryDropInCM(H28,$A28,O$18)</f>
        <v>21.900015560693266</v>
      </c>
      <c r="P28" s="40" cm="1">
        <f t="array" ref="P28">TrajectoryDropInCM(I28,$A28,P$18)</f>
        <v>30.000040000063997</v>
      </c>
      <c r="Q28" s="39" cm="1">
        <f t="array" ref="Q28">TrajectoryErrorCM($E$19,1,$A28)</f>
        <v>2.2536682235441554</v>
      </c>
    </row>
    <row r="29" spans="1:17" x14ac:dyDescent="0.25">
      <c r="A29" s="1">
        <v>200</v>
      </c>
      <c r="B29" s="1">
        <v>3765.3</v>
      </c>
      <c r="C29" s="6">
        <v>0.1</v>
      </c>
      <c r="D29" s="6">
        <v>-0.1</v>
      </c>
      <c r="E29" s="6">
        <v>-6.25E-2</v>
      </c>
      <c r="F29" s="7">
        <v>0</v>
      </c>
      <c r="G29" s="6">
        <v>0.13500000000000001</v>
      </c>
      <c r="H29" s="6">
        <v>0.26</v>
      </c>
      <c r="I29" s="14">
        <v>0.5</v>
      </c>
      <c r="J29" s="9" cm="1">
        <f t="array" ref="J29">TrajectoryDropInCM(C29,$A29,J$18)</f>
        <v>8.500000511770871</v>
      </c>
      <c r="K29" s="9" cm="1">
        <f t="array" ref="K29">TrajectoryDropInCM(D29,$A29,K$18)</f>
        <v>-8.0000004266666931</v>
      </c>
      <c r="L29" s="9" cm="1">
        <f t="array" ref="L29">TrajectoryDropInCM(E29,$A29,L$18)</f>
        <v>-5.3125001249440551</v>
      </c>
      <c r="M29" s="9" cm="1">
        <f t="array" ref="M29">TrajectoryDropInCM(F29,$A29,M$18)</f>
        <v>0</v>
      </c>
      <c r="N29" s="9" cm="1">
        <f t="array" ref="N29">TrajectoryDropInCM(G29,$A29,N$18)</f>
        <v>10.800001049760123</v>
      </c>
      <c r="O29" s="9" cm="1">
        <f t="array" ref="O29">TrajectoryDropInCM(H29,$A29,O$18)</f>
        <v>20.80000749909658</v>
      </c>
      <c r="P29" s="40" cm="1">
        <f t="array" ref="P29">TrajectoryDropInCM(I29,$A29,P$18)</f>
        <v>40.000053333418663</v>
      </c>
      <c r="Q29" s="39" cm="1">
        <f t="array" ref="Q29">TrajectoryErrorCM($E$19,1,$A29)</f>
        <v>3.0048909647255404</v>
      </c>
    </row>
    <row r="30" spans="1:17" x14ac:dyDescent="0.25">
      <c r="A30" s="1">
        <v>250</v>
      </c>
      <c r="B30" s="1">
        <v>3589.5</v>
      </c>
      <c r="C30" s="6">
        <v>-2.5000000000000001E-2</v>
      </c>
      <c r="D30" s="6">
        <v>-0.1875</v>
      </c>
      <c r="E30" s="6">
        <v>-0.125</v>
      </c>
      <c r="F30" s="6">
        <v>-6.25E-2</v>
      </c>
      <c r="G30" s="6">
        <v>0.125</v>
      </c>
      <c r="H30" s="6">
        <v>0.25</v>
      </c>
      <c r="I30" s="14">
        <v>0.42499999999999999</v>
      </c>
      <c r="J30" s="9" cm="1">
        <f t="array" ref="J30">TrajectoryDropInCM(C30,$A30,J$18)</f>
        <v>-2.656250009995524</v>
      </c>
      <c r="K30" s="9" cm="1">
        <f t="array" ref="K30">TrajectoryDropInCM(D30,$A30,K$18)</f>
        <v>-18.750003515625792</v>
      </c>
      <c r="L30" s="9" cm="1">
        <f t="array" ref="L30">TrajectoryDropInCM(E30,$A30,L$18)</f>
        <v>-13.281251249440654</v>
      </c>
      <c r="M30" s="9" cm="1">
        <f t="array" ref="M30">TrajectoryDropInCM(F30,$A30,M$18)</f>
        <v>-6.2500001302083357</v>
      </c>
      <c r="N30" s="9" cm="1">
        <f t="array" ref="N30">TrajectoryDropInCM(G30,$A30,N$18)</f>
        <v>12.500001041666769</v>
      </c>
      <c r="O30" s="9" cm="1">
        <f t="array" ref="O30">TrajectoryDropInCM(H30,$A30,O$18)</f>
        <v>25.00000833333667</v>
      </c>
      <c r="P30" s="40" cm="1">
        <f t="array" ref="P30">TrajectoryDropInCM(I30,$A30,P$18)</f>
        <v>42.500040941713998</v>
      </c>
      <c r="Q30" s="39" cm="1">
        <f t="array" ref="Q30">TrajectoryErrorCM($E$19,1,$A30)</f>
        <v>3.7561137059069258</v>
      </c>
    </row>
    <row r="31" spans="1:17" x14ac:dyDescent="0.25">
      <c r="A31" s="1">
        <v>300</v>
      </c>
      <c r="B31" s="1">
        <v>3437.3</v>
      </c>
      <c r="C31" s="6">
        <v>-0.125</v>
      </c>
      <c r="D31" s="6">
        <v>-0.1875</v>
      </c>
      <c r="E31" s="6">
        <v>-0.15</v>
      </c>
      <c r="F31" s="6">
        <v>-0.125</v>
      </c>
      <c r="G31" s="7">
        <v>0</v>
      </c>
      <c r="H31" s="17">
        <v>0.1875</v>
      </c>
      <c r="I31" s="18">
        <v>0.32500000000000001</v>
      </c>
      <c r="J31" s="9" cm="1">
        <f t="array" ref="J31">TrajectoryDropInCM(C31,$A31,J$18)</f>
        <v>-15.937501499328786</v>
      </c>
      <c r="K31" s="9" cm="1">
        <f t="array" ref="K31">TrajectoryDropInCM(D31,$A31,K$18)</f>
        <v>-22.500004218750952</v>
      </c>
      <c r="L31" s="9" cm="1">
        <f t="array" ref="L31">TrajectoryDropInCM(E31,$A31,L$18)</f>
        <v>-19.125002590840264</v>
      </c>
      <c r="M31" s="9" cm="1">
        <f t="array" ref="M31">TrajectoryDropInCM(F31,$A31,M$18)</f>
        <v>-15.000001250000123</v>
      </c>
      <c r="N31" s="9" cm="1">
        <f t="array" ref="N31">TrajectoryDropInCM(G31,$A31,N$18)</f>
        <v>0</v>
      </c>
      <c r="O31" s="9" cm="1">
        <f t="array" ref="O31">TrajectoryDropInCM(H31,$A31,O$18)</f>
        <v>22.500004218750952</v>
      </c>
      <c r="P31" s="40" cm="1">
        <f t="array" ref="P31">TrajectoryDropInCM(I31,$A31,P$18)</f>
        <v>39.000021970014849</v>
      </c>
      <c r="Q31" s="39" cm="1">
        <f t="array" ref="Q31">TrajectoryErrorCM($E$19,1,$A31)</f>
        <v>4.5073364470883108</v>
      </c>
    </row>
    <row r="32" spans="1:17" x14ac:dyDescent="0.25">
      <c r="A32" s="1">
        <v>350</v>
      </c>
      <c r="B32" s="1">
        <v>3280.5</v>
      </c>
      <c r="C32" s="6">
        <v>-0.1875</v>
      </c>
      <c r="D32" s="6">
        <v>-0.26</v>
      </c>
      <c r="E32" s="6">
        <v>-0.25</v>
      </c>
      <c r="F32" s="6">
        <v>-0.185</v>
      </c>
      <c r="G32" s="6">
        <v>-0.12</v>
      </c>
      <c r="H32" s="6">
        <v>0.12</v>
      </c>
      <c r="I32" s="14">
        <v>0.25</v>
      </c>
      <c r="J32" s="9" cm="1">
        <f t="array" ref="J32">TrajectoryDropInCM(C32,$A32,J$18)</f>
        <v>-27.890630903607917</v>
      </c>
      <c r="K32" s="9" cm="1">
        <f t="array" ref="K32">TrajectoryDropInCM(D32,$A32,K$18)</f>
        <v>-36.400013123419015</v>
      </c>
      <c r="L32" s="9" cm="1">
        <f t="array" ref="L32">TrajectoryDropInCM(E32,$A32,L$18)</f>
        <v>-37.187513993740048</v>
      </c>
      <c r="M32" s="9" cm="1">
        <f t="array" ref="M32">TrajectoryDropInCM(F32,$A32,M$18)</f>
        <v>-25.900004727614366</v>
      </c>
      <c r="N32" s="9" cm="1">
        <f t="array" ref="N32">TrajectoryDropInCM(G32,$A32,N$18)</f>
        <v>-16.800001290240115</v>
      </c>
      <c r="O32" s="9" cm="1">
        <f t="array" ref="O32">TrajectoryDropInCM(H32,$A32,O$18)</f>
        <v>16.800001290240115</v>
      </c>
      <c r="P32" s="40" cm="1">
        <f t="array" ref="P32">TrajectoryDropInCM(I32,$A32,P$18)</f>
        <v>35.000011666671341</v>
      </c>
      <c r="Q32" s="39" cm="1">
        <f t="array" ref="Q32">TrajectoryErrorCM($E$19,1,$A32)</f>
        <v>5.2585591882696958</v>
      </c>
    </row>
    <row r="33" spans="1:17" x14ac:dyDescent="0.25">
      <c r="A33" s="1">
        <v>400</v>
      </c>
      <c r="B33" s="1">
        <v>3120.8</v>
      </c>
      <c r="C33" s="6">
        <v>-0.25</v>
      </c>
      <c r="D33" s="6">
        <v>-0.375</v>
      </c>
      <c r="E33" s="6">
        <v>-0.27500000000000002</v>
      </c>
      <c r="F33" s="6">
        <v>-0.26500000000000001</v>
      </c>
      <c r="G33" s="6">
        <v>-0.1875</v>
      </c>
      <c r="H33" s="7">
        <v>0</v>
      </c>
      <c r="I33" s="14">
        <v>0.1875</v>
      </c>
      <c r="J33" s="9" cm="1">
        <f t="array" ref="J33">TrajectoryDropInCM(C33,$A33,J$18)</f>
        <v>-42.500015992845761</v>
      </c>
      <c r="K33" s="9" cm="1">
        <f t="array" ref="K33">TrajectoryDropInCM(D33,$A33,K$18)</f>
        <v>-60.000045000040501</v>
      </c>
      <c r="L33" s="9" cm="1">
        <f t="array" ref="L33">TrajectoryDropInCM(E33,$A33,L$18)</f>
        <v>-46.750021286479736</v>
      </c>
      <c r="M33" s="9" cm="1">
        <f t="array" ref="M33">TrajectoryDropInCM(F33,$A33,M$18)</f>
        <v>-42.400015880220472</v>
      </c>
      <c r="N33" s="9" cm="1">
        <f t="array" ref="N33">TrajectoryDropInCM(G33,$A33,N$18)</f>
        <v>-30.000005625001268</v>
      </c>
      <c r="O33" s="9" cm="1">
        <f t="array" ref="O33">TrajectoryDropInCM(H33,$A33,O$18)</f>
        <v>0</v>
      </c>
      <c r="P33" s="40" cm="1">
        <f t="array" ref="P33">TrajectoryDropInCM(I33,$A33,P$18)</f>
        <v>30.000005625001268</v>
      </c>
      <c r="Q33" s="39" cm="1">
        <f t="array" ref="Q33">TrajectoryErrorCM($E$19,1,$A33)</f>
        <v>6.0097819294510808</v>
      </c>
    </row>
    <row r="34" spans="1:17" x14ac:dyDescent="0.25">
      <c r="A34" s="1">
        <v>450</v>
      </c>
      <c r="B34" s="1">
        <v>2982.4</v>
      </c>
      <c r="C34" s="6">
        <v>-0.375</v>
      </c>
      <c r="D34" s="6">
        <v>-0.47499999999999998</v>
      </c>
      <c r="E34" s="6">
        <v>-0.4</v>
      </c>
      <c r="F34" s="6">
        <v>-0.375</v>
      </c>
      <c r="G34" s="6">
        <v>-0.25</v>
      </c>
      <c r="H34" s="6">
        <v>-0.1</v>
      </c>
      <c r="I34" s="14">
        <v>0.125</v>
      </c>
      <c r="J34" s="9" cm="1">
        <f t="array" ref="J34">TrajectoryDropInCM(C34,$A34,J$18)</f>
        <v>-71.718810722870529</v>
      </c>
      <c r="K34" s="9" cm="1">
        <f t="array" ref="K34">TrajectoryDropInCM(D34,$A34,K$18)</f>
        <v>-85.500102885148564</v>
      </c>
      <c r="L34" s="9" cm="1">
        <f t="array" ref="L34">TrajectoryDropInCM(E34,$A34,L$18)</f>
        <v>-76.500073695085206</v>
      </c>
      <c r="M34" s="9" cm="1">
        <f t="array" ref="M34">TrajectoryDropInCM(F34,$A34,M$18)</f>
        <v>-67.50005062504556</v>
      </c>
      <c r="N34" s="9" cm="1">
        <f t="array" ref="N34">TrajectoryDropInCM(G34,$A34,N$18)</f>
        <v>-45.000015000006002</v>
      </c>
      <c r="O34" s="9" cm="1">
        <f t="array" ref="O34">TrajectoryDropInCM(H34,$A34,O$18)</f>
        <v>-18.000000960000062</v>
      </c>
      <c r="P34" s="40" cm="1">
        <f t="array" ref="P34">TrajectoryDropInCM(I34,$A34,P$18)</f>
        <v>22.500001875000187</v>
      </c>
      <c r="Q34" s="39" cm="1">
        <f t="array" ref="Q34">TrajectoryErrorCM($E$19,1,$A34)</f>
        <v>6.7610046706324667</v>
      </c>
    </row>
    <row r="35" spans="1:17" x14ac:dyDescent="0.25">
      <c r="A35" s="1">
        <v>500</v>
      </c>
      <c r="B35" s="1">
        <v>2841.5</v>
      </c>
      <c r="C35" s="6">
        <v>-0.45</v>
      </c>
      <c r="D35" s="6">
        <v>-0.55000000000000004</v>
      </c>
      <c r="E35" s="6">
        <v>-0.5</v>
      </c>
      <c r="F35" s="6">
        <v>-0.49</v>
      </c>
      <c r="G35" s="6">
        <v>-0.32500000000000001</v>
      </c>
      <c r="H35" s="6">
        <v>-0.1875</v>
      </c>
      <c r="I35" s="15">
        <v>0</v>
      </c>
      <c r="J35" s="9" cm="1">
        <f t="array" ref="J35">TrajectoryDropInCM(C35,$A35,J$18)</f>
        <v>-95.625116587963561</v>
      </c>
      <c r="K35" s="9" cm="1">
        <f t="array" ref="K35">TrajectoryDropInCM(D35,$A35,K$18)</f>
        <v>-110.00017746701025</v>
      </c>
      <c r="L35" s="9" cm="1">
        <f t="array" ref="L35">TrajectoryDropInCM(E35,$A35,L$18)</f>
        <v>-106.25015992867431</v>
      </c>
      <c r="M35" s="9" cm="1">
        <f t="array" ref="M35">TrajectoryDropInCM(F35,$A35,M$18)</f>
        <v>-98.000125492459503</v>
      </c>
      <c r="N35" s="9" cm="1">
        <f t="array" ref="N35">TrajectoryDropInCM(G35,$A35,N$18)</f>
        <v>-65.000036616691418</v>
      </c>
      <c r="O35" s="9" cm="1">
        <f t="array" ref="O35">TrajectoryDropInCM(H35,$A35,O$18)</f>
        <v>-37.500007031251585</v>
      </c>
      <c r="P35" s="40" cm="1">
        <f t="array" ref="P35">TrajectoryDropInCM(I35,$A35,P$18)</f>
        <v>0</v>
      </c>
      <c r="Q35" s="39" cm="1">
        <f t="array" ref="Q35">TrajectoryErrorCM($E$19,1,$A35)</f>
        <v>7.5122274118138517</v>
      </c>
    </row>
    <row r="77" spans="1:19" x14ac:dyDescent="0.25">
      <c r="A77" t="s">
        <v>27</v>
      </c>
    </row>
    <row r="78" spans="1:19" x14ac:dyDescent="0.25">
      <c r="A78" t="s">
        <v>35</v>
      </c>
      <c r="K78" t="s">
        <v>72</v>
      </c>
    </row>
    <row r="79" spans="1:19" x14ac:dyDescent="0.25">
      <c r="A79" t="s">
        <v>12</v>
      </c>
      <c r="B79" t="s">
        <v>13</v>
      </c>
      <c r="C79" t="s">
        <v>14</v>
      </c>
      <c r="D79" t="s">
        <v>15</v>
      </c>
      <c r="E79" t="s">
        <v>16</v>
      </c>
      <c r="F79" t="s">
        <v>17</v>
      </c>
      <c r="G79" t="s">
        <v>37</v>
      </c>
      <c r="H79" t="s">
        <v>38</v>
      </c>
      <c r="I79" t="s">
        <v>39</v>
      </c>
      <c r="K79" t="s">
        <v>12</v>
      </c>
      <c r="L79" t="s">
        <v>13</v>
      </c>
      <c r="M79" t="s">
        <v>14</v>
      </c>
      <c r="N79" t="s">
        <v>15</v>
      </c>
      <c r="O79" t="s">
        <v>16</v>
      </c>
      <c r="P79" t="s">
        <v>17</v>
      </c>
      <c r="Q79" t="s">
        <v>37</v>
      </c>
      <c r="R79" t="s">
        <v>38</v>
      </c>
      <c r="S79" t="s">
        <v>39</v>
      </c>
    </row>
    <row r="80" spans="1:19" x14ac:dyDescent="0.25">
      <c r="A80" s="1">
        <v>0</v>
      </c>
      <c r="B80" s="1">
        <v>960</v>
      </c>
      <c r="C80" s="1">
        <v>4482</v>
      </c>
      <c r="D80" s="1">
        <v>-3.8</v>
      </c>
      <c r="E80" s="1">
        <v>0</v>
      </c>
      <c r="F80" s="1">
        <v>0</v>
      </c>
      <c r="G80" s="1">
        <v>0</v>
      </c>
      <c r="H80" s="1">
        <v>0</v>
      </c>
      <c r="I80" s="1">
        <v>0</v>
      </c>
      <c r="J80" s="1"/>
      <c r="K80" s="1">
        <v>0</v>
      </c>
      <c r="L80" s="1">
        <v>960</v>
      </c>
      <c r="M80" s="1">
        <v>4482</v>
      </c>
      <c r="N80" s="1">
        <v>-3.8</v>
      </c>
      <c r="O80" s="1">
        <v>0</v>
      </c>
      <c r="P80" s="1">
        <v>0</v>
      </c>
      <c r="Q80" s="1">
        <v>0</v>
      </c>
      <c r="R80" s="1">
        <v>0</v>
      </c>
      <c r="S80" s="1">
        <v>0</v>
      </c>
    </row>
    <row r="81" spans="1:19" x14ac:dyDescent="0.25">
      <c r="A81" s="1">
        <v>25</v>
      </c>
      <c r="B81" s="1">
        <v>939</v>
      </c>
      <c r="C81" s="1">
        <v>4282</v>
      </c>
      <c r="D81" s="1">
        <v>-1.6</v>
      </c>
      <c r="E81" s="1">
        <v>2.2000000000000002</v>
      </c>
      <c r="F81" s="1">
        <v>0.6</v>
      </c>
      <c r="G81" s="1">
        <v>0</v>
      </c>
      <c r="H81" s="1">
        <v>0</v>
      </c>
      <c r="I81" s="1">
        <v>0</v>
      </c>
      <c r="J81" s="1"/>
      <c r="K81" s="1">
        <v>25</v>
      </c>
      <c r="L81" s="1">
        <v>950</v>
      </c>
      <c r="M81" s="1">
        <v>4384</v>
      </c>
      <c r="N81" s="1">
        <v>-1.6</v>
      </c>
      <c r="O81" s="1">
        <v>2.2000000000000002</v>
      </c>
      <c r="P81" s="1">
        <v>0.6</v>
      </c>
      <c r="Q81" s="1">
        <v>0</v>
      </c>
      <c r="R81" s="1">
        <v>0</v>
      </c>
      <c r="S81" s="1">
        <v>0</v>
      </c>
    </row>
    <row r="82" spans="1:19" x14ac:dyDescent="0.25">
      <c r="A82" s="10">
        <v>50</v>
      </c>
      <c r="B82" s="10">
        <v>918</v>
      </c>
      <c r="C82" s="10">
        <v>4092</v>
      </c>
      <c r="D82" s="10">
        <v>0</v>
      </c>
      <c r="E82" s="10">
        <v>0</v>
      </c>
      <c r="F82" s="10">
        <v>0</v>
      </c>
      <c r="G82" s="1">
        <v>0</v>
      </c>
      <c r="H82" s="10">
        <v>0</v>
      </c>
      <c r="I82" s="10">
        <v>0</v>
      </c>
      <c r="J82" s="10"/>
      <c r="K82" s="10">
        <v>50</v>
      </c>
      <c r="L82" s="10">
        <v>939</v>
      </c>
      <c r="M82" s="10">
        <v>4288</v>
      </c>
      <c r="N82" s="1">
        <v>0</v>
      </c>
      <c r="O82" s="1">
        <v>0</v>
      </c>
      <c r="P82" s="1">
        <v>0</v>
      </c>
      <c r="Q82" s="1">
        <v>0</v>
      </c>
      <c r="R82" s="1">
        <v>0</v>
      </c>
      <c r="S82" s="1">
        <v>0</v>
      </c>
    </row>
    <row r="83" spans="1:19" x14ac:dyDescent="0.25">
      <c r="A83" s="1">
        <v>75</v>
      </c>
      <c r="B83" s="1">
        <v>897</v>
      </c>
      <c r="C83" s="1">
        <v>3909</v>
      </c>
      <c r="D83" s="1">
        <v>0.8</v>
      </c>
      <c r="E83" s="1">
        <v>-0.4</v>
      </c>
      <c r="F83" s="1">
        <v>-0.1</v>
      </c>
      <c r="G83" s="1">
        <v>0</v>
      </c>
      <c r="H83" s="1">
        <v>0</v>
      </c>
      <c r="I83" s="1">
        <v>0</v>
      </c>
      <c r="J83" s="1"/>
      <c r="K83" s="1">
        <v>75</v>
      </c>
      <c r="L83" s="1">
        <v>929</v>
      </c>
      <c r="M83" s="1">
        <v>4194</v>
      </c>
      <c r="N83" s="1">
        <v>0.9</v>
      </c>
      <c r="O83" s="1">
        <v>-0.4</v>
      </c>
      <c r="P83" s="1">
        <v>-0.1</v>
      </c>
      <c r="Q83" s="1">
        <v>0</v>
      </c>
      <c r="R83" s="1">
        <v>0</v>
      </c>
      <c r="S83" s="1">
        <v>0</v>
      </c>
    </row>
    <row r="84" spans="1:19" x14ac:dyDescent="0.25">
      <c r="A84" s="1">
        <v>100</v>
      </c>
      <c r="B84" s="1">
        <v>876</v>
      </c>
      <c r="C84" s="1">
        <v>3733</v>
      </c>
      <c r="D84" s="1">
        <v>0.8</v>
      </c>
      <c r="E84" s="1">
        <v>-0.3</v>
      </c>
      <c r="F84" s="1">
        <v>-0.1</v>
      </c>
      <c r="G84" s="1">
        <v>0</v>
      </c>
      <c r="H84" s="1">
        <v>0</v>
      </c>
      <c r="I84" s="1">
        <v>0</v>
      </c>
      <c r="J84" s="1"/>
      <c r="K84" s="1">
        <v>100</v>
      </c>
      <c r="L84" s="1">
        <v>919</v>
      </c>
      <c r="M84" s="1">
        <v>4101</v>
      </c>
      <c r="N84" s="1">
        <v>1</v>
      </c>
      <c r="O84" s="1">
        <v>-0.3</v>
      </c>
      <c r="P84" s="1">
        <v>-0.1</v>
      </c>
      <c r="Q84" s="1">
        <v>0</v>
      </c>
      <c r="R84" s="1">
        <v>0</v>
      </c>
      <c r="S84" s="1">
        <v>0</v>
      </c>
    </row>
    <row r="85" spans="1:19" x14ac:dyDescent="0.25">
      <c r="A85" s="1">
        <v>125</v>
      </c>
      <c r="B85" s="1">
        <v>856</v>
      </c>
      <c r="C85" s="1">
        <v>3564</v>
      </c>
      <c r="D85" s="1">
        <v>0.1</v>
      </c>
      <c r="E85" s="1">
        <v>0</v>
      </c>
      <c r="F85" s="1">
        <v>0</v>
      </c>
      <c r="G85" s="1">
        <v>0</v>
      </c>
      <c r="H85" s="1">
        <v>0</v>
      </c>
      <c r="I85" s="1">
        <v>0</v>
      </c>
      <c r="J85" s="1"/>
      <c r="K85" s="1">
        <v>125</v>
      </c>
      <c r="L85" s="1">
        <v>908</v>
      </c>
      <c r="M85" s="1">
        <v>4010</v>
      </c>
      <c r="N85" s="1">
        <v>0.4</v>
      </c>
      <c r="O85" s="1">
        <v>-0.1</v>
      </c>
      <c r="P85" s="1">
        <v>0</v>
      </c>
      <c r="Q85" s="1">
        <v>0</v>
      </c>
      <c r="R85" s="1">
        <v>0</v>
      </c>
      <c r="S85" s="1">
        <v>0</v>
      </c>
    </row>
    <row r="86" spans="1:19" x14ac:dyDescent="0.25">
      <c r="A86" s="1">
        <v>150</v>
      </c>
      <c r="B86" s="1">
        <v>836</v>
      </c>
      <c r="C86" s="1">
        <v>3401</v>
      </c>
      <c r="D86" s="1">
        <v>-1.6</v>
      </c>
      <c r="E86" s="1">
        <v>0.4</v>
      </c>
      <c r="F86" s="1">
        <v>0.1</v>
      </c>
      <c r="G86" s="1">
        <v>0</v>
      </c>
      <c r="H86" s="1">
        <v>0</v>
      </c>
      <c r="I86" s="1">
        <v>0</v>
      </c>
      <c r="J86" s="1"/>
      <c r="K86" s="1">
        <v>150</v>
      </c>
      <c r="L86" s="1">
        <v>898</v>
      </c>
      <c r="M86" s="1">
        <v>3920</v>
      </c>
      <c r="N86" s="1">
        <v>-0.9</v>
      </c>
      <c r="O86" s="1">
        <v>0.2</v>
      </c>
      <c r="P86" s="1">
        <v>0.1</v>
      </c>
      <c r="Q86" s="1">
        <v>0</v>
      </c>
      <c r="R86" s="1">
        <v>0</v>
      </c>
      <c r="S86" s="1">
        <v>0</v>
      </c>
    </row>
    <row r="87" spans="1:19" x14ac:dyDescent="0.25">
      <c r="A87" s="1">
        <v>175</v>
      </c>
      <c r="B87" s="1">
        <v>817</v>
      </c>
      <c r="C87" s="1">
        <v>3244</v>
      </c>
      <c r="D87" s="1">
        <v>-4.0999999999999996</v>
      </c>
      <c r="E87" s="1">
        <v>0.8</v>
      </c>
      <c r="F87" s="1">
        <v>0.2</v>
      </c>
      <c r="G87" s="1">
        <v>0</v>
      </c>
      <c r="H87" s="1">
        <v>0</v>
      </c>
      <c r="I87" s="1">
        <v>0</v>
      </c>
      <c r="J87" s="1"/>
      <c r="K87" s="1">
        <v>175</v>
      </c>
      <c r="L87" s="1">
        <v>888</v>
      </c>
      <c r="M87" s="1">
        <v>3833</v>
      </c>
      <c r="N87" s="1">
        <v>-3</v>
      </c>
      <c r="O87" s="1">
        <v>0.6</v>
      </c>
      <c r="P87" s="1">
        <v>0.2</v>
      </c>
      <c r="Q87" s="1">
        <v>0</v>
      </c>
      <c r="R87" s="1">
        <v>0</v>
      </c>
      <c r="S87" s="1">
        <v>0</v>
      </c>
    </row>
    <row r="88" spans="1:19" x14ac:dyDescent="0.25">
      <c r="A88" s="1">
        <v>200</v>
      </c>
      <c r="B88" s="1">
        <v>798</v>
      </c>
      <c r="C88" s="1">
        <v>3093</v>
      </c>
      <c r="D88" s="1">
        <v>-7.6</v>
      </c>
      <c r="E88" s="1">
        <v>1.3</v>
      </c>
      <c r="F88" s="1">
        <v>0.4</v>
      </c>
      <c r="G88" s="1">
        <v>0</v>
      </c>
      <c r="H88" s="1">
        <v>0</v>
      </c>
      <c r="I88" s="1">
        <v>0</v>
      </c>
      <c r="J88" s="1"/>
      <c r="K88" s="1">
        <v>200</v>
      </c>
      <c r="L88" s="1">
        <v>878</v>
      </c>
      <c r="M88" s="1">
        <v>3746</v>
      </c>
      <c r="N88" s="1">
        <v>-6</v>
      </c>
      <c r="O88" s="1">
        <v>1</v>
      </c>
      <c r="P88" s="1">
        <v>0.3</v>
      </c>
      <c r="Q88" s="1">
        <v>0</v>
      </c>
      <c r="R88" s="1">
        <v>0</v>
      </c>
      <c r="S88" s="1">
        <v>0</v>
      </c>
    </row>
    <row r="89" spans="1:19" x14ac:dyDescent="0.25">
      <c r="A89" s="1">
        <v>225</v>
      </c>
      <c r="B89" s="1">
        <v>779</v>
      </c>
      <c r="C89" s="1">
        <v>2947</v>
      </c>
      <c r="D89" s="1">
        <v>-12</v>
      </c>
      <c r="E89" s="1">
        <v>1.8</v>
      </c>
      <c r="F89" s="1">
        <v>0.5</v>
      </c>
      <c r="G89" s="1">
        <v>0</v>
      </c>
      <c r="H89" s="1">
        <v>0</v>
      </c>
      <c r="I89" s="1">
        <v>0</v>
      </c>
      <c r="J89" s="1"/>
      <c r="K89" s="1">
        <v>225</v>
      </c>
      <c r="L89" s="1">
        <v>868</v>
      </c>
      <c r="M89" s="1">
        <v>3662</v>
      </c>
      <c r="N89" s="1">
        <v>-9.6</v>
      </c>
      <c r="O89" s="1">
        <v>1.5</v>
      </c>
      <c r="P89" s="1">
        <v>0.4</v>
      </c>
      <c r="Q89" s="1">
        <v>0</v>
      </c>
      <c r="R89" s="1">
        <v>0</v>
      </c>
      <c r="S89" s="1">
        <v>0</v>
      </c>
    </row>
    <row r="90" spans="1:19" x14ac:dyDescent="0.25">
      <c r="A90" s="1">
        <v>250</v>
      </c>
      <c r="B90" s="1">
        <v>760</v>
      </c>
      <c r="C90" s="1">
        <v>2807</v>
      </c>
      <c r="D90" s="1">
        <v>-17.5</v>
      </c>
      <c r="E90" s="1">
        <v>2.4</v>
      </c>
      <c r="F90" s="1">
        <v>0.7</v>
      </c>
      <c r="G90" s="1">
        <v>0</v>
      </c>
      <c r="H90" s="1">
        <v>0</v>
      </c>
      <c r="I90" s="1">
        <v>0</v>
      </c>
      <c r="J90" s="1"/>
      <c r="K90" s="1">
        <v>250</v>
      </c>
      <c r="L90" s="1">
        <v>858</v>
      </c>
      <c r="M90" s="1">
        <v>3578</v>
      </c>
      <c r="N90" s="1">
        <v>-14.1</v>
      </c>
      <c r="O90" s="1">
        <v>1.9</v>
      </c>
      <c r="P90" s="1">
        <v>0.6</v>
      </c>
      <c r="Q90" s="1">
        <v>0</v>
      </c>
      <c r="R90" s="1">
        <v>0</v>
      </c>
      <c r="S90" s="1">
        <v>0</v>
      </c>
    </row>
    <row r="91" spans="1:19" x14ac:dyDescent="0.25">
      <c r="A91" s="1">
        <v>275</v>
      </c>
      <c r="B91" s="1">
        <v>741</v>
      </c>
      <c r="C91" s="1">
        <v>2672</v>
      </c>
      <c r="D91" s="1">
        <v>-24.3</v>
      </c>
      <c r="E91" s="1">
        <v>3</v>
      </c>
      <c r="F91" s="1">
        <v>0.9</v>
      </c>
      <c r="G91" s="1">
        <v>0</v>
      </c>
      <c r="H91" s="1">
        <v>0</v>
      </c>
      <c r="I91" s="1">
        <v>0</v>
      </c>
      <c r="J91" s="1"/>
      <c r="K91" s="1">
        <v>275</v>
      </c>
      <c r="L91" s="1">
        <v>848</v>
      </c>
      <c r="M91" s="1">
        <v>3497</v>
      </c>
      <c r="N91" s="1">
        <v>-19.600000000000001</v>
      </c>
      <c r="O91" s="1">
        <v>2.5</v>
      </c>
      <c r="P91" s="1">
        <v>0.7</v>
      </c>
      <c r="Q91" s="1">
        <v>0</v>
      </c>
      <c r="R91" s="1">
        <v>0</v>
      </c>
      <c r="S91" s="1">
        <v>0</v>
      </c>
    </row>
    <row r="92" spans="1:19" x14ac:dyDescent="0.25">
      <c r="A92" s="1">
        <v>300</v>
      </c>
      <c r="B92" s="1">
        <v>723</v>
      </c>
      <c r="C92" s="1">
        <v>2543</v>
      </c>
      <c r="D92" s="1">
        <v>-32</v>
      </c>
      <c r="E92" s="1">
        <v>3.7</v>
      </c>
      <c r="F92" s="1">
        <v>1.1000000000000001</v>
      </c>
      <c r="G92" s="1">
        <v>0</v>
      </c>
      <c r="H92" s="1">
        <v>0</v>
      </c>
      <c r="I92" s="1">
        <v>0</v>
      </c>
      <c r="J92" s="1"/>
      <c r="K92" s="1">
        <v>300</v>
      </c>
      <c r="L92" s="1">
        <v>838</v>
      </c>
      <c r="M92" s="1">
        <v>3416</v>
      </c>
      <c r="N92" s="1">
        <v>-25.8</v>
      </c>
      <c r="O92" s="1">
        <v>3</v>
      </c>
      <c r="P92" s="1">
        <v>0.9</v>
      </c>
      <c r="Q92" s="1">
        <v>0</v>
      </c>
      <c r="R92" s="1">
        <v>0</v>
      </c>
      <c r="S92" s="1">
        <v>0</v>
      </c>
    </row>
    <row r="93" spans="1:19" x14ac:dyDescent="0.25">
      <c r="A93" s="1">
        <v>325</v>
      </c>
      <c r="B93" s="1">
        <v>705</v>
      </c>
      <c r="C93" s="1">
        <v>2418</v>
      </c>
      <c r="D93" s="1">
        <v>-41</v>
      </c>
      <c r="E93" s="1">
        <v>4.3</v>
      </c>
      <c r="F93" s="1">
        <v>1.3</v>
      </c>
      <c r="G93" s="1">
        <v>0</v>
      </c>
      <c r="H93" s="1">
        <v>0</v>
      </c>
      <c r="I93" s="1">
        <v>0</v>
      </c>
      <c r="J93" s="1"/>
      <c r="K93" s="1">
        <v>325</v>
      </c>
      <c r="L93" s="1">
        <v>829</v>
      </c>
      <c r="M93" s="1">
        <v>3337</v>
      </c>
      <c r="N93" s="1">
        <v>-32.9</v>
      </c>
      <c r="O93" s="1">
        <v>3.5</v>
      </c>
      <c r="P93" s="1">
        <v>1</v>
      </c>
      <c r="Q93" s="1">
        <v>0</v>
      </c>
      <c r="R93" s="1">
        <v>0</v>
      </c>
      <c r="S93" s="1">
        <v>0</v>
      </c>
    </row>
    <row r="94" spans="1:19" x14ac:dyDescent="0.25">
      <c r="A94" s="1">
        <v>350</v>
      </c>
      <c r="B94" s="1">
        <v>688</v>
      </c>
      <c r="C94" s="1">
        <v>2298</v>
      </c>
      <c r="D94" s="1">
        <v>-51.6</v>
      </c>
      <c r="E94" s="1">
        <v>5.0999999999999996</v>
      </c>
      <c r="F94" s="1">
        <v>1.5</v>
      </c>
      <c r="G94" s="1">
        <v>0</v>
      </c>
      <c r="H94" s="1">
        <v>0</v>
      </c>
      <c r="I94" s="1">
        <v>0</v>
      </c>
      <c r="J94" s="1"/>
      <c r="K94" s="1">
        <v>350</v>
      </c>
      <c r="L94" s="1">
        <v>819</v>
      </c>
      <c r="M94" s="1">
        <v>3260</v>
      </c>
      <c r="N94" s="1">
        <v>-41.2</v>
      </c>
      <c r="O94" s="1">
        <v>4</v>
      </c>
      <c r="P94" s="1">
        <v>1.2</v>
      </c>
      <c r="Q94" s="1">
        <v>0</v>
      </c>
      <c r="R94" s="1">
        <v>0</v>
      </c>
      <c r="S94" s="1">
        <v>0</v>
      </c>
    </row>
    <row r="95" spans="1:19" x14ac:dyDescent="0.25">
      <c r="A95" s="1">
        <v>375</v>
      </c>
      <c r="B95" s="1">
        <v>670</v>
      </c>
      <c r="C95" s="1">
        <v>2182</v>
      </c>
      <c r="D95" s="1">
        <v>-63.2</v>
      </c>
      <c r="E95" s="1">
        <v>5.8</v>
      </c>
      <c r="F95" s="1">
        <v>1.7</v>
      </c>
      <c r="G95" s="1">
        <v>0</v>
      </c>
      <c r="H95" s="1">
        <v>0</v>
      </c>
      <c r="I95" s="1">
        <v>0</v>
      </c>
      <c r="J95" s="1"/>
      <c r="K95" s="1">
        <v>375</v>
      </c>
      <c r="L95" s="1">
        <v>809</v>
      </c>
      <c r="M95" s="1">
        <v>3184</v>
      </c>
      <c r="N95" s="1">
        <v>-50.1</v>
      </c>
      <c r="O95" s="1">
        <v>4.5999999999999996</v>
      </c>
      <c r="P95" s="1">
        <v>1.3</v>
      </c>
      <c r="Q95" s="1">
        <v>0</v>
      </c>
      <c r="R95" s="1">
        <v>0</v>
      </c>
      <c r="S95" s="1">
        <v>0</v>
      </c>
    </row>
    <row r="96" spans="1:19" x14ac:dyDescent="0.25">
      <c r="A96" s="1">
        <v>400</v>
      </c>
      <c r="B96" s="1">
        <v>653</v>
      </c>
      <c r="C96" s="1">
        <v>2072</v>
      </c>
      <c r="D96" s="1">
        <v>-76.2</v>
      </c>
      <c r="E96" s="1">
        <v>6.6</v>
      </c>
      <c r="F96" s="1">
        <v>1.9</v>
      </c>
      <c r="G96" s="1">
        <v>0</v>
      </c>
      <c r="H96" s="1">
        <v>0</v>
      </c>
      <c r="I96" s="1">
        <v>0</v>
      </c>
      <c r="J96" s="1"/>
      <c r="K96" s="1">
        <v>400</v>
      </c>
      <c r="L96" s="1">
        <v>800</v>
      </c>
      <c r="M96" s="1">
        <v>3109</v>
      </c>
      <c r="N96" s="1">
        <v>-59.9</v>
      </c>
      <c r="O96" s="1">
        <v>5.2</v>
      </c>
      <c r="P96" s="1">
        <v>1.5</v>
      </c>
      <c r="Q96" s="1">
        <v>0</v>
      </c>
      <c r="R96" s="1">
        <v>0</v>
      </c>
      <c r="S96" s="1">
        <v>0</v>
      </c>
    </row>
    <row r="97" spans="1:19" x14ac:dyDescent="0.25">
      <c r="A97" s="1">
        <v>425</v>
      </c>
      <c r="B97" s="1">
        <v>636</v>
      </c>
      <c r="C97" s="1">
        <v>1965</v>
      </c>
      <c r="D97" s="1">
        <v>-91.4</v>
      </c>
      <c r="E97" s="1">
        <v>7.4</v>
      </c>
      <c r="F97" s="1">
        <v>2.1</v>
      </c>
      <c r="G97" s="1">
        <v>0</v>
      </c>
      <c r="H97" s="1">
        <v>0</v>
      </c>
      <c r="I97" s="1">
        <v>0</v>
      </c>
      <c r="J97" s="1"/>
      <c r="K97" s="1">
        <v>425</v>
      </c>
      <c r="L97" s="1">
        <v>790</v>
      </c>
      <c r="M97" s="1">
        <v>3035</v>
      </c>
      <c r="N97" s="1">
        <v>-71.2</v>
      </c>
      <c r="O97" s="1">
        <v>5.8</v>
      </c>
      <c r="P97" s="1">
        <v>1.7</v>
      </c>
      <c r="Q97" s="1">
        <v>0</v>
      </c>
      <c r="R97" s="1">
        <v>0</v>
      </c>
      <c r="S97" s="1">
        <v>0</v>
      </c>
    </row>
    <row r="98" spans="1:19" x14ac:dyDescent="0.25">
      <c r="A98" s="1">
        <v>450</v>
      </c>
      <c r="B98" s="1">
        <v>619</v>
      </c>
      <c r="C98" s="1">
        <v>1863</v>
      </c>
      <c r="D98" s="1">
        <v>-107.6</v>
      </c>
      <c r="E98" s="1">
        <v>8.1999999999999993</v>
      </c>
      <c r="F98" s="1">
        <v>2.4</v>
      </c>
      <c r="G98" s="1">
        <v>0</v>
      </c>
      <c r="H98" s="1">
        <v>0</v>
      </c>
      <c r="I98" s="1">
        <v>0</v>
      </c>
      <c r="J98" s="1"/>
      <c r="K98" s="1">
        <v>450</v>
      </c>
      <c r="L98" s="1">
        <v>781</v>
      </c>
      <c r="M98" s="1">
        <v>2963</v>
      </c>
      <c r="N98" s="1">
        <v>-83</v>
      </c>
      <c r="O98" s="1">
        <v>6.3</v>
      </c>
      <c r="P98" s="1">
        <v>1.8</v>
      </c>
      <c r="Q98" s="1">
        <v>0</v>
      </c>
      <c r="R98" s="1">
        <v>0</v>
      </c>
      <c r="S98" s="1">
        <v>0</v>
      </c>
    </row>
    <row r="99" spans="1:19" x14ac:dyDescent="0.25">
      <c r="A99" s="1">
        <v>475</v>
      </c>
      <c r="B99" s="1">
        <v>603</v>
      </c>
      <c r="C99" s="1">
        <v>1765</v>
      </c>
      <c r="D99" s="1">
        <v>-125.6</v>
      </c>
      <c r="E99" s="1">
        <v>9.1</v>
      </c>
      <c r="F99" s="1">
        <v>2.6</v>
      </c>
      <c r="G99" s="1">
        <v>0</v>
      </c>
      <c r="H99" s="1">
        <v>0</v>
      </c>
      <c r="I99" s="1">
        <v>0</v>
      </c>
      <c r="J99" s="1"/>
      <c r="K99" s="1">
        <v>475</v>
      </c>
      <c r="L99" s="1">
        <v>771</v>
      </c>
      <c r="M99" s="1">
        <v>2892</v>
      </c>
      <c r="N99" s="1">
        <v>-95.9</v>
      </c>
      <c r="O99" s="1">
        <v>6.9</v>
      </c>
      <c r="P99" s="1">
        <v>2</v>
      </c>
      <c r="Q99" s="1">
        <v>0</v>
      </c>
      <c r="R99" s="1">
        <v>0</v>
      </c>
      <c r="S99" s="1">
        <v>0</v>
      </c>
    </row>
    <row r="100" spans="1:19" x14ac:dyDescent="0.25">
      <c r="A100" s="1">
        <v>500</v>
      </c>
      <c r="B100" s="1">
        <v>587</v>
      </c>
      <c r="C100" s="1">
        <v>1676</v>
      </c>
      <c r="D100" s="1">
        <v>-145.30000000000001</v>
      </c>
      <c r="E100" s="1">
        <v>10</v>
      </c>
      <c r="F100" s="1">
        <v>2.9</v>
      </c>
      <c r="G100" s="1">
        <v>0</v>
      </c>
      <c r="H100" s="1">
        <v>0</v>
      </c>
      <c r="I100" s="1">
        <v>0</v>
      </c>
      <c r="J100" s="1"/>
      <c r="K100" s="1">
        <v>500</v>
      </c>
      <c r="L100" s="1">
        <v>762</v>
      </c>
      <c r="M100" s="1">
        <v>2826</v>
      </c>
      <c r="N100" s="1">
        <v>-109.8</v>
      </c>
      <c r="O100" s="1">
        <v>7.6</v>
      </c>
      <c r="P100" s="1">
        <v>2.2000000000000002</v>
      </c>
      <c r="Q100" s="1">
        <v>0</v>
      </c>
      <c r="R100" s="1">
        <v>0</v>
      </c>
      <c r="S100" s="1">
        <v>0</v>
      </c>
    </row>
    <row r="102" spans="1:19" x14ac:dyDescent="0.25">
      <c r="A102" t="s">
        <v>83</v>
      </c>
      <c r="K102" t="s">
        <v>73</v>
      </c>
    </row>
    <row r="103" spans="1:19" x14ac:dyDescent="0.25">
      <c r="A103" t="s">
        <v>12</v>
      </c>
      <c r="B103" t="s">
        <v>13</v>
      </c>
      <c r="C103" t="s">
        <v>14</v>
      </c>
      <c r="D103" t="s">
        <v>15</v>
      </c>
      <c r="E103" t="s">
        <v>16</v>
      </c>
      <c r="F103" t="s">
        <v>17</v>
      </c>
      <c r="G103" t="s">
        <v>37</v>
      </c>
      <c r="H103" t="s">
        <v>38</v>
      </c>
      <c r="I103" t="s">
        <v>39</v>
      </c>
      <c r="K103" t="s">
        <v>12</v>
      </c>
      <c r="L103" t="s">
        <v>13</v>
      </c>
      <c r="M103" t="s">
        <v>14</v>
      </c>
      <c r="N103" t="s">
        <v>15</v>
      </c>
      <c r="O103" t="s">
        <v>16</v>
      </c>
      <c r="P103" t="s">
        <v>17</v>
      </c>
      <c r="Q103" t="s">
        <v>37</v>
      </c>
      <c r="R103" t="s">
        <v>38</v>
      </c>
      <c r="S103" t="s">
        <v>39</v>
      </c>
    </row>
    <row r="104" spans="1:19" x14ac:dyDescent="0.25">
      <c r="A104" s="1">
        <v>0</v>
      </c>
      <c r="B104" s="1">
        <v>960</v>
      </c>
      <c r="C104" s="1">
        <v>4482</v>
      </c>
      <c r="D104" s="1">
        <v>-3.8</v>
      </c>
      <c r="E104" s="1">
        <v>0</v>
      </c>
      <c r="F104" s="1">
        <v>0</v>
      </c>
      <c r="G104">
        <v>0</v>
      </c>
      <c r="H104" s="1">
        <v>0</v>
      </c>
      <c r="I104" s="1">
        <v>0</v>
      </c>
      <c r="J104" s="1"/>
      <c r="K104" s="1">
        <v>0</v>
      </c>
      <c r="L104" s="1">
        <v>960</v>
      </c>
      <c r="M104" s="1">
        <v>4482</v>
      </c>
      <c r="N104" s="1">
        <v>-3.8</v>
      </c>
      <c r="O104" s="1">
        <v>0</v>
      </c>
      <c r="P104" s="1">
        <v>0</v>
      </c>
      <c r="Q104" s="1">
        <v>0</v>
      </c>
      <c r="R104" s="1">
        <v>0</v>
      </c>
      <c r="S104" s="1">
        <v>0</v>
      </c>
    </row>
    <row r="105" spans="1:19" x14ac:dyDescent="0.25">
      <c r="A105" s="1">
        <v>25</v>
      </c>
      <c r="B105" s="1">
        <v>939</v>
      </c>
      <c r="C105" s="1">
        <v>4282</v>
      </c>
      <c r="D105" s="1">
        <v>-1.8</v>
      </c>
      <c r="E105" s="1">
        <v>2.5</v>
      </c>
      <c r="F105" s="1">
        <v>0.7</v>
      </c>
      <c r="G105">
        <v>0</v>
      </c>
      <c r="H105" s="1">
        <v>0</v>
      </c>
      <c r="I105" s="1">
        <v>0</v>
      </c>
      <c r="J105" s="1"/>
      <c r="K105" s="1">
        <v>25</v>
      </c>
      <c r="L105" s="1">
        <v>950</v>
      </c>
      <c r="M105" s="1">
        <v>4384</v>
      </c>
      <c r="N105" s="1">
        <v>-1.8</v>
      </c>
      <c r="O105" s="1">
        <v>2.5</v>
      </c>
      <c r="P105" s="1">
        <v>0.7</v>
      </c>
      <c r="Q105" s="1">
        <v>0</v>
      </c>
      <c r="R105" s="1">
        <v>0</v>
      </c>
      <c r="S105" s="1">
        <v>0</v>
      </c>
    </row>
    <row r="106" spans="1:19" x14ac:dyDescent="0.25">
      <c r="A106" s="1">
        <v>50</v>
      </c>
      <c r="B106" s="1">
        <v>918</v>
      </c>
      <c r="C106" s="1">
        <v>4092</v>
      </c>
      <c r="D106" s="1">
        <v>-0.4</v>
      </c>
      <c r="E106" s="1">
        <v>0.3</v>
      </c>
      <c r="F106" s="1">
        <v>0.1</v>
      </c>
      <c r="G106">
        <v>0</v>
      </c>
      <c r="H106" s="1">
        <v>0</v>
      </c>
      <c r="I106" s="1">
        <v>0</v>
      </c>
      <c r="J106" s="1"/>
      <c r="K106" s="1">
        <v>50</v>
      </c>
      <c r="L106" s="1">
        <v>939</v>
      </c>
      <c r="M106" s="1">
        <v>4288</v>
      </c>
      <c r="N106" s="1">
        <v>-0.5</v>
      </c>
      <c r="O106" s="1">
        <v>0.3</v>
      </c>
      <c r="P106" s="1">
        <v>0.1</v>
      </c>
      <c r="Q106" s="1">
        <v>0</v>
      </c>
      <c r="R106" s="1">
        <v>0</v>
      </c>
      <c r="S106" s="1">
        <v>0</v>
      </c>
    </row>
    <row r="107" spans="1:19" x14ac:dyDescent="0.25">
      <c r="A107" s="1">
        <v>75</v>
      </c>
      <c r="B107" s="1">
        <v>897</v>
      </c>
      <c r="C107" s="1">
        <v>3909</v>
      </c>
      <c r="D107" s="1">
        <v>0.2</v>
      </c>
      <c r="E107" s="1">
        <v>-0.1</v>
      </c>
      <c r="F107" s="1">
        <v>0</v>
      </c>
      <c r="G107">
        <v>0</v>
      </c>
      <c r="H107" s="1">
        <v>0</v>
      </c>
      <c r="I107" s="1">
        <v>0</v>
      </c>
      <c r="J107" s="1"/>
      <c r="K107" s="1">
        <v>75</v>
      </c>
      <c r="L107" s="1">
        <v>929</v>
      </c>
      <c r="M107" s="1">
        <v>4194</v>
      </c>
      <c r="N107" s="1">
        <v>0.1</v>
      </c>
      <c r="O107" s="1">
        <v>0</v>
      </c>
      <c r="P107" s="1">
        <v>0</v>
      </c>
      <c r="Q107" s="1">
        <v>0</v>
      </c>
      <c r="R107" s="1">
        <v>0</v>
      </c>
      <c r="S107" s="1">
        <v>0</v>
      </c>
    </row>
    <row r="108" spans="1:19" x14ac:dyDescent="0.25">
      <c r="A108" s="10">
        <v>100</v>
      </c>
      <c r="B108" s="10">
        <v>876</v>
      </c>
      <c r="C108" s="10">
        <v>3733</v>
      </c>
      <c r="D108" s="10">
        <v>0</v>
      </c>
      <c r="E108" s="10">
        <v>0</v>
      </c>
      <c r="F108" s="10">
        <v>0</v>
      </c>
      <c r="G108">
        <v>0</v>
      </c>
      <c r="H108" s="1">
        <v>0</v>
      </c>
      <c r="I108" s="1">
        <v>0</v>
      </c>
      <c r="J108" s="1"/>
      <c r="K108" s="1">
        <v>100</v>
      </c>
      <c r="L108" s="1">
        <v>919</v>
      </c>
      <c r="M108" s="1">
        <v>4101</v>
      </c>
      <c r="N108" s="1">
        <v>0</v>
      </c>
      <c r="O108" s="1">
        <v>0</v>
      </c>
      <c r="P108" s="1">
        <v>0</v>
      </c>
      <c r="Q108" s="1">
        <v>0</v>
      </c>
      <c r="R108" s="1">
        <v>0</v>
      </c>
      <c r="S108" s="1">
        <v>0</v>
      </c>
    </row>
    <row r="109" spans="1:19" x14ac:dyDescent="0.25">
      <c r="A109" s="1">
        <v>125</v>
      </c>
      <c r="B109" s="1">
        <v>856</v>
      </c>
      <c r="C109" s="1">
        <v>3564</v>
      </c>
      <c r="D109" s="1">
        <v>-1</v>
      </c>
      <c r="E109" s="1">
        <v>0.3</v>
      </c>
      <c r="F109" s="1">
        <v>0.1</v>
      </c>
      <c r="G109">
        <v>0</v>
      </c>
      <c r="H109" s="1">
        <v>0</v>
      </c>
      <c r="I109" s="1">
        <v>0</v>
      </c>
      <c r="J109" s="1"/>
      <c r="K109" s="1">
        <v>125</v>
      </c>
      <c r="L109" s="1">
        <v>908</v>
      </c>
      <c r="M109" s="1">
        <v>4010</v>
      </c>
      <c r="N109" s="1">
        <v>-0.9</v>
      </c>
      <c r="O109" s="1">
        <v>0.2</v>
      </c>
      <c r="P109" s="1">
        <v>0.1</v>
      </c>
      <c r="Q109" s="1">
        <v>0</v>
      </c>
      <c r="R109" s="1">
        <v>0</v>
      </c>
      <c r="S109" s="1">
        <v>0</v>
      </c>
    </row>
    <row r="110" spans="1:19" x14ac:dyDescent="0.25">
      <c r="A110" s="1">
        <v>150</v>
      </c>
      <c r="B110" s="1">
        <v>836</v>
      </c>
      <c r="C110" s="1">
        <v>3401</v>
      </c>
      <c r="D110" s="1">
        <v>-2.8</v>
      </c>
      <c r="E110" s="1">
        <v>0.6</v>
      </c>
      <c r="F110" s="1">
        <v>0.2</v>
      </c>
      <c r="G110">
        <v>0</v>
      </c>
      <c r="H110" s="1">
        <v>0</v>
      </c>
      <c r="I110" s="1">
        <v>0</v>
      </c>
      <c r="J110" s="1"/>
      <c r="K110" s="1">
        <v>150</v>
      </c>
      <c r="L110" s="1">
        <v>898</v>
      </c>
      <c r="M110" s="1">
        <v>3920</v>
      </c>
      <c r="N110" s="1">
        <v>-2.4</v>
      </c>
      <c r="O110" s="1">
        <v>0.6</v>
      </c>
      <c r="P110" s="1">
        <v>0.2</v>
      </c>
      <c r="Q110" s="1">
        <v>0</v>
      </c>
      <c r="R110" s="1">
        <v>0</v>
      </c>
      <c r="S110" s="1">
        <v>0</v>
      </c>
    </row>
    <row r="111" spans="1:19" x14ac:dyDescent="0.25">
      <c r="A111" s="1">
        <v>175</v>
      </c>
      <c r="B111" s="1">
        <v>817</v>
      </c>
      <c r="C111" s="1">
        <v>3244</v>
      </c>
      <c r="D111" s="1">
        <v>-5.5</v>
      </c>
      <c r="E111" s="1">
        <v>1.1000000000000001</v>
      </c>
      <c r="F111" s="1">
        <v>0.3</v>
      </c>
      <c r="G111">
        <v>0</v>
      </c>
      <c r="H111" s="1">
        <v>0</v>
      </c>
      <c r="I111" s="1">
        <v>0</v>
      </c>
      <c r="J111" s="1"/>
      <c r="K111" s="1">
        <v>175</v>
      </c>
      <c r="L111" s="1">
        <v>888</v>
      </c>
      <c r="M111" s="1">
        <v>3833</v>
      </c>
      <c r="N111" s="1">
        <v>-4.8</v>
      </c>
      <c r="O111" s="1">
        <v>0.9</v>
      </c>
      <c r="P111" s="1">
        <v>0.3</v>
      </c>
      <c r="Q111" s="1">
        <v>0</v>
      </c>
      <c r="R111" s="1">
        <v>0</v>
      </c>
      <c r="S111" s="1">
        <v>0</v>
      </c>
    </row>
    <row r="112" spans="1:19" x14ac:dyDescent="0.25">
      <c r="A112" s="1">
        <v>200</v>
      </c>
      <c r="B112" s="1">
        <v>798</v>
      </c>
      <c r="C112" s="1">
        <v>3093</v>
      </c>
      <c r="D112" s="1">
        <v>-9.3000000000000007</v>
      </c>
      <c r="E112" s="1">
        <v>1.6</v>
      </c>
      <c r="F112" s="1">
        <v>0.5</v>
      </c>
      <c r="G112">
        <v>0</v>
      </c>
      <c r="H112" s="1">
        <v>0</v>
      </c>
      <c r="I112" s="1">
        <v>0</v>
      </c>
      <c r="J112" s="1"/>
      <c r="K112" s="1">
        <v>200</v>
      </c>
      <c r="L112" s="1">
        <v>878</v>
      </c>
      <c r="M112" s="1">
        <v>3746</v>
      </c>
      <c r="N112" s="1">
        <v>-8</v>
      </c>
      <c r="O112" s="1">
        <v>1.4</v>
      </c>
      <c r="P112" s="1">
        <v>0.4</v>
      </c>
      <c r="Q112" s="1">
        <v>0</v>
      </c>
      <c r="R112" s="1">
        <v>0</v>
      </c>
      <c r="S112" s="1">
        <v>0</v>
      </c>
    </row>
    <row r="113" spans="1:19" x14ac:dyDescent="0.25">
      <c r="A113" s="1">
        <v>225</v>
      </c>
      <c r="B113" s="1">
        <v>779</v>
      </c>
      <c r="C113" s="1">
        <v>2947</v>
      </c>
      <c r="D113" s="1">
        <v>-13.9</v>
      </c>
      <c r="E113" s="1">
        <v>2.1</v>
      </c>
      <c r="F113" s="1">
        <v>0.6</v>
      </c>
      <c r="G113">
        <v>0</v>
      </c>
      <c r="H113" s="1">
        <v>0</v>
      </c>
      <c r="I113" s="1">
        <v>0</v>
      </c>
      <c r="J113" s="1"/>
      <c r="K113" s="1">
        <v>225</v>
      </c>
      <c r="L113" s="1">
        <v>868</v>
      </c>
      <c r="M113" s="1">
        <v>3662</v>
      </c>
      <c r="N113" s="1">
        <v>-11.9</v>
      </c>
      <c r="O113" s="1">
        <v>1.8</v>
      </c>
      <c r="P113" s="1">
        <v>0.5</v>
      </c>
      <c r="Q113" s="1">
        <v>0</v>
      </c>
      <c r="R113" s="1">
        <v>0</v>
      </c>
      <c r="S113" s="1">
        <v>0</v>
      </c>
    </row>
    <row r="114" spans="1:19" x14ac:dyDescent="0.25">
      <c r="A114" s="1">
        <v>250</v>
      </c>
      <c r="B114" s="1">
        <v>760</v>
      </c>
      <c r="C114" s="1">
        <v>2807</v>
      </c>
      <c r="D114" s="1">
        <v>-19.5</v>
      </c>
      <c r="E114" s="1">
        <v>2.7</v>
      </c>
      <c r="F114" s="1">
        <v>0.8</v>
      </c>
      <c r="G114">
        <v>0</v>
      </c>
      <c r="H114" s="1">
        <v>0</v>
      </c>
      <c r="I114" s="1">
        <v>0</v>
      </c>
      <c r="J114" s="1"/>
      <c r="K114" s="1">
        <v>250</v>
      </c>
      <c r="L114" s="1">
        <v>858</v>
      </c>
      <c r="M114" s="1">
        <v>3578</v>
      </c>
      <c r="N114" s="1">
        <v>-16.600000000000001</v>
      </c>
      <c r="O114" s="1">
        <v>2.2999999999999998</v>
      </c>
      <c r="P114" s="1">
        <v>0.7</v>
      </c>
      <c r="Q114" s="1">
        <v>0</v>
      </c>
      <c r="R114" s="1">
        <v>0</v>
      </c>
      <c r="S114" s="1">
        <v>0</v>
      </c>
    </row>
    <row r="115" spans="1:19" x14ac:dyDescent="0.25">
      <c r="A115" s="1">
        <v>275</v>
      </c>
      <c r="B115" s="1">
        <v>741</v>
      </c>
      <c r="C115" s="1">
        <v>2672</v>
      </c>
      <c r="D115" s="1">
        <v>-26.6</v>
      </c>
      <c r="E115" s="1">
        <v>3.3</v>
      </c>
      <c r="F115" s="1">
        <v>1</v>
      </c>
      <c r="G115">
        <v>0</v>
      </c>
      <c r="H115" s="1">
        <v>0</v>
      </c>
      <c r="I115" s="1">
        <v>0</v>
      </c>
      <c r="J115" s="1"/>
      <c r="K115" s="1">
        <v>275</v>
      </c>
      <c r="L115" s="1">
        <v>848</v>
      </c>
      <c r="M115" s="1">
        <v>3497</v>
      </c>
      <c r="N115" s="1">
        <v>-22.4</v>
      </c>
      <c r="O115" s="1">
        <v>2.8</v>
      </c>
      <c r="P115" s="1">
        <v>0.8</v>
      </c>
      <c r="Q115" s="1">
        <v>0</v>
      </c>
      <c r="R115" s="1">
        <v>0</v>
      </c>
      <c r="S115" s="1">
        <v>0</v>
      </c>
    </row>
    <row r="116" spans="1:19" x14ac:dyDescent="0.25">
      <c r="A116" s="1">
        <v>300</v>
      </c>
      <c r="B116" s="1">
        <v>723</v>
      </c>
      <c r="C116" s="1">
        <v>2543</v>
      </c>
      <c r="D116" s="1">
        <v>-34.5</v>
      </c>
      <c r="E116" s="1">
        <v>4</v>
      </c>
      <c r="F116" s="1">
        <v>1.1000000000000001</v>
      </c>
      <c r="G116">
        <v>0</v>
      </c>
      <c r="H116" s="1">
        <v>0</v>
      </c>
      <c r="I116" s="1">
        <v>0</v>
      </c>
      <c r="J116" s="1"/>
      <c r="K116" s="1">
        <v>300</v>
      </c>
      <c r="L116" s="1">
        <v>838</v>
      </c>
      <c r="M116" s="1">
        <v>3416</v>
      </c>
      <c r="N116" s="1">
        <v>-28.8</v>
      </c>
      <c r="O116" s="1">
        <v>3.3</v>
      </c>
      <c r="P116" s="1">
        <v>1</v>
      </c>
      <c r="Q116" s="1">
        <v>0</v>
      </c>
      <c r="R116" s="1">
        <v>0</v>
      </c>
      <c r="S116" s="1">
        <v>0</v>
      </c>
    </row>
    <row r="117" spans="1:19" x14ac:dyDescent="0.25">
      <c r="A117" s="1">
        <v>325</v>
      </c>
      <c r="B117" s="1">
        <v>705</v>
      </c>
      <c r="C117" s="1">
        <v>2418</v>
      </c>
      <c r="D117" s="1">
        <v>-43.6</v>
      </c>
      <c r="E117" s="1">
        <v>4.5999999999999996</v>
      </c>
      <c r="F117" s="1">
        <v>1.3</v>
      </c>
      <c r="G117">
        <v>0</v>
      </c>
      <c r="H117" s="1">
        <v>0</v>
      </c>
      <c r="I117" s="1">
        <v>0</v>
      </c>
      <c r="J117" s="1"/>
      <c r="K117" s="1">
        <v>325</v>
      </c>
      <c r="L117" s="1">
        <v>829</v>
      </c>
      <c r="M117" s="1">
        <v>3337</v>
      </c>
      <c r="N117" s="1">
        <v>-36.200000000000003</v>
      </c>
      <c r="O117" s="1">
        <v>3.8</v>
      </c>
      <c r="P117" s="1">
        <v>1.1000000000000001</v>
      </c>
      <c r="Q117" s="1">
        <v>0</v>
      </c>
      <c r="R117" s="1">
        <v>0</v>
      </c>
      <c r="S117" s="1">
        <v>0</v>
      </c>
    </row>
    <row r="118" spans="1:19" x14ac:dyDescent="0.25">
      <c r="A118" s="1">
        <v>350</v>
      </c>
      <c r="B118" s="1">
        <v>688</v>
      </c>
      <c r="C118" s="1">
        <v>2298</v>
      </c>
      <c r="D118" s="1">
        <v>-54.4</v>
      </c>
      <c r="E118" s="1">
        <v>5.3</v>
      </c>
      <c r="F118" s="1">
        <v>1.6</v>
      </c>
      <c r="G118">
        <v>0</v>
      </c>
      <c r="H118" s="1">
        <v>0</v>
      </c>
      <c r="I118" s="1">
        <v>0</v>
      </c>
      <c r="J118" s="1"/>
      <c r="K118" s="1">
        <v>350</v>
      </c>
      <c r="L118" s="1">
        <v>819</v>
      </c>
      <c r="M118" s="1">
        <v>3260</v>
      </c>
      <c r="N118" s="1">
        <v>-44.7</v>
      </c>
      <c r="O118" s="1">
        <v>4.4000000000000004</v>
      </c>
      <c r="P118" s="1">
        <v>1.3</v>
      </c>
      <c r="Q118" s="1">
        <v>0</v>
      </c>
      <c r="R118" s="1">
        <v>0</v>
      </c>
      <c r="S118" s="1">
        <v>0</v>
      </c>
    </row>
    <row r="119" spans="1:19" x14ac:dyDescent="0.25">
      <c r="A119" s="1">
        <v>375</v>
      </c>
      <c r="B119" s="1">
        <v>670</v>
      </c>
      <c r="C119" s="1">
        <v>2182</v>
      </c>
      <c r="D119" s="1">
        <v>-66.3</v>
      </c>
      <c r="E119" s="1">
        <v>6.1</v>
      </c>
      <c r="F119" s="1">
        <v>1.8</v>
      </c>
      <c r="G119">
        <v>0</v>
      </c>
      <c r="H119" s="1">
        <v>0</v>
      </c>
      <c r="I119" s="1">
        <v>0</v>
      </c>
      <c r="J119" s="1"/>
      <c r="K119" s="1">
        <v>375</v>
      </c>
      <c r="L119" s="1">
        <v>809</v>
      </c>
      <c r="M119" s="1">
        <v>3184</v>
      </c>
      <c r="N119" s="1">
        <v>-53.9</v>
      </c>
      <c r="O119" s="1">
        <v>4.9000000000000004</v>
      </c>
      <c r="P119" s="1">
        <v>1.4</v>
      </c>
      <c r="Q119" s="1">
        <v>0</v>
      </c>
      <c r="R119" s="1">
        <v>0</v>
      </c>
      <c r="S119" s="1">
        <v>0</v>
      </c>
    </row>
    <row r="120" spans="1:19" x14ac:dyDescent="0.25">
      <c r="A120" s="1">
        <v>400</v>
      </c>
      <c r="B120" s="1">
        <v>653</v>
      </c>
      <c r="C120" s="1">
        <v>2072</v>
      </c>
      <c r="D120" s="1">
        <v>-79.5</v>
      </c>
      <c r="E120" s="1">
        <v>6.8</v>
      </c>
      <c r="F120" s="1">
        <v>2</v>
      </c>
      <c r="G120">
        <v>0</v>
      </c>
      <c r="H120" s="1">
        <v>0</v>
      </c>
      <c r="I120" s="1">
        <v>0</v>
      </c>
      <c r="J120" s="1"/>
      <c r="K120" s="1">
        <v>400</v>
      </c>
      <c r="L120" s="1">
        <v>800</v>
      </c>
      <c r="M120" s="1">
        <v>3109</v>
      </c>
      <c r="N120" s="1">
        <v>-64</v>
      </c>
      <c r="O120" s="1">
        <v>5.5</v>
      </c>
      <c r="P120" s="1">
        <v>1.6</v>
      </c>
      <c r="Q120" s="1">
        <v>0</v>
      </c>
      <c r="R120" s="1">
        <v>0</v>
      </c>
      <c r="S120" s="1">
        <v>0</v>
      </c>
    </row>
    <row r="121" spans="1:19" x14ac:dyDescent="0.25">
      <c r="A121" s="1">
        <v>425</v>
      </c>
      <c r="B121" s="1">
        <v>636</v>
      </c>
      <c r="C121" s="1">
        <v>1965</v>
      </c>
      <c r="D121" s="1">
        <v>-94.9</v>
      </c>
      <c r="E121" s="1">
        <v>7.7</v>
      </c>
      <c r="F121" s="1">
        <v>2.2000000000000002</v>
      </c>
      <c r="G121">
        <v>0</v>
      </c>
      <c r="H121" s="1">
        <v>0</v>
      </c>
      <c r="I121" s="1">
        <v>0</v>
      </c>
      <c r="J121" s="1"/>
      <c r="K121" s="1">
        <v>425</v>
      </c>
      <c r="L121" s="1">
        <v>790</v>
      </c>
      <c r="M121" s="1">
        <v>3035</v>
      </c>
      <c r="N121" s="1">
        <v>-75.5</v>
      </c>
      <c r="O121" s="1">
        <v>6.1</v>
      </c>
      <c r="P121" s="1">
        <v>1.8</v>
      </c>
      <c r="Q121" s="1">
        <v>0</v>
      </c>
      <c r="R121" s="1">
        <v>0</v>
      </c>
      <c r="S121" s="1">
        <v>0</v>
      </c>
    </row>
    <row r="122" spans="1:19" x14ac:dyDescent="0.25">
      <c r="A122" s="1">
        <v>450</v>
      </c>
      <c r="B122" s="1">
        <v>619</v>
      </c>
      <c r="C122" s="1">
        <v>1863</v>
      </c>
      <c r="D122" s="1">
        <v>-111.3</v>
      </c>
      <c r="E122" s="1">
        <v>8.5</v>
      </c>
      <c r="F122" s="1">
        <v>2.5</v>
      </c>
      <c r="G122">
        <v>0</v>
      </c>
      <c r="H122" s="1">
        <v>0</v>
      </c>
      <c r="I122" s="1">
        <v>0</v>
      </c>
      <c r="J122" s="1"/>
      <c r="K122" s="1">
        <v>450</v>
      </c>
      <c r="L122" s="1">
        <v>781</v>
      </c>
      <c r="M122" s="1">
        <v>2963</v>
      </c>
      <c r="N122" s="1">
        <v>-87.6</v>
      </c>
      <c r="O122" s="1">
        <v>6.7</v>
      </c>
      <c r="P122" s="1">
        <v>1.9</v>
      </c>
      <c r="Q122" s="1">
        <v>0</v>
      </c>
      <c r="R122" s="1">
        <v>0</v>
      </c>
      <c r="S122" s="1">
        <v>0</v>
      </c>
    </row>
    <row r="123" spans="1:19" x14ac:dyDescent="0.25">
      <c r="A123" s="1">
        <v>475</v>
      </c>
      <c r="B123" s="1">
        <v>603</v>
      </c>
      <c r="C123" s="1">
        <v>1765</v>
      </c>
      <c r="D123" s="1">
        <v>-129.5</v>
      </c>
      <c r="E123" s="1">
        <v>9.4</v>
      </c>
      <c r="F123" s="1">
        <v>2.7</v>
      </c>
      <c r="G123">
        <v>0</v>
      </c>
      <c r="H123" s="1">
        <v>0</v>
      </c>
      <c r="I123" s="1">
        <v>0</v>
      </c>
      <c r="J123" s="1"/>
      <c r="K123" s="1">
        <v>475</v>
      </c>
      <c r="L123" s="1">
        <v>771</v>
      </c>
      <c r="M123" s="1">
        <v>2892</v>
      </c>
      <c r="N123" s="1">
        <v>-100.7</v>
      </c>
      <c r="O123" s="1">
        <v>7.3</v>
      </c>
      <c r="P123" s="1">
        <v>2.1</v>
      </c>
      <c r="Q123" s="1">
        <v>0</v>
      </c>
      <c r="R123" s="1">
        <v>0</v>
      </c>
      <c r="S123" s="1">
        <v>0</v>
      </c>
    </row>
    <row r="124" spans="1:19" x14ac:dyDescent="0.25">
      <c r="A124" s="1">
        <v>500</v>
      </c>
      <c r="B124" s="1">
        <v>587</v>
      </c>
      <c r="C124" s="1">
        <v>1676</v>
      </c>
      <c r="D124" s="1">
        <v>-149.4</v>
      </c>
      <c r="E124" s="1">
        <v>10.3</v>
      </c>
      <c r="F124" s="1">
        <v>3</v>
      </c>
      <c r="G124">
        <v>0</v>
      </c>
      <c r="H124" s="1">
        <v>0</v>
      </c>
      <c r="I124" s="1">
        <v>0</v>
      </c>
      <c r="J124" s="1"/>
      <c r="K124" s="1">
        <v>500</v>
      </c>
      <c r="L124" s="1">
        <v>762</v>
      </c>
      <c r="M124" s="1">
        <v>2826</v>
      </c>
      <c r="N124" s="1">
        <v>-114.9</v>
      </c>
      <c r="O124" s="1">
        <v>7.9</v>
      </c>
      <c r="P124" s="1">
        <v>2.2999999999999998</v>
      </c>
      <c r="Q124" s="1">
        <v>0</v>
      </c>
      <c r="R124" s="1">
        <v>0</v>
      </c>
      <c r="S124" s="1">
        <v>0</v>
      </c>
    </row>
    <row r="126" spans="1:19" x14ac:dyDescent="0.25">
      <c r="A126" t="s">
        <v>82</v>
      </c>
      <c r="K126" t="s">
        <v>74</v>
      </c>
    </row>
    <row r="127" spans="1:19" x14ac:dyDescent="0.25">
      <c r="A127" t="s">
        <v>12</v>
      </c>
      <c r="B127" t="s">
        <v>13</v>
      </c>
      <c r="C127" t="s">
        <v>14</v>
      </c>
      <c r="D127" t="s">
        <v>15</v>
      </c>
      <c r="E127" t="s">
        <v>16</v>
      </c>
      <c r="F127" t="s">
        <v>17</v>
      </c>
      <c r="G127" t="s">
        <v>37</v>
      </c>
      <c r="H127" t="s">
        <v>38</v>
      </c>
      <c r="I127" t="s">
        <v>39</v>
      </c>
      <c r="K127" t="s">
        <v>12</v>
      </c>
      <c r="L127" t="s">
        <v>13</v>
      </c>
      <c r="M127" t="s">
        <v>14</v>
      </c>
      <c r="N127" t="s">
        <v>15</v>
      </c>
      <c r="O127" t="s">
        <v>16</v>
      </c>
      <c r="P127" t="s">
        <v>17</v>
      </c>
      <c r="Q127" t="s">
        <v>37</v>
      </c>
      <c r="R127" t="s">
        <v>38</v>
      </c>
      <c r="S127" t="s">
        <v>39</v>
      </c>
    </row>
    <row r="128" spans="1:19" x14ac:dyDescent="0.25">
      <c r="A128" s="1">
        <v>0</v>
      </c>
      <c r="B128" s="1">
        <v>960</v>
      </c>
      <c r="C128" s="1">
        <v>4482</v>
      </c>
      <c r="D128" s="1">
        <v>-3.8</v>
      </c>
      <c r="E128" s="1">
        <v>0</v>
      </c>
      <c r="F128" s="1">
        <v>0</v>
      </c>
      <c r="G128">
        <v>0</v>
      </c>
      <c r="H128">
        <v>0</v>
      </c>
      <c r="I128">
        <v>0</v>
      </c>
      <c r="K128" s="1">
        <v>0</v>
      </c>
      <c r="L128" s="1">
        <v>960</v>
      </c>
      <c r="M128" s="1">
        <v>4482</v>
      </c>
      <c r="N128" s="1">
        <v>-3.8</v>
      </c>
      <c r="O128" s="1">
        <v>0</v>
      </c>
      <c r="P128" s="1">
        <v>0</v>
      </c>
      <c r="Q128" s="1">
        <v>0</v>
      </c>
      <c r="R128" s="1">
        <v>0</v>
      </c>
      <c r="S128" s="1">
        <v>0</v>
      </c>
    </row>
    <row r="129" spans="1:19" x14ac:dyDescent="0.25">
      <c r="A129" s="1">
        <v>25</v>
      </c>
      <c r="B129" s="1">
        <v>939</v>
      </c>
      <c r="C129" s="1">
        <v>4282</v>
      </c>
      <c r="D129" s="1">
        <v>-0.6</v>
      </c>
      <c r="E129" s="1">
        <v>0.9</v>
      </c>
      <c r="F129" s="1">
        <v>0.3</v>
      </c>
      <c r="G129">
        <v>0</v>
      </c>
      <c r="H129">
        <v>0</v>
      </c>
      <c r="I129">
        <v>0</v>
      </c>
      <c r="K129" s="1">
        <v>25</v>
      </c>
      <c r="L129" s="1">
        <v>950</v>
      </c>
      <c r="M129" s="1">
        <v>4384</v>
      </c>
      <c r="N129" s="1">
        <v>-1.4</v>
      </c>
      <c r="O129" s="1">
        <v>2</v>
      </c>
      <c r="P129" s="1">
        <v>0.6</v>
      </c>
      <c r="Q129" s="1">
        <v>0</v>
      </c>
      <c r="R129" s="1">
        <v>0</v>
      </c>
      <c r="S129" s="1">
        <v>0</v>
      </c>
    </row>
    <row r="130" spans="1:19" x14ac:dyDescent="0.25">
      <c r="A130" s="1">
        <v>50</v>
      </c>
      <c r="B130" s="1">
        <v>918</v>
      </c>
      <c r="C130" s="1">
        <v>4092</v>
      </c>
      <c r="D130" s="1">
        <v>1.9</v>
      </c>
      <c r="E130" s="1">
        <v>-1.3</v>
      </c>
      <c r="F130" s="1">
        <v>-0.4</v>
      </c>
      <c r="G130">
        <v>0</v>
      </c>
      <c r="H130">
        <v>0</v>
      </c>
      <c r="I130">
        <v>0</v>
      </c>
      <c r="K130" s="1">
        <v>50</v>
      </c>
      <c r="L130" s="1">
        <v>939</v>
      </c>
      <c r="M130" s="1">
        <v>4288</v>
      </c>
      <c r="N130" s="1">
        <v>0.3</v>
      </c>
      <c r="O130" s="1">
        <v>-0.2</v>
      </c>
      <c r="P130" s="1">
        <v>-0.1</v>
      </c>
      <c r="Q130" s="1">
        <v>0</v>
      </c>
      <c r="R130" s="1">
        <v>0</v>
      </c>
      <c r="S130" s="1">
        <v>0</v>
      </c>
    </row>
    <row r="131" spans="1:19" x14ac:dyDescent="0.25">
      <c r="A131" s="1">
        <v>75</v>
      </c>
      <c r="B131" s="1">
        <v>897</v>
      </c>
      <c r="C131" s="1">
        <v>3909</v>
      </c>
      <c r="D131" s="1">
        <v>3.7</v>
      </c>
      <c r="E131" s="1">
        <v>-1.7</v>
      </c>
      <c r="F131" s="1">
        <v>-0.5</v>
      </c>
      <c r="G131">
        <v>0</v>
      </c>
      <c r="H131">
        <v>0</v>
      </c>
      <c r="I131">
        <v>0</v>
      </c>
      <c r="K131" s="1">
        <v>75</v>
      </c>
      <c r="L131" s="1">
        <v>929</v>
      </c>
      <c r="M131" s="1">
        <v>4194</v>
      </c>
      <c r="N131" s="1">
        <v>1.3</v>
      </c>
      <c r="O131" s="1">
        <v>-0.6</v>
      </c>
      <c r="P131" s="1">
        <v>-0.2</v>
      </c>
      <c r="Q131" s="1">
        <v>0</v>
      </c>
      <c r="R131" s="1">
        <v>0</v>
      </c>
      <c r="S131" s="1">
        <v>0</v>
      </c>
    </row>
    <row r="132" spans="1:19" x14ac:dyDescent="0.25">
      <c r="A132" s="1">
        <v>100</v>
      </c>
      <c r="B132" s="1">
        <v>876</v>
      </c>
      <c r="C132" s="1">
        <v>3733</v>
      </c>
      <c r="D132" s="1">
        <v>4.5999999999999996</v>
      </c>
      <c r="E132" s="1">
        <v>-1.6</v>
      </c>
      <c r="F132" s="1">
        <v>-0.5</v>
      </c>
      <c r="G132">
        <v>0</v>
      </c>
      <c r="H132">
        <v>0</v>
      </c>
      <c r="I132">
        <v>0</v>
      </c>
      <c r="K132" s="1">
        <v>100</v>
      </c>
      <c r="L132" s="1">
        <v>919</v>
      </c>
      <c r="M132" s="1">
        <v>4101</v>
      </c>
      <c r="N132" s="1">
        <v>1.6</v>
      </c>
      <c r="O132" s="1">
        <v>-0.6</v>
      </c>
      <c r="P132" s="1">
        <v>-0.2</v>
      </c>
      <c r="Q132" s="1">
        <v>0</v>
      </c>
      <c r="R132" s="1">
        <v>0</v>
      </c>
      <c r="S132" s="1">
        <v>0</v>
      </c>
    </row>
    <row r="133" spans="1:19" x14ac:dyDescent="0.25">
      <c r="A133" s="1">
        <v>125</v>
      </c>
      <c r="B133" s="1">
        <v>856</v>
      </c>
      <c r="C133" s="1">
        <v>3564</v>
      </c>
      <c r="D133" s="1">
        <v>4.8</v>
      </c>
      <c r="E133" s="1">
        <v>-1.3</v>
      </c>
      <c r="F133" s="1">
        <v>-0.4</v>
      </c>
      <c r="G133">
        <v>0</v>
      </c>
      <c r="H133">
        <v>0</v>
      </c>
      <c r="I133">
        <v>0</v>
      </c>
      <c r="K133" s="1">
        <v>125</v>
      </c>
      <c r="L133" s="1">
        <v>908</v>
      </c>
      <c r="M133" s="1">
        <v>4010</v>
      </c>
      <c r="N133" s="1">
        <v>1.2</v>
      </c>
      <c r="O133" s="1">
        <v>-0.3</v>
      </c>
      <c r="P133" s="1">
        <v>-0.1</v>
      </c>
      <c r="Q133" s="1">
        <v>0</v>
      </c>
      <c r="R133" s="1">
        <v>0</v>
      </c>
      <c r="S133" s="1">
        <v>0</v>
      </c>
    </row>
    <row r="134" spans="1:19" x14ac:dyDescent="0.25">
      <c r="A134" s="10">
        <v>150</v>
      </c>
      <c r="B134" s="10">
        <v>836</v>
      </c>
      <c r="C134" s="10">
        <v>3401</v>
      </c>
      <c r="D134" s="10">
        <v>4.0999999999999996</v>
      </c>
      <c r="E134" s="10">
        <v>-1</v>
      </c>
      <c r="F134" s="10">
        <v>-0.3</v>
      </c>
      <c r="G134">
        <v>0</v>
      </c>
      <c r="H134">
        <v>0</v>
      </c>
      <c r="I134">
        <v>0</v>
      </c>
      <c r="K134" s="1">
        <v>150</v>
      </c>
      <c r="L134" s="1">
        <v>898</v>
      </c>
      <c r="M134" s="1">
        <v>3920</v>
      </c>
      <c r="N134" s="1">
        <v>0</v>
      </c>
      <c r="O134" s="1">
        <v>0</v>
      </c>
      <c r="P134" s="1">
        <v>0</v>
      </c>
      <c r="Q134" s="1">
        <v>0</v>
      </c>
      <c r="R134" s="1">
        <v>0</v>
      </c>
      <c r="S134" s="1">
        <v>0</v>
      </c>
    </row>
    <row r="135" spans="1:19" x14ac:dyDescent="0.25">
      <c r="A135" s="1">
        <v>175</v>
      </c>
      <c r="B135" s="1">
        <v>817</v>
      </c>
      <c r="C135" s="1">
        <v>3244</v>
      </c>
      <c r="D135" s="1">
        <v>2.6</v>
      </c>
      <c r="E135" s="1">
        <v>-0.5</v>
      </c>
      <c r="F135" s="1">
        <v>-0.1</v>
      </c>
      <c r="G135">
        <v>0</v>
      </c>
      <c r="H135">
        <v>0</v>
      </c>
      <c r="I135">
        <v>0</v>
      </c>
      <c r="K135" s="1">
        <v>175</v>
      </c>
      <c r="L135" s="1">
        <v>888</v>
      </c>
      <c r="M135" s="1">
        <v>3833</v>
      </c>
      <c r="N135" s="1">
        <v>-1.9</v>
      </c>
      <c r="O135" s="1">
        <v>0.4</v>
      </c>
      <c r="P135" s="1">
        <v>0.1</v>
      </c>
      <c r="Q135" s="1">
        <v>0</v>
      </c>
      <c r="R135" s="1">
        <v>0</v>
      </c>
      <c r="S135" s="1">
        <v>0</v>
      </c>
    </row>
    <row r="136" spans="1:19" x14ac:dyDescent="0.25">
      <c r="A136" s="1">
        <v>200</v>
      </c>
      <c r="B136" s="1">
        <v>798</v>
      </c>
      <c r="C136" s="1">
        <v>3093</v>
      </c>
      <c r="D136" s="1">
        <v>0</v>
      </c>
      <c r="E136" s="1">
        <v>0</v>
      </c>
      <c r="F136" s="1">
        <v>0</v>
      </c>
      <c r="G136">
        <v>0</v>
      </c>
      <c r="H136">
        <v>0</v>
      </c>
      <c r="I136">
        <v>0</v>
      </c>
      <c r="K136" s="1">
        <v>200</v>
      </c>
      <c r="L136" s="1">
        <v>878</v>
      </c>
      <c r="M136" s="1">
        <v>3746</v>
      </c>
      <c r="N136" s="1">
        <v>-4.7</v>
      </c>
      <c r="O136" s="1">
        <v>0.8</v>
      </c>
      <c r="P136" s="1">
        <v>0.2</v>
      </c>
      <c r="Q136" s="1">
        <v>0</v>
      </c>
      <c r="R136" s="1">
        <v>0</v>
      </c>
      <c r="S136" s="1">
        <v>0</v>
      </c>
    </row>
    <row r="137" spans="1:19" x14ac:dyDescent="0.25">
      <c r="A137" s="1">
        <v>225</v>
      </c>
      <c r="B137" s="1">
        <v>779</v>
      </c>
      <c r="C137" s="1">
        <v>2947</v>
      </c>
      <c r="D137" s="1">
        <v>-3.5</v>
      </c>
      <c r="E137" s="1">
        <v>0.5</v>
      </c>
      <c r="F137" s="1">
        <v>0.2</v>
      </c>
      <c r="G137">
        <v>0</v>
      </c>
      <c r="H137">
        <v>0</v>
      </c>
      <c r="I137">
        <v>0</v>
      </c>
      <c r="K137" s="1">
        <v>225</v>
      </c>
      <c r="L137" s="1">
        <v>868</v>
      </c>
      <c r="M137" s="1">
        <v>3662</v>
      </c>
      <c r="N137" s="1">
        <v>-8.1999999999999993</v>
      </c>
      <c r="O137" s="1">
        <v>1.3</v>
      </c>
      <c r="P137" s="1">
        <v>0.4</v>
      </c>
      <c r="Q137" s="1">
        <v>0</v>
      </c>
      <c r="R137" s="1">
        <v>0</v>
      </c>
      <c r="S137" s="1">
        <v>0</v>
      </c>
    </row>
    <row r="138" spans="1:19" x14ac:dyDescent="0.25">
      <c r="A138" s="1">
        <v>250</v>
      </c>
      <c r="B138" s="1">
        <v>760</v>
      </c>
      <c r="C138" s="1">
        <v>2807</v>
      </c>
      <c r="D138" s="1">
        <v>-8</v>
      </c>
      <c r="E138" s="1">
        <v>1.1000000000000001</v>
      </c>
      <c r="F138" s="1">
        <v>0.3</v>
      </c>
      <c r="G138">
        <v>0</v>
      </c>
      <c r="H138">
        <v>0</v>
      </c>
      <c r="I138">
        <v>0</v>
      </c>
      <c r="K138" s="1">
        <v>250</v>
      </c>
      <c r="L138" s="1">
        <v>858</v>
      </c>
      <c r="M138" s="1">
        <v>3578</v>
      </c>
      <c r="N138" s="1">
        <v>-12.5</v>
      </c>
      <c r="O138" s="1">
        <v>1.7</v>
      </c>
      <c r="P138" s="1">
        <v>0.5</v>
      </c>
      <c r="Q138" s="1">
        <v>0</v>
      </c>
      <c r="R138" s="1">
        <v>0</v>
      </c>
      <c r="S138" s="1">
        <v>0</v>
      </c>
    </row>
    <row r="139" spans="1:19" x14ac:dyDescent="0.25">
      <c r="A139" s="1">
        <v>275</v>
      </c>
      <c r="B139" s="1">
        <v>741</v>
      </c>
      <c r="C139" s="1">
        <v>2672</v>
      </c>
      <c r="D139" s="1">
        <v>-13.8</v>
      </c>
      <c r="E139" s="1">
        <v>1.7</v>
      </c>
      <c r="F139" s="1">
        <v>0.5</v>
      </c>
      <c r="G139">
        <v>0</v>
      </c>
      <c r="H139">
        <v>0</v>
      </c>
      <c r="I139">
        <v>0</v>
      </c>
      <c r="K139" s="1">
        <v>275</v>
      </c>
      <c r="L139" s="1">
        <v>848</v>
      </c>
      <c r="M139" s="1">
        <v>3497</v>
      </c>
      <c r="N139" s="1">
        <v>-17.899999999999999</v>
      </c>
      <c r="O139" s="1">
        <v>2.2000000000000002</v>
      </c>
      <c r="P139" s="1">
        <v>0.6</v>
      </c>
      <c r="Q139" s="1">
        <v>0</v>
      </c>
      <c r="R139" s="1">
        <v>0</v>
      </c>
      <c r="S139" s="1">
        <v>0</v>
      </c>
    </row>
    <row r="140" spans="1:19" x14ac:dyDescent="0.25">
      <c r="A140" s="1">
        <v>300</v>
      </c>
      <c r="B140" s="1">
        <v>723</v>
      </c>
      <c r="C140" s="1">
        <v>2543</v>
      </c>
      <c r="D140" s="1">
        <v>-20.6</v>
      </c>
      <c r="E140" s="1">
        <v>2.4</v>
      </c>
      <c r="F140" s="1">
        <v>0.7</v>
      </c>
      <c r="G140">
        <v>0</v>
      </c>
      <c r="H140">
        <v>0</v>
      </c>
      <c r="I140">
        <v>0</v>
      </c>
      <c r="K140" s="1">
        <v>300</v>
      </c>
      <c r="L140" s="1">
        <v>838</v>
      </c>
      <c r="M140" s="1">
        <v>3416</v>
      </c>
      <c r="N140" s="1">
        <v>-23.9</v>
      </c>
      <c r="O140" s="1">
        <v>2.7</v>
      </c>
      <c r="P140" s="1">
        <v>0.8</v>
      </c>
      <c r="Q140" s="1">
        <v>0</v>
      </c>
      <c r="R140" s="1">
        <v>0</v>
      </c>
      <c r="S140" s="1">
        <v>0</v>
      </c>
    </row>
    <row r="141" spans="1:19" x14ac:dyDescent="0.25">
      <c r="A141" s="1">
        <v>325</v>
      </c>
      <c r="B141" s="1">
        <v>705</v>
      </c>
      <c r="C141" s="1">
        <v>2418</v>
      </c>
      <c r="D141" s="1">
        <v>-28.6</v>
      </c>
      <c r="E141" s="1">
        <v>3</v>
      </c>
      <c r="F141" s="1">
        <v>0.9</v>
      </c>
      <c r="G141">
        <v>0</v>
      </c>
      <c r="H141">
        <v>0</v>
      </c>
      <c r="I141">
        <v>0</v>
      </c>
      <c r="K141" s="1">
        <v>325</v>
      </c>
      <c r="L141" s="1">
        <v>829</v>
      </c>
      <c r="M141" s="1">
        <v>3337</v>
      </c>
      <c r="N141" s="1">
        <v>-30.8</v>
      </c>
      <c r="O141" s="1">
        <v>3.3</v>
      </c>
      <c r="P141" s="1">
        <v>0.9</v>
      </c>
      <c r="Q141" s="1">
        <v>0</v>
      </c>
      <c r="R141" s="1">
        <v>0</v>
      </c>
      <c r="S141" s="1">
        <v>0</v>
      </c>
    </row>
    <row r="142" spans="1:19" x14ac:dyDescent="0.25">
      <c r="A142" s="1">
        <v>350</v>
      </c>
      <c r="B142" s="1">
        <v>688</v>
      </c>
      <c r="C142" s="1">
        <v>2298</v>
      </c>
      <c r="D142" s="1">
        <v>-38.299999999999997</v>
      </c>
      <c r="E142" s="1">
        <v>3.8</v>
      </c>
      <c r="F142" s="1">
        <v>1.1000000000000001</v>
      </c>
      <c r="G142">
        <v>0</v>
      </c>
      <c r="H142">
        <v>0</v>
      </c>
      <c r="I142">
        <v>0</v>
      </c>
      <c r="K142" s="1">
        <v>350</v>
      </c>
      <c r="L142" s="1">
        <v>819</v>
      </c>
      <c r="M142" s="1">
        <v>3260</v>
      </c>
      <c r="N142" s="1">
        <v>-38.9</v>
      </c>
      <c r="O142" s="1">
        <v>3.8</v>
      </c>
      <c r="P142" s="1">
        <v>1.1000000000000001</v>
      </c>
      <c r="Q142" s="1">
        <v>0</v>
      </c>
      <c r="R142" s="1">
        <v>0</v>
      </c>
      <c r="S142" s="1">
        <v>0</v>
      </c>
    </row>
    <row r="143" spans="1:19" x14ac:dyDescent="0.25">
      <c r="A143" s="1">
        <v>375</v>
      </c>
      <c r="B143" s="1">
        <v>670</v>
      </c>
      <c r="C143" s="1">
        <v>2182</v>
      </c>
      <c r="D143" s="1">
        <v>-48.9</v>
      </c>
      <c r="E143" s="1">
        <v>4.5</v>
      </c>
      <c r="F143" s="1">
        <v>1.3</v>
      </c>
      <c r="G143">
        <v>0</v>
      </c>
      <c r="H143">
        <v>0</v>
      </c>
      <c r="I143">
        <v>0</v>
      </c>
      <c r="K143" s="1">
        <v>375</v>
      </c>
      <c r="L143" s="1">
        <v>809</v>
      </c>
      <c r="M143" s="1">
        <v>3184</v>
      </c>
      <c r="N143" s="1">
        <v>-47.7</v>
      </c>
      <c r="O143" s="1">
        <v>4.4000000000000004</v>
      </c>
      <c r="P143" s="1">
        <v>1.3</v>
      </c>
      <c r="Q143" s="1">
        <v>0</v>
      </c>
      <c r="R143" s="1">
        <v>0</v>
      </c>
      <c r="S143" s="1">
        <v>0</v>
      </c>
    </row>
    <row r="144" spans="1:19" x14ac:dyDescent="0.25">
      <c r="A144" s="1">
        <v>400</v>
      </c>
      <c r="B144" s="1">
        <v>653</v>
      </c>
      <c r="C144" s="1">
        <v>2072</v>
      </c>
      <c r="D144" s="1">
        <v>-61</v>
      </c>
      <c r="E144" s="1">
        <v>5.2</v>
      </c>
      <c r="F144" s="1">
        <v>1.5</v>
      </c>
      <c r="G144">
        <v>0</v>
      </c>
      <c r="H144">
        <v>0</v>
      </c>
      <c r="I144">
        <v>0</v>
      </c>
      <c r="K144" s="1">
        <v>400</v>
      </c>
      <c r="L144" s="1">
        <v>800</v>
      </c>
      <c r="M144" s="1">
        <v>3109</v>
      </c>
      <c r="N144" s="1">
        <v>-57.4</v>
      </c>
      <c r="O144" s="1">
        <v>4.9000000000000004</v>
      </c>
      <c r="P144" s="1">
        <v>1.4</v>
      </c>
      <c r="Q144" s="1">
        <v>0</v>
      </c>
      <c r="R144" s="1">
        <v>0</v>
      </c>
      <c r="S144" s="1">
        <v>0</v>
      </c>
    </row>
    <row r="145" spans="1:19" x14ac:dyDescent="0.25">
      <c r="A145" s="1">
        <v>425</v>
      </c>
      <c r="B145" s="1">
        <v>636</v>
      </c>
      <c r="C145" s="1">
        <v>1965</v>
      </c>
      <c r="D145" s="1">
        <v>-75.2</v>
      </c>
      <c r="E145" s="1">
        <v>6.1</v>
      </c>
      <c r="F145" s="1">
        <v>1.8</v>
      </c>
      <c r="G145">
        <v>0</v>
      </c>
      <c r="H145">
        <v>0</v>
      </c>
      <c r="I145">
        <v>0</v>
      </c>
      <c r="K145" s="1">
        <v>425</v>
      </c>
      <c r="L145" s="1">
        <v>790</v>
      </c>
      <c r="M145" s="1">
        <v>3035</v>
      </c>
      <c r="N145" s="1">
        <v>-68.5</v>
      </c>
      <c r="O145" s="1">
        <v>5.5</v>
      </c>
      <c r="P145" s="1">
        <v>1.6</v>
      </c>
      <c r="Q145" s="1">
        <v>0</v>
      </c>
      <c r="R145" s="1">
        <v>0</v>
      </c>
      <c r="S145" s="1">
        <v>0</v>
      </c>
    </row>
    <row r="146" spans="1:19" x14ac:dyDescent="0.25">
      <c r="A146" s="1">
        <v>450</v>
      </c>
      <c r="B146" s="1">
        <v>619</v>
      </c>
      <c r="C146" s="1">
        <v>1863</v>
      </c>
      <c r="D146" s="1">
        <v>-90.5</v>
      </c>
      <c r="E146" s="1">
        <v>6.9</v>
      </c>
      <c r="F146" s="1">
        <v>2</v>
      </c>
      <c r="G146">
        <v>0</v>
      </c>
      <c r="H146">
        <v>0</v>
      </c>
      <c r="I146">
        <v>0</v>
      </c>
      <c r="K146" s="1">
        <v>450</v>
      </c>
      <c r="L146" s="1">
        <v>781</v>
      </c>
      <c r="M146" s="1">
        <v>2963</v>
      </c>
      <c r="N146" s="1">
        <v>-80.2</v>
      </c>
      <c r="O146" s="1">
        <v>6.1</v>
      </c>
      <c r="P146" s="1">
        <v>1.8</v>
      </c>
      <c r="Q146" s="1">
        <v>0</v>
      </c>
      <c r="R146" s="1">
        <v>0</v>
      </c>
      <c r="S146" s="1">
        <v>0</v>
      </c>
    </row>
    <row r="147" spans="1:19" x14ac:dyDescent="0.25">
      <c r="A147" s="1">
        <v>475</v>
      </c>
      <c r="B147" s="1">
        <v>603</v>
      </c>
      <c r="C147" s="1">
        <v>1765</v>
      </c>
      <c r="D147" s="1">
        <v>-107.5</v>
      </c>
      <c r="E147" s="1">
        <v>7.8</v>
      </c>
      <c r="F147" s="1">
        <v>2.2999999999999998</v>
      </c>
      <c r="G147">
        <v>0</v>
      </c>
      <c r="H147">
        <v>0</v>
      </c>
      <c r="I147">
        <v>0</v>
      </c>
      <c r="K147" s="1">
        <v>475</v>
      </c>
      <c r="L147" s="1">
        <v>771</v>
      </c>
      <c r="M147" s="1">
        <v>2892</v>
      </c>
      <c r="N147" s="1">
        <v>-92.9</v>
      </c>
      <c r="O147" s="1">
        <v>6.7</v>
      </c>
      <c r="P147" s="1">
        <v>2</v>
      </c>
      <c r="Q147" s="1">
        <v>0</v>
      </c>
      <c r="R147" s="1">
        <v>0</v>
      </c>
      <c r="S147" s="1">
        <v>0</v>
      </c>
    </row>
    <row r="148" spans="1:19" x14ac:dyDescent="0.25">
      <c r="A148" s="1">
        <v>500</v>
      </c>
      <c r="B148" s="1">
        <v>587</v>
      </c>
      <c r="C148" s="1">
        <v>1676</v>
      </c>
      <c r="D148" s="1">
        <v>-126.3</v>
      </c>
      <c r="E148" s="1">
        <v>8.6999999999999993</v>
      </c>
      <c r="F148" s="1">
        <v>2.5</v>
      </c>
      <c r="G148">
        <v>0</v>
      </c>
      <c r="H148">
        <v>0</v>
      </c>
      <c r="I148">
        <v>0</v>
      </c>
      <c r="K148" s="1">
        <v>500</v>
      </c>
      <c r="L148" s="1">
        <v>762</v>
      </c>
      <c r="M148" s="1">
        <v>2826</v>
      </c>
      <c r="N148" s="1">
        <v>-106.7</v>
      </c>
      <c r="O148" s="1">
        <v>7.3</v>
      </c>
      <c r="P148" s="1">
        <v>2.1</v>
      </c>
      <c r="Q148" s="1">
        <v>0</v>
      </c>
      <c r="R148" s="1">
        <v>0</v>
      </c>
      <c r="S148" s="1">
        <v>0</v>
      </c>
    </row>
    <row r="150" spans="1:19" x14ac:dyDescent="0.25">
      <c r="A150" t="s">
        <v>81</v>
      </c>
      <c r="K150" t="s">
        <v>75</v>
      </c>
    </row>
    <row r="151" spans="1:19" x14ac:dyDescent="0.25">
      <c r="A151" t="s">
        <v>12</v>
      </c>
      <c r="B151" t="s">
        <v>13</v>
      </c>
      <c r="C151" t="s">
        <v>14</v>
      </c>
      <c r="D151" t="s">
        <v>15</v>
      </c>
      <c r="E151" t="s">
        <v>16</v>
      </c>
      <c r="F151" t="s">
        <v>17</v>
      </c>
      <c r="G151" t="s">
        <v>37</v>
      </c>
      <c r="H151" t="s">
        <v>38</v>
      </c>
      <c r="I151" t="s">
        <v>39</v>
      </c>
      <c r="K151" t="s">
        <v>12</v>
      </c>
      <c r="L151" t="s">
        <v>13</v>
      </c>
      <c r="M151" t="s">
        <v>14</v>
      </c>
      <c r="N151" t="s">
        <v>15</v>
      </c>
      <c r="O151" t="s">
        <v>16</v>
      </c>
      <c r="P151" t="s">
        <v>17</v>
      </c>
      <c r="Q151" t="s">
        <v>37</v>
      </c>
      <c r="R151" t="s">
        <v>38</v>
      </c>
      <c r="S151" t="s">
        <v>39</v>
      </c>
    </row>
    <row r="152" spans="1:19" x14ac:dyDescent="0.25">
      <c r="A152" s="1">
        <v>0</v>
      </c>
      <c r="B152" s="1">
        <v>960</v>
      </c>
      <c r="C152" s="1">
        <v>4482</v>
      </c>
      <c r="D152" s="1">
        <v>-3.8</v>
      </c>
      <c r="E152" s="1">
        <v>0</v>
      </c>
      <c r="F152" s="1">
        <v>0</v>
      </c>
      <c r="G152">
        <v>0</v>
      </c>
      <c r="H152">
        <v>0</v>
      </c>
      <c r="I152">
        <v>0</v>
      </c>
      <c r="K152" s="1">
        <v>0</v>
      </c>
      <c r="L152" s="1">
        <v>960</v>
      </c>
      <c r="M152" s="1">
        <v>4482</v>
      </c>
      <c r="N152" s="1">
        <v>-3.8</v>
      </c>
      <c r="O152" s="1">
        <v>0</v>
      </c>
      <c r="P152" s="1">
        <v>0</v>
      </c>
      <c r="Q152" s="1">
        <v>0</v>
      </c>
      <c r="R152" s="1">
        <v>0</v>
      </c>
      <c r="S152" s="1">
        <v>0</v>
      </c>
    </row>
    <row r="153" spans="1:19" x14ac:dyDescent="0.25">
      <c r="A153" s="1">
        <v>25</v>
      </c>
      <c r="B153" s="1">
        <v>939</v>
      </c>
      <c r="C153" s="1">
        <v>4282</v>
      </c>
      <c r="D153" s="1">
        <v>-0.6</v>
      </c>
      <c r="E153" s="1">
        <v>0.9</v>
      </c>
      <c r="F153" s="1">
        <v>0.3</v>
      </c>
      <c r="G153">
        <v>0</v>
      </c>
      <c r="H153">
        <v>0</v>
      </c>
      <c r="I153">
        <v>0</v>
      </c>
      <c r="K153" s="1">
        <v>25</v>
      </c>
      <c r="L153" s="1">
        <v>950</v>
      </c>
      <c r="M153" s="1">
        <v>4384</v>
      </c>
      <c r="N153" s="1">
        <v>-0.8</v>
      </c>
      <c r="O153" s="1">
        <v>1.2</v>
      </c>
      <c r="P153" s="1">
        <v>0.3</v>
      </c>
      <c r="Q153" s="1">
        <v>0</v>
      </c>
      <c r="R153" s="1">
        <v>0</v>
      </c>
      <c r="S153" s="1">
        <v>0</v>
      </c>
    </row>
    <row r="154" spans="1:19" x14ac:dyDescent="0.25">
      <c r="A154" s="1">
        <v>50</v>
      </c>
      <c r="B154" s="1">
        <v>918</v>
      </c>
      <c r="C154" s="1">
        <v>4092</v>
      </c>
      <c r="D154" s="1">
        <v>1.9</v>
      </c>
      <c r="E154" s="1">
        <v>-1.3</v>
      </c>
      <c r="F154" s="1">
        <v>-0.4</v>
      </c>
      <c r="G154">
        <v>0</v>
      </c>
      <c r="H154">
        <v>0</v>
      </c>
      <c r="I154">
        <v>0</v>
      </c>
      <c r="K154" s="1">
        <v>50</v>
      </c>
      <c r="L154" s="1">
        <v>939</v>
      </c>
      <c r="M154" s="1">
        <v>4288</v>
      </c>
      <c r="N154" s="1">
        <v>1.5</v>
      </c>
      <c r="O154" s="1">
        <v>-1</v>
      </c>
      <c r="P154" s="1">
        <v>-0.3</v>
      </c>
      <c r="Q154" s="1">
        <v>0</v>
      </c>
      <c r="R154" s="1">
        <v>0</v>
      </c>
      <c r="S154" s="1">
        <v>0</v>
      </c>
    </row>
    <row r="155" spans="1:19" x14ac:dyDescent="0.25">
      <c r="A155" s="1">
        <v>75</v>
      </c>
      <c r="B155" s="1">
        <v>897</v>
      </c>
      <c r="C155" s="1">
        <v>3909</v>
      </c>
      <c r="D155" s="1">
        <v>3.7</v>
      </c>
      <c r="E155" s="1">
        <v>-1.7</v>
      </c>
      <c r="F155" s="1">
        <v>-0.5</v>
      </c>
      <c r="G155">
        <v>0</v>
      </c>
      <c r="H155">
        <v>0</v>
      </c>
      <c r="I155">
        <v>0</v>
      </c>
      <c r="K155" s="1">
        <v>75</v>
      </c>
      <c r="L155" s="1">
        <v>929</v>
      </c>
      <c r="M155" s="1">
        <v>4194</v>
      </c>
      <c r="N155" s="1">
        <v>3.1</v>
      </c>
      <c r="O155" s="1">
        <v>-1.4</v>
      </c>
      <c r="P155" s="1">
        <v>-0.4</v>
      </c>
      <c r="Q155" s="1">
        <v>0</v>
      </c>
      <c r="R155" s="1">
        <v>0</v>
      </c>
      <c r="S155" s="1">
        <v>0</v>
      </c>
    </row>
    <row r="156" spans="1:19" x14ac:dyDescent="0.25">
      <c r="A156" s="1">
        <v>100</v>
      </c>
      <c r="B156" s="1">
        <v>876</v>
      </c>
      <c r="C156" s="1">
        <v>3733</v>
      </c>
      <c r="D156" s="1">
        <v>4.5999999999999996</v>
      </c>
      <c r="E156" s="1">
        <v>-1.6</v>
      </c>
      <c r="F156" s="1">
        <v>-0.5</v>
      </c>
      <c r="G156">
        <v>0</v>
      </c>
      <c r="H156">
        <v>0</v>
      </c>
      <c r="I156">
        <v>0</v>
      </c>
      <c r="K156" s="1">
        <v>100</v>
      </c>
      <c r="L156" s="1">
        <v>919</v>
      </c>
      <c r="M156" s="1">
        <v>4101</v>
      </c>
      <c r="N156" s="1">
        <v>4</v>
      </c>
      <c r="O156" s="1">
        <v>-1.4</v>
      </c>
      <c r="P156" s="1">
        <v>-0.4</v>
      </c>
      <c r="Q156" s="1">
        <v>0</v>
      </c>
      <c r="R156" s="1">
        <v>0</v>
      </c>
      <c r="S156" s="1">
        <v>0</v>
      </c>
    </row>
    <row r="157" spans="1:19" x14ac:dyDescent="0.25">
      <c r="A157" s="1">
        <v>125</v>
      </c>
      <c r="B157" s="1">
        <v>856</v>
      </c>
      <c r="C157" s="1">
        <v>3564</v>
      </c>
      <c r="D157" s="1">
        <v>4.8</v>
      </c>
      <c r="E157" s="1">
        <v>-1.3</v>
      </c>
      <c r="F157" s="1">
        <v>-0.4</v>
      </c>
      <c r="G157">
        <v>0</v>
      </c>
      <c r="H157">
        <v>0</v>
      </c>
      <c r="I157">
        <v>0</v>
      </c>
      <c r="K157" s="1">
        <v>125</v>
      </c>
      <c r="L157" s="1">
        <v>908</v>
      </c>
      <c r="M157" s="1">
        <v>4010</v>
      </c>
      <c r="N157" s="1">
        <v>4.0999999999999996</v>
      </c>
      <c r="O157" s="1">
        <v>-1.1000000000000001</v>
      </c>
      <c r="P157" s="1">
        <v>-0.3</v>
      </c>
      <c r="Q157" s="1">
        <v>0</v>
      </c>
      <c r="R157" s="1">
        <v>0</v>
      </c>
      <c r="S157" s="1">
        <v>0</v>
      </c>
    </row>
    <row r="158" spans="1:19" x14ac:dyDescent="0.25">
      <c r="A158" s="1">
        <v>150</v>
      </c>
      <c r="B158" s="1">
        <v>836</v>
      </c>
      <c r="C158" s="1">
        <v>3401</v>
      </c>
      <c r="D158" s="1">
        <v>4.0999999999999996</v>
      </c>
      <c r="E158" s="1">
        <v>-1</v>
      </c>
      <c r="F158" s="1">
        <v>-0.3</v>
      </c>
      <c r="G158">
        <v>0</v>
      </c>
      <c r="H158">
        <v>0</v>
      </c>
      <c r="I158">
        <v>0</v>
      </c>
      <c r="K158" s="1">
        <v>150</v>
      </c>
      <c r="L158" s="1">
        <v>898</v>
      </c>
      <c r="M158" s="1">
        <v>3920</v>
      </c>
      <c r="N158" s="1">
        <v>3.6</v>
      </c>
      <c r="O158" s="1">
        <v>-0.8</v>
      </c>
      <c r="P158" s="1">
        <v>-0.2</v>
      </c>
      <c r="Q158" s="1">
        <v>0</v>
      </c>
      <c r="R158" s="1">
        <v>0</v>
      </c>
      <c r="S158" s="1">
        <v>0</v>
      </c>
    </row>
    <row r="159" spans="1:19" x14ac:dyDescent="0.25">
      <c r="A159" s="1">
        <v>175</v>
      </c>
      <c r="B159" s="1">
        <v>817</v>
      </c>
      <c r="C159" s="1">
        <v>3244</v>
      </c>
      <c r="D159" s="1">
        <v>2.6</v>
      </c>
      <c r="E159" s="1">
        <v>-0.5</v>
      </c>
      <c r="F159" s="1">
        <v>-0.1</v>
      </c>
      <c r="G159">
        <v>0</v>
      </c>
      <c r="H159">
        <v>0</v>
      </c>
      <c r="I159">
        <v>0</v>
      </c>
      <c r="K159" s="1">
        <v>175</v>
      </c>
      <c r="L159" s="1">
        <v>888</v>
      </c>
      <c r="M159" s="1">
        <v>3833</v>
      </c>
      <c r="N159" s="1">
        <v>2.2000000000000002</v>
      </c>
      <c r="O159" s="1">
        <v>-0.4</v>
      </c>
      <c r="P159" s="1">
        <v>-0.1</v>
      </c>
      <c r="Q159" s="1">
        <v>0</v>
      </c>
      <c r="R159" s="1">
        <v>0</v>
      </c>
      <c r="S159" s="1">
        <v>0</v>
      </c>
    </row>
    <row r="160" spans="1:19" x14ac:dyDescent="0.25">
      <c r="A160" s="10">
        <v>200</v>
      </c>
      <c r="B160" s="10">
        <v>798</v>
      </c>
      <c r="C160" s="10">
        <v>3093</v>
      </c>
      <c r="D160" s="10">
        <v>0</v>
      </c>
      <c r="E160" s="10">
        <v>0</v>
      </c>
      <c r="F160" s="10">
        <v>0</v>
      </c>
      <c r="G160">
        <v>0</v>
      </c>
      <c r="H160">
        <v>0</v>
      </c>
      <c r="I160">
        <v>0</v>
      </c>
      <c r="K160" s="1">
        <v>200</v>
      </c>
      <c r="L160" s="1">
        <v>878</v>
      </c>
      <c r="M160" s="1">
        <v>3746</v>
      </c>
      <c r="N160" s="1">
        <v>0</v>
      </c>
      <c r="O160" s="1">
        <v>0</v>
      </c>
      <c r="P160" s="1">
        <v>0</v>
      </c>
      <c r="Q160" s="1">
        <v>0</v>
      </c>
      <c r="R160" s="1">
        <v>0</v>
      </c>
      <c r="S160" s="1">
        <v>0</v>
      </c>
    </row>
    <row r="161" spans="1:19" x14ac:dyDescent="0.25">
      <c r="A161" s="1">
        <v>225</v>
      </c>
      <c r="B161" s="1">
        <v>779</v>
      </c>
      <c r="C161" s="1">
        <v>2947</v>
      </c>
      <c r="D161" s="1">
        <v>-3.5</v>
      </c>
      <c r="E161" s="1">
        <v>0.5</v>
      </c>
      <c r="F161" s="1">
        <v>0.2</v>
      </c>
      <c r="G161">
        <v>0</v>
      </c>
      <c r="H161">
        <v>0</v>
      </c>
      <c r="I161">
        <v>0</v>
      </c>
      <c r="K161" s="1">
        <v>225</v>
      </c>
      <c r="L161" s="1">
        <v>868</v>
      </c>
      <c r="M161" s="1">
        <v>3662</v>
      </c>
      <c r="N161" s="1">
        <v>-2.9</v>
      </c>
      <c r="O161" s="1">
        <v>0.4</v>
      </c>
      <c r="P161" s="1">
        <v>0.1</v>
      </c>
      <c r="Q161" s="1">
        <v>0</v>
      </c>
      <c r="R161" s="1">
        <v>0</v>
      </c>
      <c r="S161" s="1">
        <v>0</v>
      </c>
    </row>
    <row r="162" spans="1:19" x14ac:dyDescent="0.25">
      <c r="A162" s="1">
        <v>250</v>
      </c>
      <c r="B162" s="1">
        <v>760</v>
      </c>
      <c r="C162" s="1">
        <v>2807</v>
      </c>
      <c r="D162" s="1">
        <v>-8</v>
      </c>
      <c r="E162" s="1">
        <v>1.1000000000000001</v>
      </c>
      <c r="F162" s="1">
        <v>0.3</v>
      </c>
      <c r="G162">
        <v>0</v>
      </c>
      <c r="H162">
        <v>0</v>
      </c>
      <c r="I162">
        <v>0</v>
      </c>
      <c r="K162" s="1">
        <v>250</v>
      </c>
      <c r="L162" s="1">
        <v>858</v>
      </c>
      <c r="M162" s="1">
        <v>3578</v>
      </c>
      <c r="N162" s="1">
        <v>-6.7</v>
      </c>
      <c r="O162" s="1">
        <v>0.9</v>
      </c>
      <c r="P162" s="1">
        <v>0.3</v>
      </c>
      <c r="Q162" s="1">
        <v>0</v>
      </c>
      <c r="R162" s="1">
        <v>0</v>
      </c>
      <c r="S162" s="1">
        <v>0</v>
      </c>
    </row>
    <row r="163" spans="1:19" x14ac:dyDescent="0.25">
      <c r="A163" s="1">
        <v>275</v>
      </c>
      <c r="B163" s="1">
        <v>741</v>
      </c>
      <c r="C163" s="1">
        <v>2672</v>
      </c>
      <c r="D163" s="1">
        <v>-13.8</v>
      </c>
      <c r="E163" s="1">
        <v>1.7</v>
      </c>
      <c r="F163" s="1">
        <v>0.5</v>
      </c>
      <c r="G163">
        <v>0</v>
      </c>
      <c r="H163">
        <v>0</v>
      </c>
      <c r="I163">
        <v>0</v>
      </c>
      <c r="K163" s="1">
        <v>275</v>
      </c>
      <c r="L163" s="1">
        <v>848</v>
      </c>
      <c r="M163" s="1">
        <v>3497</v>
      </c>
      <c r="N163" s="1">
        <v>-11.4</v>
      </c>
      <c r="O163" s="1">
        <v>1.4</v>
      </c>
      <c r="P163" s="1">
        <v>0.4</v>
      </c>
      <c r="Q163" s="1">
        <v>0</v>
      </c>
      <c r="R163" s="1">
        <v>0</v>
      </c>
      <c r="S163" s="1">
        <v>0</v>
      </c>
    </row>
    <row r="164" spans="1:19" x14ac:dyDescent="0.25">
      <c r="A164" s="1">
        <v>300</v>
      </c>
      <c r="B164" s="1">
        <v>723</v>
      </c>
      <c r="C164" s="1">
        <v>2543</v>
      </c>
      <c r="D164" s="1">
        <v>-20.6</v>
      </c>
      <c r="E164" s="1">
        <v>2.4</v>
      </c>
      <c r="F164" s="1">
        <v>0.7</v>
      </c>
      <c r="G164">
        <v>0</v>
      </c>
      <c r="H164">
        <v>0</v>
      </c>
      <c r="I164">
        <v>0</v>
      </c>
      <c r="K164" s="1">
        <v>300</v>
      </c>
      <c r="L164" s="1">
        <v>838</v>
      </c>
      <c r="M164" s="1">
        <v>3416</v>
      </c>
      <c r="N164" s="1">
        <v>-16.899999999999999</v>
      </c>
      <c r="O164" s="1">
        <v>1.9</v>
      </c>
      <c r="P164" s="1">
        <v>0.6</v>
      </c>
      <c r="Q164" s="1">
        <v>0</v>
      </c>
      <c r="R164" s="1">
        <v>0</v>
      </c>
      <c r="S164" s="1">
        <v>0</v>
      </c>
    </row>
    <row r="165" spans="1:19" x14ac:dyDescent="0.25">
      <c r="A165" s="1">
        <v>325</v>
      </c>
      <c r="B165" s="1">
        <v>705</v>
      </c>
      <c r="C165" s="1">
        <v>2418</v>
      </c>
      <c r="D165" s="1">
        <v>-28.6</v>
      </c>
      <c r="E165" s="1">
        <v>3</v>
      </c>
      <c r="F165" s="1">
        <v>0.9</v>
      </c>
      <c r="G165">
        <v>0</v>
      </c>
      <c r="H165">
        <v>0</v>
      </c>
      <c r="I165">
        <v>0</v>
      </c>
      <c r="K165" s="1">
        <v>325</v>
      </c>
      <c r="L165" s="1">
        <v>829</v>
      </c>
      <c r="M165" s="1">
        <v>3337</v>
      </c>
      <c r="N165" s="1">
        <v>-23.2</v>
      </c>
      <c r="O165" s="1">
        <v>2.5</v>
      </c>
      <c r="P165" s="1">
        <v>0.7</v>
      </c>
      <c r="Q165" s="1">
        <v>0</v>
      </c>
      <c r="R165" s="1">
        <v>0</v>
      </c>
      <c r="S165" s="1">
        <v>0</v>
      </c>
    </row>
    <row r="166" spans="1:19" x14ac:dyDescent="0.25">
      <c r="A166" s="1">
        <v>350</v>
      </c>
      <c r="B166" s="1">
        <v>688</v>
      </c>
      <c r="C166" s="1">
        <v>2298</v>
      </c>
      <c r="D166" s="1">
        <v>-38.299999999999997</v>
      </c>
      <c r="E166" s="1">
        <v>3.8</v>
      </c>
      <c r="F166" s="1">
        <v>1.1000000000000001</v>
      </c>
      <c r="G166">
        <v>0</v>
      </c>
      <c r="H166">
        <v>0</v>
      </c>
      <c r="I166">
        <v>0</v>
      </c>
      <c r="K166" s="1">
        <v>350</v>
      </c>
      <c r="L166" s="1">
        <v>819</v>
      </c>
      <c r="M166" s="1">
        <v>3260</v>
      </c>
      <c r="N166" s="1">
        <v>-30.7</v>
      </c>
      <c r="O166" s="1">
        <v>3</v>
      </c>
      <c r="P166" s="1">
        <v>0.9</v>
      </c>
      <c r="Q166" s="1">
        <v>0</v>
      </c>
      <c r="R166" s="1">
        <v>0</v>
      </c>
      <c r="S166" s="1">
        <v>0</v>
      </c>
    </row>
    <row r="167" spans="1:19" x14ac:dyDescent="0.25">
      <c r="A167" s="1">
        <v>375</v>
      </c>
      <c r="B167" s="1">
        <v>670</v>
      </c>
      <c r="C167" s="1">
        <v>2182</v>
      </c>
      <c r="D167" s="1">
        <v>-48.9</v>
      </c>
      <c r="E167" s="1">
        <v>4.5</v>
      </c>
      <c r="F167" s="1">
        <v>1.3</v>
      </c>
      <c r="G167">
        <v>0</v>
      </c>
      <c r="H167">
        <v>0</v>
      </c>
      <c r="I167">
        <v>0</v>
      </c>
      <c r="K167" s="1">
        <v>375</v>
      </c>
      <c r="L167" s="1">
        <v>809</v>
      </c>
      <c r="M167" s="1">
        <v>3184</v>
      </c>
      <c r="N167" s="1">
        <v>-38.9</v>
      </c>
      <c r="O167" s="1">
        <v>3.6</v>
      </c>
      <c r="P167" s="1">
        <v>1</v>
      </c>
      <c r="Q167" s="1">
        <v>0</v>
      </c>
      <c r="R167" s="1">
        <v>0</v>
      </c>
      <c r="S167" s="1">
        <v>0</v>
      </c>
    </row>
    <row r="168" spans="1:19" x14ac:dyDescent="0.25">
      <c r="A168" s="1">
        <v>400</v>
      </c>
      <c r="B168" s="1">
        <v>653</v>
      </c>
      <c r="C168" s="1">
        <v>2072</v>
      </c>
      <c r="D168" s="1">
        <v>-61</v>
      </c>
      <c r="E168" s="1">
        <v>5.2</v>
      </c>
      <c r="F168" s="1">
        <v>1.5</v>
      </c>
      <c r="G168">
        <v>0</v>
      </c>
      <c r="H168">
        <v>0</v>
      </c>
      <c r="I168">
        <v>0</v>
      </c>
      <c r="K168" s="1">
        <v>400</v>
      </c>
      <c r="L168" s="1">
        <v>800</v>
      </c>
      <c r="M168" s="1">
        <v>3109</v>
      </c>
      <c r="N168" s="1">
        <v>-48</v>
      </c>
      <c r="O168" s="1">
        <v>4.0999999999999996</v>
      </c>
      <c r="P168" s="1">
        <v>1.2</v>
      </c>
      <c r="Q168" s="1">
        <v>0</v>
      </c>
      <c r="R168" s="1">
        <v>0</v>
      </c>
      <c r="S168" s="1">
        <v>0</v>
      </c>
    </row>
    <row r="169" spans="1:19" x14ac:dyDescent="0.25">
      <c r="A169" s="1">
        <v>425</v>
      </c>
      <c r="B169" s="1">
        <v>636</v>
      </c>
      <c r="C169" s="1">
        <v>1965</v>
      </c>
      <c r="D169" s="1">
        <v>-75.2</v>
      </c>
      <c r="E169" s="1">
        <v>6.1</v>
      </c>
      <c r="F169" s="1">
        <v>1.8</v>
      </c>
      <c r="G169">
        <v>0</v>
      </c>
      <c r="H169">
        <v>0</v>
      </c>
      <c r="I169">
        <v>0</v>
      </c>
      <c r="K169" s="1">
        <v>425</v>
      </c>
      <c r="L169" s="1">
        <v>790</v>
      </c>
      <c r="M169" s="1">
        <v>3035</v>
      </c>
      <c r="N169" s="1">
        <v>-58.5</v>
      </c>
      <c r="O169" s="1">
        <v>4.7</v>
      </c>
      <c r="P169" s="1">
        <v>1.4</v>
      </c>
      <c r="Q169" s="1">
        <v>0</v>
      </c>
      <c r="R169" s="1">
        <v>0</v>
      </c>
      <c r="S169" s="1">
        <v>0</v>
      </c>
    </row>
    <row r="170" spans="1:19" x14ac:dyDescent="0.25">
      <c r="A170" s="1">
        <v>450</v>
      </c>
      <c r="B170" s="1">
        <v>619</v>
      </c>
      <c r="C170" s="1">
        <v>1863</v>
      </c>
      <c r="D170" s="1">
        <v>-90.5</v>
      </c>
      <c r="E170" s="1">
        <v>6.9</v>
      </c>
      <c r="F170" s="1">
        <v>2</v>
      </c>
      <c r="G170">
        <v>0</v>
      </c>
      <c r="H170">
        <v>0</v>
      </c>
      <c r="I170">
        <v>0</v>
      </c>
      <c r="K170" s="1">
        <v>450</v>
      </c>
      <c r="L170" s="1">
        <v>781</v>
      </c>
      <c r="M170" s="1">
        <v>2963</v>
      </c>
      <c r="N170" s="1">
        <v>-69.599999999999994</v>
      </c>
      <c r="O170" s="1">
        <v>5.3</v>
      </c>
      <c r="P170" s="1">
        <v>1.5</v>
      </c>
      <c r="Q170" s="1">
        <v>0</v>
      </c>
      <c r="R170" s="1">
        <v>0</v>
      </c>
      <c r="S170" s="1">
        <v>0</v>
      </c>
    </row>
    <row r="171" spans="1:19" x14ac:dyDescent="0.25">
      <c r="A171" s="1">
        <v>475</v>
      </c>
      <c r="B171" s="1">
        <v>603</v>
      </c>
      <c r="C171" s="1">
        <v>1765</v>
      </c>
      <c r="D171" s="1">
        <v>-107.5</v>
      </c>
      <c r="E171" s="1">
        <v>7.8</v>
      </c>
      <c r="F171" s="1">
        <v>2.2999999999999998</v>
      </c>
      <c r="G171">
        <v>0</v>
      </c>
      <c r="H171">
        <v>0</v>
      </c>
      <c r="I171">
        <v>0</v>
      </c>
      <c r="K171" s="1">
        <v>475</v>
      </c>
      <c r="L171" s="1">
        <v>771</v>
      </c>
      <c r="M171" s="1">
        <v>2892</v>
      </c>
      <c r="N171" s="1">
        <v>-81.8</v>
      </c>
      <c r="O171" s="1">
        <v>5.9</v>
      </c>
      <c r="P171" s="1">
        <v>1.7</v>
      </c>
      <c r="Q171" s="1">
        <v>0</v>
      </c>
      <c r="R171" s="1">
        <v>0</v>
      </c>
      <c r="S171" s="1">
        <v>0</v>
      </c>
    </row>
    <row r="172" spans="1:19" x14ac:dyDescent="0.25">
      <c r="A172" s="1">
        <v>500</v>
      </c>
      <c r="B172" s="1">
        <v>587</v>
      </c>
      <c r="C172" s="1">
        <v>1676</v>
      </c>
      <c r="D172" s="1">
        <v>-126.3</v>
      </c>
      <c r="E172" s="1">
        <v>8.6999999999999993</v>
      </c>
      <c r="F172" s="1">
        <v>2.5</v>
      </c>
      <c r="G172">
        <v>0</v>
      </c>
      <c r="H172">
        <v>0</v>
      </c>
      <c r="I172">
        <v>0</v>
      </c>
      <c r="K172" s="1">
        <v>500</v>
      </c>
      <c r="L172" s="1">
        <v>762</v>
      </c>
      <c r="M172" s="1">
        <v>2826</v>
      </c>
      <c r="N172" s="1">
        <v>-95</v>
      </c>
      <c r="O172" s="1">
        <v>6.5</v>
      </c>
      <c r="P172" s="1">
        <v>1.9</v>
      </c>
      <c r="Q172" s="1">
        <v>0</v>
      </c>
      <c r="R172" s="1">
        <v>0</v>
      </c>
      <c r="S172" s="1">
        <v>0</v>
      </c>
    </row>
    <row r="174" spans="1:19" x14ac:dyDescent="0.25">
      <c r="A174" t="s">
        <v>80</v>
      </c>
      <c r="K174" t="s">
        <v>76</v>
      </c>
    </row>
    <row r="175" spans="1:19" x14ac:dyDescent="0.25">
      <c r="A175" t="s">
        <v>12</v>
      </c>
      <c r="B175" t="s">
        <v>13</v>
      </c>
      <c r="C175" t="s">
        <v>14</v>
      </c>
      <c r="D175" t="s">
        <v>15</v>
      </c>
      <c r="E175" t="s">
        <v>16</v>
      </c>
      <c r="F175" t="s">
        <v>17</v>
      </c>
      <c r="G175" t="s">
        <v>37</v>
      </c>
      <c r="H175" t="s">
        <v>38</v>
      </c>
      <c r="I175" t="s">
        <v>39</v>
      </c>
      <c r="K175" t="s">
        <v>12</v>
      </c>
      <c r="L175" t="s">
        <v>13</v>
      </c>
      <c r="M175" t="s">
        <v>14</v>
      </c>
      <c r="N175" t="s">
        <v>15</v>
      </c>
      <c r="O175" t="s">
        <v>16</v>
      </c>
      <c r="P175" t="s">
        <v>17</v>
      </c>
      <c r="Q175" t="s">
        <v>37</v>
      </c>
      <c r="R175" t="s">
        <v>38</v>
      </c>
      <c r="S175" t="s">
        <v>39</v>
      </c>
    </row>
    <row r="176" spans="1:19" x14ac:dyDescent="0.25">
      <c r="A176" s="1">
        <v>0</v>
      </c>
      <c r="B176" s="1">
        <v>960</v>
      </c>
      <c r="C176" s="1">
        <v>4482</v>
      </c>
      <c r="D176" s="1">
        <v>-3.8</v>
      </c>
      <c r="E176" s="1">
        <v>0</v>
      </c>
      <c r="F176" s="1">
        <v>0</v>
      </c>
      <c r="G176">
        <v>0</v>
      </c>
      <c r="H176">
        <v>0</v>
      </c>
      <c r="I176">
        <v>0</v>
      </c>
      <c r="K176" s="1">
        <v>0</v>
      </c>
      <c r="L176" s="1">
        <v>960</v>
      </c>
      <c r="M176" s="1">
        <v>4482</v>
      </c>
      <c r="N176" s="1">
        <v>-3.8</v>
      </c>
      <c r="O176" s="1">
        <v>0</v>
      </c>
      <c r="P176" s="1">
        <v>0</v>
      </c>
      <c r="Q176" s="1">
        <v>0</v>
      </c>
      <c r="R176" s="1">
        <v>0</v>
      </c>
      <c r="S176" s="1">
        <v>0</v>
      </c>
    </row>
    <row r="177" spans="1:19" x14ac:dyDescent="0.25">
      <c r="A177" s="1">
        <v>25</v>
      </c>
      <c r="B177" s="1">
        <v>939</v>
      </c>
      <c r="C177" s="1">
        <v>4282</v>
      </c>
      <c r="D177" s="1">
        <v>1.1000000000000001</v>
      </c>
      <c r="E177" s="1">
        <v>-1.5</v>
      </c>
      <c r="F177" s="1">
        <v>-0.4</v>
      </c>
      <c r="G177">
        <v>0</v>
      </c>
      <c r="H177">
        <v>0</v>
      </c>
      <c r="I177">
        <v>0</v>
      </c>
      <c r="K177" s="1">
        <v>25</v>
      </c>
      <c r="L177" s="1">
        <v>950</v>
      </c>
      <c r="M177" s="1">
        <v>4384</v>
      </c>
      <c r="N177" s="1">
        <v>0.6</v>
      </c>
      <c r="O177" s="1">
        <v>-0.8</v>
      </c>
      <c r="P177" s="1">
        <v>-0.2</v>
      </c>
      <c r="Q177" s="1">
        <v>0</v>
      </c>
      <c r="R177" s="1">
        <v>0</v>
      </c>
      <c r="S177" s="1">
        <v>0</v>
      </c>
    </row>
    <row r="178" spans="1:19" x14ac:dyDescent="0.25">
      <c r="A178" s="1">
        <v>50</v>
      </c>
      <c r="B178" s="1">
        <v>918</v>
      </c>
      <c r="C178" s="1">
        <v>4092</v>
      </c>
      <c r="D178" s="1">
        <v>5.4</v>
      </c>
      <c r="E178" s="1">
        <v>-3.7</v>
      </c>
      <c r="F178" s="1">
        <v>-1.1000000000000001</v>
      </c>
      <c r="G178">
        <v>0</v>
      </c>
      <c r="H178">
        <v>0</v>
      </c>
      <c r="I178">
        <v>0</v>
      </c>
      <c r="K178" s="1">
        <v>50</v>
      </c>
      <c r="L178" s="1">
        <v>939</v>
      </c>
      <c r="M178" s="1">
        <v>4288</v>
      </c>
      <c r="N178" s="1">
        <v>4.4000000000000004</v>
      </c>
      <c r="O178" s="1">
        <v>-3</v>
      </c>
      <c r="P178" s="1">
        <v>-0.9</v>
      </c>
      <c r="Q178" s="1">
        <v>0</v>
      </c>
      <c r="R178" s="1">
        <v>0</v>
      </c>
      <c r="S178" s="1">
        <v>0</v>
      </c>
    </row>
    <row r="179" spans="1:19" x14ac:dyDescent="0.25">
      <c r="A179" s="1">
        <v>75</v>
      </c>
      <c r="B179" s="1">
        <v>897</v>
      </c>
      <c r="C179" s="1">
        <v>3909</v>
      </c>
      <c r="D179" s="1">
        <v>8.8000000000000007</v>
      </c>
      <c r="E179" s="1">
        <v>-4</v>
      </c>
      <c r="F179" s="1">
        <v>-1.2</v>
      </c>
      <c r="G179">
        <v>0</v>
      </c>
      <c r="H179">
        <v>0</v>
      </c>
      <c r="I179">
        <v>0</v>
      </c>
      <c r="K179" s="1">
        <v>75</v>
      </c>
      <c r="L179" s="1">
        <v>929</v>
      </c>
      <c r="M179" s="1">
        <v>4194</v>
      </c>
      <c r="N179" s="1">
        <v>7.3</v>
      </c>
      <c r="O179" s="1">
        <v>-3.4</v>
      </c>
      <c r="P179" s="1">
        <v>-1</v>
      </c>
      <c r="Q179" s="1">
        <v>0</v>
      </c>
      <c r="R179" s="1">
        <v>0</v>
      </c>
      <c r="S179" s="1">
        <v>0</v>
      </c>
    </row>
    <row r="180" spans="1:19" x14ac:dyDescent="0.25">
      <c r="A180" s="1">
        <v>100</v>
      </c>
      <c r="B180" s="1">
        <v>876</v>
      </c>
      <c r="C180" s="1">
        <v>3733</v>
      </c>
      <c r="D180" s="1">
        <v>11.5</v>
      </c>
      <c r="E180" s="1">
        <v>-4</v>
      </c>
      <c r="F180" s="1">
        <v>-1.2</v>
      </c>
      <c r="G180">
        <v>0</v>
      </c>
      <c r="H180">
        <v>0</v>
      </c>
      <c r="I180">
        <v>0</v>
      </c>
      <c r="K180" s="1">
        <v>100</v>
      </c>
      <c r="L180" s="1">
        <v>919</v>
      </c>
      <c r="M180" s="1">
        <v>4101</v>
      </c>
      <c r="N180" s="1">
        <v>9.6</v>
      </c>
      <c r="O180" s="1">
        <v>-3.3</v>
      </c>
      <c r="P180" s="1">
        <v>-1</v>
      </c>
      <c r="Q180" s="1">
        <v>0</v>
      </c>
      <c r="R180" s="1">
        <v>0</v>
      </c>
      <c r="S180" s="1">
        <v>0</v>
      </c>
    </row>
    <row r="181" spans="1:19" x14ac:dyDescent="0.25">
      <c r="A181" s="1">
        <v>125</v>
      </c>
      <c r="B181" s="1">
        <v>856</v>
      </c>
      <c r="C181" s="1">
        <v>3564</v>
      </c>
      <c r="D181" s="1">
        <v>13.5</v>
      </c>
      <c r="E181" s="1">
        <v>-3.7</v>
      </c>
      <c r="F181" s="1">
        <v>-1.1000000000000001</v>
      </c>
      <c r="G181">
        <v>0</v>
      </c>
      <c r="H181">
        <v>0</v>
      </c>
      <c r="I181">
        <v>0</v>
      </c>
      <c r="K181" s="1">
        <v>125</v>
      </c>
      <c r="L181" s="1">
        <v>908</v>
      </c>
      <c r="M181" s="1">
        <v>4010</v>
      </c>
      <c r="N181" s="1">
        <v>11.2</v>
      </c>
      <c r="O181" s="1">
        <v>-3.1</v>
      </c>
      <c r="P181" s="1">
        <v>-0.9</v>
      </c>
      <c r="Q181" s="1">
        <v>0</v>
      </c>
      <c r="R181" s="1">
        <v>0</v>
      </c>
      <c r="S181" s="1">
        <v>0</v>
      </c>
    </row>
    <row r="182" spans="1:19" x14ac:dyDescent="0.25">
      <c r="A182" s="1">
        <v>150</v>
      </c>
      <c r="B182" s="1">
        <v>836</v>
      </c>
      <c r="C182" s="1">
        <v>3400</v>
      </c>
      <c r="D182" s="1">
        <v>14.5</v>
      </c>
      <c r="E182" s="1">
        <v>-3.3</v>
      </c>
      <c r="F182" s="1">
        <v>-1</v>
      </c>
      <c r="G182">
        <v>0</v>
      </c>
      <c r="H182">
        <v>0</v>
      </c>
      <c r="I182">
        <v>0</v>
      </c>
      <c r="K182" s="1">
        <v>150</v>
      </c>
      <c r="L182" s="1">
        <v>898</v>
      </c>
      <c r="M182" s="1">
        <v>3920</v>
      </c>
      <c r="N182" s="1">
        <v>12</v>
      </c>
      <c r="O182" s="1">
        <v>-2.7</v>
      </c>
      <c r="P182" s="1">
        <v>-0.8</v>
      </c>
      <c r="Q182" s="1">
        <v>0</v>
      </c>
      <c r="R182" s="1">
        <v>0</v>
      </c>
      <c r="S182" s="1">
        <v>0</v>
      </c>
    </row>
    <row r="183" spans="1:19" x14ac:dyDescent="0.25">
      <c r="A183" s="1">
        <v>175</v>
      </c>
      <c r="B183" s="1">
        <v>817</v>
      </c>
      <c r="C183" s="1">
        <v>3244</v>
      </c>
      <c r="D183" s="1">
        <v>14.7</v>
      </c>
      <c r="E183" s="1">
        <v>-2.9</v>
      </c>
      <c r="F183" s="1">
        <v>-0.8</v>
      </c>
      <c r="G183">
        <v>0</v>
      </c>
      <c r="H183">
        <v>0</v>
      </c>
      <c r="I183">
        <v>0</v>
      </c>
      <c r="K183" s="1">
        <v>175</v>
      </c>
      <c r="L183" s="1">
        <v>888</v>
      </c>
      <c r="M183" s="1">
        <v>3833</v>
      </c>
      <c r="N183" s="1">
        <v>12</v>
      </c>
      <c r="O183" s="1">
        <v>-2.4</v>
      </c>
      <c r="P183" s="1">
        <v>-0.7</v>
      </c>
      <c r="Q183" s="1">
        <v>0</v>
      </c>
      <c r="R183" s="1">
        <v>0</v>
      </c>
      <c r="S183" s="1">
        <v>0</v>
      </c>
    </row>
    <row r="184" spans="1:19" x14ac:dyDescent="0.25">
      <c r="A184" s="1">
        <v>200</v>
      </c>
      <c r="B184" s="1">
        <v>798</v>
      </c>
      <c r="C184" s="1">
        <v>3093</v>
      </c>
      <c r="D184" s="1">
        <v>13.8</v>
      </c>
      <c r="E184" s="1">
        <v>-2.4</v>
      </c>
      <c r="F184" s="1">
        <v>-0.7</v>
      </c>
      <c r="G184">
        <v>0</v>
      </c>
      <c r="H184">
        <v>0</v>
      </c>
      <c r="I184">
        <v>0</v>
      </c>
      <c r="K184" s="1">
        <v>200</v>
      </c>
      <c r="L184" s="1">
        <v>878</v>
      </c>
      <c r="M184" s="1">
        <v>3746</v>
      </c>
      <c r="N184" s="1">
        <v>11.3</v>
      </c>
      <c r="O184" s="1">
        <v>-1.9</v>
      </c>
      <c r="P184" s="1">
        <v>-0.6</v>
      </c>
      <c r="Q184" s="1">
        <v>0</v>
      </c>
      <c r="R184" s="1">
        <v>0</v>
      </c>
      <c r="S184" s="1">
        <v>0</v>
      </c>
    </row>
    <row r="185" spans="1:19" x14ac:dyDescent="0.25">
      <c r="A185" s="1">
        <v>225</v>
      </c>
      <c r="B185" s="1">
        <v>779</v>
      </c>
      <c r="C185" s="1">
        <v>2947</v>
      </c>
      <c r="D185" s="1">
        <v>12</v>
      </c>
      <c r="E185" s="1">
        <v>-1.8</v>
      </c>
      <c r="F185" s="1">
        <v>-0.5</v>
      </c>
      <c r="G185">
        <v>0</v>
      </c>
      <c r="H185">
        <v>0</v>
      </c>
      <c r="I185">
        <v>0</v>
      </c>
      <c r="K185" s="1">
        <v>225</v>
      </c>
      <c r="L185" s="1">
        <v>868</v>
      </c>
      <c r="M185" s="1">
        <v>3662</v>
      </c>
      <c r="N185" s="1">
        <v>9.6999999999999993</v>
      </c>
      <c r="O185" s="1">
        <v>-1.5</v>
      </c>
      <c r="P185" s="1">
        <v>-0.4</v>
      </c>
      <c r="Q185" s="1">
        <v>0</v>
      </c>
      <c r="R185" s="1">
        <v>0</v>
      </c>
      <c r="S185" s="1">
        <v>0</v>
      </c>
    </row>
    <row r="186" spans="1:19" x14ac:dyDescent="0.25">
      <c r="A186" s="1">
        <v>250</v>
      </c>
      <c r="B186" s="1">
        <v>760</v>
      </c>
      <c r="C186" s="1">
        <v>2807</v>
      </c>
      <c r="D186" s="1">
        <v>9.1999999999999993</v>
      </c>
      <c r="E186" s="1">
        <v>-1.3</v>
      </c>
      <c r="F186" s="1">
        <v>-0.4</v>
      </c>
      <c r="G186">
        <v>0</v>
      </c>
      <c r="H186">
        <v>0</v>
      </c>
      <c r="I186">
        <v>0</v>
      </c>
      <c r="K186" s="1">
        <v>250</v>
      </c>
      <c r="L186" s="1">
        <v>858</v>
      </c>
      <c r="M186" s="1">
        <v>3578</v>
      </c>
      <c r="N186" s="1">
        <v>7.4</v>
      </c>
      <c r="O186" s="1">
        <v>-1</v>
      </c>
      <c r="P186" s="1">
        <v>-0.3</v>
      </c>
      <c r="Q186" s="1">
        <v>0</v>
      </c>
      <c r="R186" s="1">
        <v>0</v>
      </c>
      <c r="S186" s="1">
        <v>0</v>
      </c>
    </row>
    <row r="187" spans="1:19" x14ac:dyDescent="0.25">
      <c r="A187" s="1">
        <v>275</v>
      </c>
      <c r="B187" s="1">
        <v>741</v>
      </c>
      <c r="C187" s="1">
        <v>2672</v>
      </c>
      <c r="D187" s="1">
        <v>5.2</v>
      </c>
      <c r="E187" s="1">
        <v>-0.6</v>
      </c>
      <c r="F187" s="1">
        <v>-0.2</v>
      </c>
      <c r="G187">
        <v>0</v>
      </c>
      <c r="H187">
        <v>0</v>
      </c>
      <c r="I187">
        <v>0</v>
      </c>
      <c r="K187" s="1">
        <v>275</v>
      </c>
      <c r="L187" s="1">
        <v>848</v>
      </c>
      <c r="M187" s="1">
        <v>3497</v>
      </c>
      <c r="N187" s="1">
        <v>4.0999999999999996</v>
      </c>
      <c r="O187" s="1">
        <v>-0.5</v>
      </c>
      <c r="P187" s="1">
        <v>-0.1</v>
      </c>
      <c r="Q187" s="1">
        <v>0</v>
      </c>
      <c r="R187" s="1">
        <v>0</v>
      </c>
      <c r="S187" s="1">
        <v>0</v>
      </c>
    </row>
    <row r="188" spans="1:19" x14ac:dyDescent="0.25">
      <c r="A188" s="10">
        <v>300</v>
      </c>
      <c r="B188" s="10">
        <v>723</v>
      </c>
      <c r="C188" s="10">
        <v>2543</v>
      </c>
      <c r="D188" s="10">
        <v>0.1</v>
      </c>
      <c r="E188" s="10">
        <v>0</v>
      </c>
      <c r="F188" s="10">
        <v>0</v>
      </c>
      <c r="G188">
        <v>0</v>
      </c>
      <c r="H188">
        <v>0</v>
      </c>
      <c r="I188">
        <v>0</v>
      </c>
      <c r="K188" s="1">
        <v>300</v>
      </c>
      <c r="L188" s="1">
        <v>838</v>
      </c>
      <c r="M188" s="1">
        <v>3416</v>
      </c>
      <c r="N188" s="1">
        <v>0</v>
      </c>
      <c r="O188" s="1">
        <v>0</v>
      </c>
      <c r="P188" s="1">
        <v>0</v>
      </c>
      <c r="Q188" s="1">
        <v>0</v>
      </c>
      <c r="R188" s="1">
        <v>0</v>
      </c>
      <c r="S188" s="1">
        <v>0</v>
      </c>
    </row>
    <row r="189" spans="1:19" x14ac:dyDescent="0.25">
      <c r="A189" s="1">
        <v>325</v>
      </c>
      <c r="B189" s="1">
        <v>705</v>
      </c>
      <c r="C189" s="1">
        <v>2418</v>
      </c>
      <c r="D189" s="1">
        <v>-6.2</v>
      </c>
      <c r="E189" s="1">
        <v>0.7</v>
      </c>
      <c r="F189" s="1">
        <v>0.2</v>
      </c>
      <c r="G189">
        <v>0</v>
      </c>
      <c r="H189">
        <v>0</v>
      </c>
      <c r="I189">
        <v>0</v>
      </c>
      <c r="K189" s="1">
        <v>325</v>
      </c>
      <c r="L189" s="1">
        <v>829</v>
      </c>
      <c r="M189" s="1">
        <v>3337</v>
      </c>
      <c r="N189" s="1">
        <v>-4.9000000000000004</v>
      </c>
      <c r="O189" s="1">
        <v>0.5</v>
      </c>
      <c r="P189" s="1">
        <v>0.2</v>
      </c>
      <c r="Q189" s="1">
        <v>0</v>
      </c>
      <c r="R189" s="1">
        <v>0</v>
      </c>
      <c r="S189" s="1">
        <v>0</v>
      </c>
    </row>
    <row r="190" spans="1:19" x14ac:dyDescent="0.25">
      <c r="A190" s="1">
        <v>350</v>
      </c>
      <c r="B190" s="1">
        <v>688</v>
      </c>
      <c r="C190" s="1">
        <v>2298</v>
      </c>
      <c r="D190" s="1">
        <v>-14.1</v>
      </c>
      <c r="E190" s="1">
        <v>1.4</v>
      </c>
      <c r="F190" s="1">
        <v>0.4</v>
      </c>
      <c r="G190">
        <v>0</v>
      </c>
      <c r="H190">
        <v>0</v>
      </c>
      <c r="I190">
        <v>0</v>
      </c>
      <c r="K190" s="1">
        <v>350</v>
      </c>
      <c r="L190" s="1">
        <v>819</v>
      </c>
      <c r="M190" s="1">
        <v>3260</v>
      </c>
      <c r="N190" s="1">
        <v>-11</v>
      </c>
      <c r="O190" s="1">
        <v>1.1000000000000001</v>
      </c>
      <c r="P190" s="1">
        <v>0.3</v>
      </c>
      <c r="Q190" s="1">
        <v>0</v>
      </c>
      <c r="R190" s="1">
        <v>0</v>
      </c>
      <c r="S190" s="1">
        <v>0</v>
      </c>
    </row>
    <row r="191" spans="1:19" x14ac:dyDescent="0.25">
      <c r="A191" s="1">
        <v>375</v>
      </c>
      <c r="B191" s="1">
        <v>670</v>
      </c>
      <c r="C191" s="1">
        <v>2182</v>
      </c>
      <c r="D191" s="1">
        <v>-23.1</v>
      </c>
      <c r="E191" s="1">
        <v>2.1</v>
      </c>
      <c r="F191" s="1">
        <v>0.6</v>
      </c>
      <c r="G191">
        <v>0</v>
      </c>
      <c r="H191">
        <v>0</v>
      </c>
      <c r="I191">
        <v>0</v>
      </c>
      <c r="K191" s="1">
        <v>375</v>
      </c>
      <c r="L191" s="1">
        <v>809</v>
      </c>
      <c r="M191" s="1">
        <v>3184</v>
      </c>
      <c r="N191" s="1">
        <v>-17.8</v>
      </c>
      <c r="O191" s="1">
        <v>1.6</v>
      </c>
      <c r="P191" s="1">
        <v>0.5</v>
      </c>
      <c r="Q191" s="1">
        <v>0</v>
      </c>
      <c r="R191" s="1">
        <v>0</v>
      </c>
      <c r="S191" s="1">
        <v>0</v>
      </c>
    </row>
    <row r="192" spans="1:19" x14ac:dyDescent="0.25">
      <c r="A192" s="1">
        <v>400</v>
      </c>
      <c r="B192" s="1">
        <v>653</v>
      </c>
      <c r="C192" s="1">
        <v>2071</v>
      </c>
      <c r="D192" s="1">
        <v>-33.5</v>
      </c>
      <c r="E192" s="1">
        <v>2.9</v>
      </c>
      <c r="F192" s="1">
        <v>0.8</v>
      </c>
      <c r="G192">
        <v>0</v>
      </c>
      <c r="H192">
        <v>0</v>
      </c>
      <c r="I192">
        <v>0</v>
      </c>
      <c r="K192" s="1">
        <v>400</v>
      </c>
      <c r="L192" s="1">
        <v>800</v>
      </c>
      <c r="M192" s="1">
        <v>3109</v>
      </c>
      <c r="N192" s="1">
        <v>-25.5</v>
      </c>
      <c r="O192" s="1">
        <v>2.2000000000000002</v>
      </c>
      <c r="P192" s="1">
        <v>0.6</v>
      </c>
      <c r="Q192" s="1">
        <v>0</v>
      </c>
      <c r="R192" s="1">
        <v>0</v>
      </c>
      <c r="S192" s="1">
        <v>0</v>
      </c>
    </row>
    <row r="193" spans="1:19" x14ac:dyDescent="0.25">
      <c r="A193" s="1">
        <v>425</v>
      </c>
      <c r="B193" s="1">
        <v>636</v>
      </c>
      <c r="C193" s="1">
        <v>1965</v>
      </c>
      <c r="D193" s="1">
        <v>-45.9</v>
      </c>
      <c r="E193" s="1">
        <v>3.7</v>
      </c>
      <c r="F193" s="1">
        <v>1.1000000000000001</v>
      </c>
      <c r="G193">
        <v>0</v>
      </c>
      <c r="H193">
        <v>0</v>
      </c>
      <c r="I193">
        <v>0</v>
      </c>
      <c r="K193" s="1">
        <v>425</v>
      </c>
      <c r="L193" s="1">
        <v>790</v>
      </c>
      <c r="M193" s="1">
        <v>3035</v>
      </c>
      <c r="N193" s="1">
        <v>-34.5</v>
      </c>
      <c r="O193" s="1">
        <v>2.8</v>
      </c>
      <c r="P193" s="1">
        <v>0.8</v>
      </c>
      <c r="Q193" s="1">
        <v>0</v>
      </c>
      <c r="R193" s="1">
        <v>0</v>
      </c>
      <c r="S193" s="1">
        <v>0</v>
      </c>
    </row>
    <row r="194" spans="1:19" x14ac:dyDescent="0.25">
      <c r="A194" s="1">
        <v>450</v>
      </c>
      <c r="B194" s="1">
        <v>619</v>
      </c>
      <c r="C194" s="1">
        <v>1863</v>
      </c>
      <c r="D194" s="1">
        <v>-59.5</v>
      </c>
      <c r="E194" s="1">
        <v>4.5</v>
      </c>
      <c r="F194" s="1">
        <v>1.3</v>
      </c>
      <c r="G194">
        <v>0</v>
      </c>
      <c r="H194">
        <v>0</v>
      </c>
      <c r="I194">
        <v>0</v>
      </c>
      <c r="K194" s="1">
        <v>450</v>
      </c>
      <c r="L194" s="1">
        <v>781</v>
      </c>
      <c r="M194" s="1">
        <v>2963</v>
      </c>
      <c r="N194" s="1">
        <v>-44.3</v>
      </c>
      <c r="O194" s="1">
        <v>3.4</v>
      </c>
      <c r="P194" s="1">
        <v>1</v>
      </c>
      <c r="Q194" s="1">
        <v>0</v>
      </c>
      <c r="R194" s="1">
        <v>0</v>
      </c>
      <c r="S194" s="1">
        <v>0</v>
      </c>
    </row>
    <row r="195" spans="1:19" x14ac:dyDescent="0.25">
      <c r="A195" s="1">
        <v>475</v>
      </c>
      <c r="B195" s="1">
        <v>603</v>
      </c>
      <c r="C195" s="1">
        <v>1765</v>
      </c>
      <c r="D195" s="1">
        <v>-74.8</v>
      </c>
      <c r="E195" s="1">
        <v>5.4</v>
      </c>
      <c r="F195" s="1">
        <v>1.6</v>
      </c>
      <c r="G195">
        <v>0</v>
      </c>
      <c r="H195">
        <v>0</v>
      </c>
      <c r="I195">
        <v>0</v>
      </c>
      <c r="K195" s="1">
        <v>475</v>
      </c>
      <c r="L195" s="1">
        <v>771</v>
      </c>
      <c r="M195" s="1">
        <v>2892</v>
      </c>
      <c r="N195" s="1">
        <v>-55</v>
      </c>
      <c r="O195" s="1">
        <v>4</v>
      </c>
      <c r="P195" s="1">
        <v>1.2</v>
      </c>
      <c r="Q195" s="1">
        <v>0</v>
      </c>
      <c r="R195" s="1">
        <v>0</v>
      </c>
      <c r="S195" s="1">
        <v>0</v>
      </c>
    </row>
    <row r="196" spans="1:19" x14ac:dyDescent="0.25">
      <c r="A196" s="1">
        <v>500</v>
      </c>
      <c r="B196" s="1">
        <v>587</v>
      </c>
      <c r="C196" s="1">
        <v>1676</v>
      </c>
      <c r="D196" s="1">
        <v>-91.9</v>
      </c>
      <c r="E196" s="1">
        <v>6.3</v>
      </c>
      <c r="F196" s="1">
        <v>1.8</v>
      </c>
      <c r="G196">
        <v>0</v>
      </c>
      <c r="H196">
        <v>0</v>
      </c>
      <c r="I196">
        <v>0</v>
      </c>
      <c r="K196" s="1">
        <v>500</v>
      </c>
      <c r="L196" s="1">
        <v>762</v>
      </c>
      <c r="M196" s="1">
        <v>2826</v>
      </c>
      <c r="N196" s="1">
        <v>-66.8</v>
      </c>
      <c r="O196" s="1">
        <v>4.5999999999999996</v>
      </c>
      <c r="P196" s="1">
        <v>1.3</v>
      </c>
      <c r="Q196" s="1">
        <v>0</v>
      </c>
      <c r="R196" s="1">
        <v>0</v>
      </c>
      <c r="S196" s="1">
        <v>0</v>
      </c>
    </row>
    <row r="198" spans="1:19" x14ac:dyDescent="0.25">
      <c r="A198" t="s">
        <v>79</v>
      </c>
      <c r="K198" t="s">
        <v>84</v>
      </c>
    </row>
    <row r="199" spans="1:19" x14ac:dyDescent="0.25">
      <c r="A199" t="s">
        <v>12</v>
      </c>
      <c r="B199" t="s">
        <v>13</v>
      </c>
      <c r="C199" t="s">
        <v>14</v>
      </c>
      <c r="D199" t="s">
        <v>15</v>
      </c>
      <c r="E199" t="s">
        <v>16</v>
      </c>
      <c r="F199" t="s">
        <v>17</v>
      </c>
      <c r="G199" t="s">
        <v>37</v>
      </c>
      <c r="H199" t="s">
        <v>38</v>
      </c>
      <c r="I199" t="s">
        <v>39</v>
      </c>
      <c r="K199" t="s">
        <v>12</v>
      </c>
      <c r="L199" t="s">
        <v>13</v>
      </c>
      <c r="M199" t="s">
        <v>14</v>
      </c>
      <c r="N199" t="s">
        <v>15</v>
      </c>
      <c r="O199" t="s">
        <v>16</v>
      </c>
      <c r="P199" t="s">
        <v>17</v>
      </c>
      <c r="Q199" t="s">
        <v>37</v>
      </c>
      <c r="R199" t="s">
        <v>38</v>
      </c>
      <c r="S199" t="s">
        <v>39</v>
      </c>
    </row>
    <row r="200" spans="1:19" x14ac:dyDescent="0.25">
      <c r="A200" s="1">
        <v>0</v>
      </c>
      <c r="B200" s="1">
        <v>960</v>
      </c>
      <c r="C200" s="1">
        <v>4482</v>
      </c>
      <c r="D200" s="1">
        <v>-3.8</v>
      </c>
      <c r="E200" s="1">
        <v>0</v>
      </c>
      <c r="F200" s="1">
        <v>0</v>
      </c>
      <c r="G200">
        <v>0</v>
      </c>
      <c r="H200">
        <v>0</v>
      </c>
      <c r="I200">
        <v>0</v>
      </c>
      <c r="K200" s="1">
        <v>0</v>
      </c>
      <c r="L200" s="1">
        <v>960</v>
      </c>
      <c r="M200" s="1">
        <v>4482</v>
      </c>
      <c r="N200" s="1">
        <v>-3.8</v>
      </c>
      <c r="O200" s="1">
        <v>0</v>
      </c>
      <c r="P200" s="1">
        <v>0</v>
      </c>
      <c r="Q200" s="1">
        <v>0</v>
      </c>
      <c r="R200" s="1">
        <v>0</v>
      </c>
      <c r="S200" s="1">
        <v>0</v>
      </c>
    </row>
    <row r="201" spans="1:19" x14ac:dyDescent="0.25">
      <c r="A201" s="1">
        <v>25</v>
      </c>
      <c r="B201" s="1">
        <v>939</v>
      </c>
      <c r="C201" s="1">
        <v>4282</v>
      </c>
      <c r="D201" s="1">
        <v>3.2</v>
      </c>
      <c r="E201" s="1">
        <v>-4.4000000000000004</v>
      </c>
      <c r="F201" s="1">
        <v>-1.3</v>
      </c>
      <c r="G201">
        <v>0</v>
      </c>
      <c r="H201">
        <v>0</v>
      </c>
      <c r="I201">
        <v>0</v>
      </c>
      <c r="K201" s="1">
        <v>25</v>
      </c>
      <c r="L201" s="1">
        <v>950</v>
      </c>
      <c r="M201" s="1">
        <v>4384</v>
      </c>
      <c r="N201" s="1">
        <v>2.2000000000000002</v>
      </c>
      <c r="O201" s="1">
        <v>-3</v>
      </c>
      <c r="P201" s="1">
        <v>-0.9</v>
      </c>
      <c r="Q201" s="1">
        <v>0</v>
      </c>
      <c r="R201" s="1">
        <v>0</v>
      </c>
      <c r="S201" s="1">
        <v>0</v>
      </c>
    </row>
    <row r="202" spans="1:19" x14ac:dyDescent="0.25">
      <c r="A202" s="1">
        <v>50</v>
      </c>
      <c r="B202" s="1">
        <v>918</v>
      </c>
      <c r="C202" s="1">
        <v>4092</v>
      </c>
      <c r="D202" s="1">
        <v>9.6999999999999993</v>
      </c>
      <c r="E202" s="1">
        <v>-6.6</v>
      </c>
      <c r="F202" s="1">
        <v>-1.9</v>
      </c>
      <c r="G202">
        <v>0</v>
      </c>
      <c r="H202">
        <v>0</v>
      </c>
      <c r="I202">
        <v>0</v>
      </c>
      <c r="K202" s="1">
        <v>50</v>
      </c>
      <c r="L202" s="1">
        <v>939</v>
      </c>
      <c r="M202" s="1">
        <v>4288</v>
      </c>
      <c r="N202" s="1">
        <v>7.6</v>
      </c>
      <c r="O202" s="1">
        <v>-5.2</v>
      </c>
      <c r="P202" s="1">
        <v>-1.5</v>
      </c>
      <c r="Q202" s="1">
        <v>0</v>
      </c>
      <c r="R202" s="1">
        <v>0</v>
      </c>
      <c r="S202" s="1">
        <v>0</v>
      </c>
    </row>
    <row r="203" spans="1:19" x14ac:dyDescent="0.25">
      <c r="A203" s="1">
        <v>75</v>
      </c>
      <c r="B203" s="1">
        <v>897</v>
      </c>
      <c r="C203" s="1">
        <v>3909</v>
      </c>
      <c r="D203" s="1">
        <v>15.2</v>
      </c>
      <c r="E203" s="1">
        <v>-6.9</v>
      </c>
      <c r="F203" s="1">
        <v>-2</v>
      </c>
      <c r="G203">
        <v>0</v>
      </c>
      <c r="H203">
        <v>0</v>
      </c>
      <c r="I203">
        <v>0</v>
      </c>
      <c r="K203" s="1">
        <v>75</v>
      </c>
      <c r="L203" s="1">
        <v>929</v>
      </c>
      <c r="M203" s="1">
        <v>4194</v>
      </c>
      <c r="N203" s="1">
        <v>12.1</v>
      </c>
      <c r="O203" s="1">
        <v>-5.6</v>
      </c>
      <c r="P203" s="1">
        <v>-1.6</v>
      </c>
      <c r="Q203" s="1">
        <v>0</v>
      </c>
      <c r="R203" s="1">
        <v>0</v>
      </c>
      <c r="S203" s="1">
        <v>0</v>
      </c>
    </row>
    <row r="204" spans="1:19" x14ac:dyDescent="0.25">
      <c r="A204" s="1">
        <v>100</v>
      </c>
      <c r="B204" s="1">
        <v>876</v>
      </c>
      <c r="C204" s="1">
        <v>3733</v>
      </c>
      <c r="D204" s="1">
        <v>19.899999999999999</v>
      </c>
      <c r="E204" s="1">
        <v>-6.9</v>
      </c>
      <c r="F204" s="1">
        <v>-2</v>
      </c>
      <c r="G204">
        <v>0</v>
      </c>
      <c r="H204">
        <v>0</v>
      </c>
      <c r="I204">
        <v>0</v>
      </c>
      <c r="K204" s="1">
        <v>100</v>
      </c>
      <c r="L204" s="1">
        <v>919</v>
      </c>
      <c r="M204" s="1">
        <v>4101</v>
      </c>
      <c r="N204" s="1">
        <v>16</v>
      </c>
      <c r="O204" s="1">
        <v>-5.5</v>
      </c>
      <c r="P204" s="1">
        <v>-1.6</v>
      </c>
      <c r="Q204" s="1">
        <v>0</v>
      </c>
      <c r="R204" s="1">
        <v>0</v>
      </c>
      <c r="S204" s="1">
        <v>0</v>
      </c>
    </row>
    <row r="205" spans="1:19" x14ac:dyDescent="0.25">
      <c r="A205" s="1">
        <v>125</v>
      </c>
      <c r="B205" s="1">
        <v>856</v>
      </c>
      <c r="C205" s="1">
        <v>3563</v>
      </c>
      <c r="D205" s="1">
        <v>24</v>
      </c>
      <c r="E205" s="1">
        <v>-6.6</v>
      </c>
      <c r="F205" s="1">
        <v>-1.9</v>
      </c>
      <c r="G205">
        <v>0</v>
      </c>
      <c r="H205">
        <v>0</v>
      </c>
      <c r="I205">
        <v>0</v>
      </c>
      <c r="K205" s="1">
        <v>125</v>
      </c>
      <c r="L205" s="1">
        <v>908</v>
      </c>
      <c r="M205" s="1">
        <v>4010</v>
      </c>
      <c r="N205" s="1">
        <v>19.2</v>
      </c>
      <c r="O205" s="1">
        <v>-5.3</v>
      </c>
      <c r="P205" s="1">
        <v>-1.5</v>
      </c>
      <c r="Q205" s="1">
        <v>0</v>
      </c>
      <c r="R205" s="1">
        <v>0</v>
      </c>
      <c r="S205" s="1">
        <v>0</v>
      </c>
    </row>
    <row r="206" spans="1:19" x14ac:dyDescent="0.25">
      <c r="A206" s="1">
        <v>150</v>
      </c>
      <c r="B206" s="1">
        <v>836</v>
      </c>
      <c r="C206" s="1">
        <v>3400</v>
      </c>
      <c r="D206" s="1">
        <v>27.2</v>
      </c>
      <c r="E206" s="1">
        <v>-6.2</v>
      </c>
      <c r="F206" s="1">
        <v>-1.8</v>
      </c>
      <c r="G206">
        <v>0</v>
      </c>
      <c r="H206">
        <v>0</v>
      </c>
      <c r="I206">
        <v>0</v>
      </c>
      <c r="K206" s="1">
        <v>150</v>
      </c>
      <c r="L206" s="1">
        <v>898</v>
      </c>
      <c r="M206" s="1">
        <v>3920</v>
      </c>
      <c r="N206" s="1">
        <v>21.6</v>
      </c>
      <c r="O206" s="1">
        <v>-5</v>
      </c>
      <c r="P206" s="1">
        <v>-1.4</v>
      </c>
      <c r="Q206" s="1">
        <v>0</v>
      </c>
      <c r="R206" s="1">
        <v>0</v>
      </c>
      <c r="S206" s="1">
        <v>0</v>
      </c>
    </row>
    <row r="207" spans="1:19" x14ac:dyDescent="0.25">
      <c r="A207" s="1">
        <v>175</v>
      </c>
      <c r="B207" s="1">
        <v>817</v>
      </c>
      <c r="C207" s="1">
        <v>3244</v>
      </c>
      <c r="D207" s="1">
        <v>29.4</v>
      </c>
      <c r="E207" s="1">
        <v>-5.8</v>
      </c>
      <c r="F207" s="1">
        <v>-1.7</v>
      </c>
      <c r="G207">
        <v>0</v>
      </c>
      <c r="H207">
        <v>0</v>
      </c>
      <c r="I207">
        <v>0</v>
      </c>
      <c r="K207" s="1">
        <v>175</v>
      </c>
      <c r="L207" s="1">
        <v>888</v>
      </c>
      <c r="M207" s="1">
        <v>3833</v>
      </c>
      <c r="N207" s="1">
        <v>23.3</v>
      </c>
      <c r="O207" s="1">
        <v>-4.5999999999999996</v>
      </c>
      <c r="P207" s="1">
        <v>-1.3</v>
      </c>
      <c r="Q207" s="1">
        <v>0</v>
      </c>
      <c r="R207" s="1">
        <v>0</v>
      </c>
      <c r="S207" s="1">
        <v>0</v>
      </c>
    </row>
    <row r="208" spans="1:19" x14ac:dyDescent="0.25">
      <c r="A208" s="1">
        <v>200</v>
      </c>
      <c r="B208" s="1">
        <v>798</v>
      </c>
      <c r="C208" s="1">
        <v>3093</v>
      </c>
      <c r="D208" s="1">
        <v>30.7</v>
      </c>
      <c r="E208" s="1">
        <v>-5.3</v>
      </c>
      <c r="F208" s="1">
        <v>-1.5</v>
      </c>
      <c r="G208">
        <v>0</v>
      </c>
      <c r="H208">
        <v>0</v>
      </c>
      <c r="I208">
        <v>0</v>
      </c>
      <c r="K208" s="1">
        <v>200</v>
      </c>
      <c r="L208" s="1">
        <v>878</v>
      </c>
      <c r="M208" s="1">
        <v>3746</v>
      </c>
      <c r="N208" s="1">
        <v>24.1</v>
      </c>
      <c r="O208" s="1">
        <v>-4.0999999999999996</v>
      </c>
      <c r="P208" s="1">
        <v>-1.2</v>
      </c>
      <c r="Q208" s="1">
        <v>0</v>
      </c>
      <c r="R208" s="1">
        <v>0</v>
      </c>
      <c r="S208" s="1">
        <v>0</v>
      </c>
    </row>
    <row r="209" spans="1:19" x14ac:dyDescent="0.25">
      <c r="A209" s="1">
        <v>225</v>
      </c>
      <c r="B209" s="1">
        <v>779</v>
      </c>
      <c r="C209" s="1">
        <v>2947</v>
      </c>
      <c r="D209" s="1">
        <v>31</v>
      </c>
      <c r="E209" s="1">
        <v>-4.7</v>
      </c>
      <c r="F209" s="1">
        <v>-1.4</v>
      </c>
      <c r="G209">
        <v>0</v>
      </c>
      <c r="H209">
        <v>0</v>
      </c>
      <c r="I209">
        <v>0</v>
      </c>
      <c r="K209" s="1">
        <v>225</v>
      </c>
      <c r="L209" s="1">
        <v>868</v>
      </c>
      <c r="M209" s="1">
        <v>3662</v>
      </c>
      <c r="N209" s="1">
        <v>24.2</v>
      </c>
      <c r="O209" s="1">
        <v>-3.7</v>
      </c>
      <c r="P209" s="1">
        <v>-1.1000000000000001</v>
      </c>
      <c r="Q209" s="1">
        <v>0</v>
      </c>
      <c r="R209" s="1">
        <v>0</v>
      </c>
      <c r="S209" s="1">
        <v>0</v>
      </c>
    </row>
    <row r="210" spans="1:19" x14ac:dyDescent="0.25">
      <c r="A210" s="1">
        <v>250</v>
      </c>
      <c r="B210" s="1">
        <v>760</v>
      </c>
      <c r="C210" s="1">
        <v>2807</v>
      </c>
      <c r="D210" s="1">
        <v>30.3</v>
      </c>
      <c r="E210" s="1">
        <v>-4.2</v>
      </c>
      <c r="F210" s="1">
        <v>-1.2</v>
      </c>
      <c r="G210">
        <v>0</v>
      </c>
      <c r="H210">
        <v>0</v>
      </c>
      <c r="I210">
        <v>0</v>
      </c>
      <c r="K210" s="1">
        <v>250</v>
      </c>
      <c r="L210" s="1">
        <v>858</v>
      </c>
      <c r="M210" s="1">
        <v>3578</v>
      </c>
      <c r="N210" s="1">
        <v>23.4</v>
      </c>
      <c r="O210" s="1">
        <v>-3.2</v>
      </c>
      <c r="P210" s="1">
        <v>-0.9</v>
      </c>
      <c r="Q210" s="1">
        <v>0</v>
      </c>
      <c r="R210" s="1">
        <v>0</v>
      </c>
      <c r="S210" s="1">
        <v>0</v>
      </c>
    </row>
    <row r="211" spans="1:19" x14ac:dyDescent="0.25">
      <c r="A211" s="1">
        <v>275</v>
      </c>
      <c r="B211" s="1">
        <v>741</v>
      </c>
      <c r="C211" s="1">
        <v>2672</v>
      </c>
      <c r="D211" s="1">
        <v>28.4</v>
      </c>
      <c r="E211" s="1">
        <v>-3.5</v>
      </c>
      <c r="F211" s="1">
        <v>-1</v>
      </c>
      <c r="G211">
        <v>0</v>
      </c>
      <c r="H211">
        <v>0</v>
      </c>
      <c r="I211">
        <v>0</v>
      </c>
      <c r="K211" s="1">
        <v>275</v>
      </c>
      <c r="L211" s="1">
        <v>848</v>
      </c>
      <c r="M211" s="1">
        <v>3497</v>
      </c>
      <c r="N211" s="1">
        <v>21.7</v>
      </c>
      <c r="O211" s="1">
        <v>-2.7</v>
      </c>
      <c r="P211" s="1">
        <v>-0.8</v>
      </c>
      <c r="Q211" s="1">
        <v>0</v>
      </c>
      <c r="R211" s="1">
        <v>0</v>
      </c>
      <c r="S211" s="1">
        <v>0</v>
      </c>
    </row>
    <row r="212" spans="1:19" x14ac:dyDescent="0.25">
      <c r="A212" s="1">
        <v>300</v>
      </c>
      <c r="B212" s="1">
        <v>723</v>
      </c>
      <c r="C212" s="1">
        <v>2542</v>
      </c>
      <c r="D212" s="1">
        <v>25.4</v>
      </c>
      <c r="E212" s="1">
        <v>-2.9</v>
      </c>
      <c r="F212" s="1">
        <v>-0.8</v>
      </c>
      <c r="G212">
        <v>0</v>
      </c>
      <c r="H212">
        <v>0</v>
      </c>
      <c r="I212">
        <v>0</v>
      </c>
      <c r="K212" s="1">
        <v>300</v>
      </c>
      <c r="L212" s="1">
        <v>838</v>
      </c>
      <c r="M212" s="1">
        <v>3416</v>
      </c>
      <c r="N212" s="1">
        <v>19.3</v>
      </c>
      <c r="O212" s="1">
        <v>-2.2000000000000002</v>
      </c>
      <c r="P212" s="1">
        <v>-0.6</v>
      </c>
      <c r="Q212" s="1">
        <v>0</v>
      </c>
      <c r="R212" s="1">
        <v>0</v>
      </c>
      <c r="S212" s="1">
        <v>0</v>
      </c>
    </row>
    <row r="213" spans="1:19" x14ac:dyDescent="0.25">
      <c r="A213" s="1">
        <v>325</v>
      </c>
      <c r="B213" s="1">
        <v>705</v>
      </c>
      <c r="C213" s="1">
        <v>2418</v>
      </c>
      <c r="D213" s="1">
        <v>21.2</v>
      </c>
      <c r="E213" s="1">
        <v>-2.2000000000000002</v>
      </c>
      <c r="F213" s="1">
        <v>-0.7</v>
      </c>
      <c r="G213">
        <v>0</v>
      </c>
      <c r="H213">
        <v>0</v>
      </c>
      <c r="I213">
        <v>0</v>
      </c>
      <c r="K213" s="1">
        <v>325</v>
      </c>
      <c r="L213" s="1">
        <v>829</v>
      </c>
      <c r="M213" s="1">
        <v>3337</v>
      </c>
      <c r="N213" s="1">
        <v>15.9</v>
      </c>
      <c r="O213" s="1">
        <v>-1.7</v>
      </c>
      <c r="P213" s="1">
        <v>-0.5</v>
      </c>
      <c r="Q213" s="1">
        <v>0</v>
      </c>
      <c r="R213" s="1">
        <v>0</v>
      </c>
      <c r="S213" s="1">
        <v>0</v>
      </c>
    </row>
    <row r="214" spans="1:19" x14ac:dyDescent="0.25">
      <c r="A214" s="1">
        <v>350</v>
      </c>
      <c r="B214" s="1">
        <v>688</v>
      </c>
      <c r="C214" s="1">
        <v>2298</v>
      </c>
      <c r="D214" s="1">
        <v>15.4</v>
      </c>
      <c r="E214" s="1">
        <v>-1.5</v>
      </c>
      <c r="F214" s="1">
        <v>-0.4</v>
      </c>
      <c r="G214">
        <v>0</v>
      </c>
      <c r="H214">
        <v>0</v>
      </c>
      <c r="I214">
        <v>0</v>
      </c>
      <c r="K214" s="1">
        <v>350</v>
      </c>
      <c r="L214" s="1">
        <v>819</v>
      </c>
      <c r="M214" s="1">
        <v>3260</v>
      </c>
      <c r="N214" s="1">
        <v>11.5</v>
      </c>
      <c r="O214" s="1">
        <v>-1.1000000000000001</v>
      </c>
      <c r="P214" s="1">
        <v>-0.3</v>
      </c>
      <c r="Q214" s="1">
        <v>0</v>
      </c>
      <c r="R214" s="1">
        <v>0</v>
      </c>
      <c r="S214" s="1">
        <v>0</v>
      </c>
    </row>
    <row r="215" spans="1:19" x14ac:dyDescent="0.25">
      <c r="A215" s="1">
        <v>375</v>
      </c>
      <c r="B215" s="1">
        <v>670</v>
      </c>
      <c r="C215" s="1">
        <v>2182</v>
      </c>
      <c r="D215" s="1">
        <v>8.5</v>
      </c>
      <c r="E215" s="1">
        <v>-0.8</v>
      </c>
      <c r="F215" s="1">
        <v>-0.2</v>
      </c>
      <c r="G215">
        <v>0</v>
      </c>
      <c r="H215">
        <v>0</v>
      </c>
      <c r="I215">
        <v>0</v>
      </c>
      <c r="K215" s="1">
        <v>375</v>
      </c>
      <c r="L215" s="1">
        <v>809</v>
      </c>
      <c r="M215" s="1">
        <v>3183</v>
      </c>
      <c r="N215" s="1">
        <v>6.3</v>
      </c>
      <c r="O215" s="1">
        <v>-0.6</v>
      </c>
      <c r="P215" s="1">
        <v>-0.2</v>
      </c>
      <c r="Q215" s="1">
        <v>0</v>
      </c>
      <c r="R215" s="1">
        <v>0</v>
      </c>
      <c r="S215" s="1">
        <v>0</v>
      </c>
    </row>
    <row r="216" spans="1:19" x14ac:dyDescent="0.25">
      <c r="A216" s="10">
        <v>400</v>
      </c>
      <c r="B216" s="10">
        <v>653</v>
      </c>
      <c r="C216" s="10">
        <v>2071</v>
      </c>
      <c r="D216" s="10">
        <v>0.2</v>
      </c>
      <c r="E216" s="10">
        <v>0</v>
      </c>
      <c r="F216" s="10">
        <v>0</v>
      </c>
      <c r="G216">
        <v>0</v>
      </c>
      <c r="H216">
        <v>0</v>
      </c>
      <c r="I216">
        <v>0</v>
      </c>
      <c r="K216" s="1">
        <v>400</v>
      </c>
      <c r="L216" s="1">
        <v>800</v>
      </c>
      <c r="M216" s="1">
        <v>3109</v>
      </c>
      <c r="N216" s="1">
        <v>0.1</v>
      </c>
      <c r="O216" s="1">
        <v>0</v>
      </c>
      <c r="P216" s="1">
        <v>0</v>
      </c>
      <c r="Q216" s="1">
        <v>0</v>
      </c>
      <c r="R216" s="1">
        <v>0</v>
      </c>
      <c r="S216" s="1">
        <v>0</v>
      </c>
    </row>
    <row r="217" spans="1:19" x14ac:dyDescent="0.25">
      <c r="A217" s="1">
        <v>425</v>
      </c>
      <c r="B217" s="1">
        <v>636</v>
      </c>
      <c r="C217" s="1">
        <v>1965</v>
      </c>
      <c r="D217" s="1">
        <v>-10</v>
      </c>
      <c r="E217" s="1">
        <v>0.8</v>
      </c>
      <c r="F217" s="1">
        <v>0.2</v>
      </c>
      <c r="G217">
        <v>0</v>
      </c>
      <c r="H217">
        <v>0</v>
      </c>
      <c r="I217">
        <v>0</v>
      </c>
      <c r="K217" s="1">
        <v>425</v>
      </c>
      <c r="L217" s="1">
        <v>790</v>
      </c>
      <c r="M217" s="1">
        <v>3035</v>
      </c>
      <c r="N217" s="1">
        <v>-7.3</v>
      </c>
      <c r="O217" s="1">
        <v>0.6</v>
      </c>
      <c r="P217" s="1">
        <v>0.2</v>
      </c>
      <c r="Q217" s="1">
        <v>0</v>
      </c>
      <c r="R217" s="1">
        <v>0</v>
      </c>
      <c r="S217" s="1">
        <v>0</v>
      </c>
    </row>
    <row r="218" spans="1:19" x14ac:dyDescent="0.25">
      <c r="A218" s="1">
        <v>450</v>
      </c>
      <c r="B218" s="1">
        <v>619</v>
      </c>
      <c r="C218" s="1">
        <v>1863</v>
      </c>
      <c r="D218" s="1">
        <v>-21.6</v>
      </c>
      <c r="E218" s="1">
        <v>1.6</v>
      </c>
      <c r="F218" s="1">
        <v>0.5</v>
      </c>
      <c r="G218">
        <v>0</v>
      </c>
      <c r="H218">
        <v>0</v>
      </c>
      <c r="I218">
        <v>0</v>
      </c>
      <c r="K218" s="1">
        <v>450</v>
      </c>
      <c r="L218" s="1">
        <v>781</v>
      </c>
      <c r="M218" s="1">
        <v>2963</v>
      </c>
      <c r="N218" s="1">
        <v>-15.4</v>
      </c>
      <c r="O218" s="1">
        <v>1.2</v>
      </c>
      <c r="P218" s="1">
        <v>0.3</v>
      </c>
      <c r="Q218" s="1">
        <v>0</v>
      </c>
      <c r="R218" s="1">
        <v>0</v>
      </c>
      <c r="S218" s="1">
        <v>0</v>
      </c>
    </row>
    <row r="219" spans="1:19" x14ac:dyDescent="0.25">
      <c r="A219" s="1">
        <v>475</v>
      </c>
      <c r="B219" s="1">
        <v>603</v>
      </c>
      <c r="C219" s="1">
        <v>1765</v>
      </c>
      <c r="D219" s="1">
        <v>-34.799999999999997</v>
      </c>
      <c r="E219" s="1">
        <v>2.5</v>
      </c>
      <c r="F219" s="1">
        <v>0.7</v>
      </c>
      <c r="G219">
        <v>0</v>
      </c>
      <c r="H219">
        <v>0</v>
      </c>
      <c r="I219">
        <v>0</v>
      </c>
      <c r="K219" s="1">
        <v>475</v>
      </c>
      <c r="L219" s="1">
        <v>771</v>
      </c>
      <c r="M219" s="1">
        <v>2892</v>
      </c>
      <c r="N219" s="1">
        <v>-24.6</v>
      </c>
      <c r="O219" s="1">
        <v>1.8</v>
      </c>
      <c r="P219" s="1">
        <v>0.5</v>
      </c>
      <c r="Q219" s="1">
        <v>0</v>
      </c>
      <c r="R219" s="1">
        <v>0</v>
      </c>
      <c r="S219" s="1">
        <v>0</v>
      </c>
    </row>
    <row r="220" spans="1:19" x14ac:dyDescent="0.25">
      <c r="A220" s="1">
        <v>500</v>
      </c>
      <c r="B220" s="1">
        <v>587</v>
      </c>
      <c r="C220" s="1">
        <v>1675</v>
      </c>
      <c r="D220" s="1">
        <v>-49.8</v>
      </c>
      <c r="E220" s="1">
        <v>3.4</v>
      </c>
      <c r="F220" s="1">
        <v>1</v>
      </c>
      <c r="G220">
        <v>0</v>
      </c>
      <c r="H220">
        <v>0</v>
      </c>
      <c r="I220">
        <v>0</v>
      </c>
      <c r="K220" s="1">
        <v>500</v>
      </c>
      <c r="L220" s="1">
        <v>762</v>
      </c>
      <c r="M220" s="1">
        <v>2826</v>
      </c>
      <c r="N220" s="1">
        <v>-34.799999999999997</v>
      </c>
      <c r="O220" s="1">
        <v>2.4</v>
      </c>
      <c r="P220" s="1">
        <v>0.7</v>
      </c>
      <c r="Q220" s="1">
        <v>0</v>
      </c>
      <c r="R220" s="1">
        <v>0</v>
      </c>
      <c r="S220" s="1">
        <v>0</v>
      </c>
    </row>
    <row r="222" spans="1:19" x14ac:dyDescent="0.25">
      <c r="A222" t="s">
        <v>78</v>
      </c>
      <c r="K222" t="s">
        <v>77</v>
      </c>
    </row>
    <row r="223" spans="1:19" x14ac:dyDescent="0.25">
      <c r="A223" t="s">
        <v>12</v>
      </c>
      <c r="B223" t="s">
        <v>13</v>
      </c>
      <c r="C223" t="s">
        <v>14</v>
      </c>
      <c r="D223" t="s">
        <v>15</v>
      </c>
      <c r="E223" t="s">
        <v>16</v>
      </c>
      <c r="F223" t="s">
        <v>17</v>
      </c>
      <c r="G223" t="s">
        <v>37</v>
      </c>
      <c r="H223" t="s">
        <v>38</v>
      </c>
      <c r="I223" t="s">
        <v>39</v>
      </c>
      <c r="K223" t="s">
        <v>12</v>
      </c>
      <c r="L223" t="s">
        <v>13</v>
      </c>
      <c r="M223" t="s">
        <v>14</v>
      </c>
      <c r="N223" t="s">
        <v>15</v>
      </c>
      <c r="O223" t="s">
        <v>16</v>
      </c>
      <c r="P223" t="s">
        <v>17</v>
      </c>
      <c r="Q223" t="s">
        <v>37</v>
      </c>
      <c r="R223" t="s">
        <v>38</v>
      </c>
      <c r="S223" t="s">
        <v>39</v>
      </c>
    </row>
    <row r="224" spans="1:19" x14ac:dyDescent="0.25">
      <c r="A224" s="1">
        <v>0</v>
      </c>
      <c r="B224" s="1">
        <v>960</v>
      </c>
      <c r="C224" s="1">
        <v>4482</v>
      </c>
      <c r="D224" s="1">
        <v>-3.8</v>
      </c>
      <c r="E224" s="1">
        <v>0</v>
      </c>
      <c r="F224" s="1">
        <v>0</v>
      </c>
      <c r="G224" s="2">
        <v>0</v>
      </c>
      <c r="H224" s="2">
        <v>0</v>
      </c>
      <c r="I224" s="2">
        <v>0</v>
      </c>
      <c r="K224" s="1">
        <v>0</v>
      </c>
      <c r="L224" s="1">
        <v>960</v>
      </c>
      <c r="M224" s="1">
        <v>4482</v>
      </c>
      <c r="N224" s="1">
        <v>-3.8</v>
      </c>
      <c r="O224" s="1">
        <v>0</v>
      </c>
      <c r="P224" s="1">
        <v>0</v>
      </c>
      <c r="Q224" s="1">
        <v>0</v>
      </c>
      <c r="R224" s="1">
        <v>0</v>
      </c>
      <c r="S224" s="1">
        <v>0</v>
      </c>
    </row>
    <row r="225" spans="1:19" x14ac:dyDescent="0.25">
      <c r="A225" s="1">
        <v>25</v>
      </c>
      <c r="B225" s="1">
        <v>939</v>
      </c>
      <c r="C225" s="1">
        <v>4282</v>
      </c>
      <c r="D225" s="1">
        <v>5.7</v>
      </c>
      <c r="E225" s="1">
        <v>-7.9</v>
      </c>
      <c r="F225" s="1">
        <v>-2.2999999999999998</v>
      </c>
      <c r="G225" s="2">
        <v>0</v>
      </c>
      <c r="H225" s="2">
        <v>0</v>
      </c>
      <c r="I225" s="2">
        <v>0</v>
      </c>
      <c r="K225" s="1">
        <v>25</v>
      </c>
      <c r="L225" s="1">
        <v>950</v>
      </c>
      <c r="M225" s="1">
        <v>4384</v>
      </c>
      <c r="N225" s="1">
        <v>3.9</v>
      </c>
      <c r="O225" s="1">
        <v>-5.4</v>
      </c>
      <c r="P225" s="1">
        <v>-1.6</v>
      </c>
      <c r="Q225" s="1">
        <v>0</v>
      </c>
      <c r="R225" s="1">
        <v>0</v>
      </c>
      <c r="S225" s="1">
        <v>0</v>
      </c>
    </row>
    <row r="226" spans="1:19" x14ac:dyDescent="0.25">
      <c r="A226" s="1">
        <v>50</v>
      </c>
      <c r="B226" s="1">
        <v>918</v>
      </c>
      <c r="C226" s="1">
        <v>4092</v>
      </c>
      <c r="D226" s="1">
        <v>14.7</v>
      </c>
      <c r="E226" s="1">
        <v>-10</v>
      </c>
      <c r="F226" s="1">
        <v>-2.9</v>
      </c>
      <c r="G226" s="2">
        <v>0</v>
      </c>
      <c r="H226" s="2">
        <v>0</v>
      </c>
      <c r="I226" s="2">
        <v>0</v>
      </c>
      <c r="K226" s="1">
        <v>50</v>
      </c>
      <c r="L226" s="1">
        <v>939</v>
      </c>
      <c r="M226" s="1">
        <v>4288</v>
      </c>
      <c r="N226" s="1">
        <v>11.1</v>
      </c>
      <c r="O226" s="1">
        <v>-7.6</v>
      </c>
      <c r="P226" s="1">
        <v>-2.2000000000000002</v>
      </c>
      <c r="Q226" s="1">
        <v>0</v>
      </c>
      <c r="R226" s="1">
        <v>0</v>
      </c>
      <c r="S226" s="1">
        <v>0</v>
      </c>
    </row>
    <row r="227" spans="1:19" x14ac:dyDescent="0.25">
      <c r="A227" s="1">
        <v>75</v>
      </c>
      <c r="B227" s="1">
        <v>897</v>
      </c>
      <c r="C227" s="1">
        <v>3909</v>
      </c>
      <c r="D227" s="1">
        <v>22.7</v>
      </c>
      <c r="E227" s="1">
        <v>-10.4</v>
      </c>
      <c r="F227" s="1">
        <v>-3</v>
      </c>
      <c r="G227" s="2">
        <v>0</v>
      </c>
      <c r="H227" s="2">
        <v>0</v>
      </c>
      <c r="I227" s="2">
        <v>0</v>
      </c>
      <c r="K227" s="1">
        <v>75</v>
      </c>
      <c r="L227" s="1">
        <v>929</v>
      </c>
      <c r="M227" s="1">
        <v>4194</v>
      </c>
      <c r="N227" s="1">
        <v>17.399999999999999</v>
      </c>
      <c r="O227" s="1">
        <v>-8</v>
      </c>
      <c r="P227" s="1">
        <v>-2.2999999999999998</v>
      </c>
      <c r="Q227" s="1">
        <v>0</v>
      </c>
      <c r="R227" s="1">
        <v>0</v>
      </c>
      <c r="S227" s="1">
        <v>0</v>
      </c>
    </row>
    <row r="228" spans="1:19" x14ac:dyDescent="0.25">
      <c r="A228" s="1">
        <v>100</v>
      </c>
      <c r="B228" s="1">
        <v>876</v>
      </c>
      <c r="C228" s="1">
        <v>3733</v>
      </c>
      <c r="D228" s="1">
        <v>30</v>
      </c>
      <c r="E228" s="1">
        <v>-10.3</v>
      </c>
      <c r="F228" s="1">
        <v>-3</v>
      </c>
      <c r="G228" s="2">
        <v>0</v>
      </c>
      <c r="H228" s="2">
        <v>0</v>
      </c>
      <c r="I228" s="2">
        <v>0</v>
      </c>
      <c r="K228" s="1">
        <v>100</v>
      </c>
      <c r="L228" s="1">
        <v>919</v>
      </c>
      <c r="M228" s="1">
        <v>4101</v>
      </c>
      <c r="N228" s="1">
        <v>23</v>
      </c>
      <c r="O228" s="1">
        <v>-7.9</v>
      </c>
      <c r="P228" s="1">
        <v>-2.2999999999999998</v>
      </c>
      <c r="Q228" s="1">
        <v>0</v>
      </c>
      <c r="R228" s="1">
        <v>0</v>
      </c>
      <c r="S228" s="1">
        <v>0</v>
      </c>
    </row>
    <row r="229" spans="1:19" x14ac:dyDescent="0.25">
      <c r="A229" s="1">
        <v>125</v>
      </c>
      <c r="B229" s="1">
        <v>856</v>
      </c>
      <c r="C229" s="1">
        <v>3563</v>
      </c>
      <c r="D229" s="1">
        <v>36.700000000000003</v>
      </c>
      <c r="E229" s="1">
        <v>-10.1</v>
      </c>
      <c r="F229" s="1">
        <v>-2.9</v>
      </c>
      <c r="G229" s="2">
        <v>0</v>
      </c>
      <c r="H229" s="2">
        <v>0</v>
      </c>
      <c r="I229" s="2">
        <v>0</v>
      </c>
      <c r="K229" s="1">
        <v>125</v>
      </c>
      <c r="L229" s="1">
        <v>908</v>
      </c>
      <c r="M229" s="1">
        <v>4010</v>
      </c>
      <c r="N229" s="1">
        <v>28</v>
      </c>
      <c r="O229" s="1">
        <v>-7.7</v>
      </c>
      <c r="P229" s="1">
        <v>-2.2000000000000002</v>
      </c>
      <c r="Q229" s="1">
        <v>0</v>
      </c>
      <c r="R229" s="1">
        <v>0</v>
      </c>
      <c r="S229" s="1">
        <v>0</v>
      </c>
    </row>
    <row r="230" spans="1:19" x14ac:dyDescent="0.25">
      <c r="A230" s="1">
        <v>150</v>
      </c>
      <c r="B230" s="1">
        <v>836</v>
      </c>
      <c r="C230" s="1">
        <v>3400</v>
      </c>
      <c r="D230" s="1">
        <v>42.3</v>
      </c>
      <c r="E230" s="1">
        <v>-9.6999999999999993</v>
      </c>
      <c r="F230" s="1">
        <v>-2.8</v>
      </c>
      <c r="G230" s="2">
        <v>0</v>
      </c>
      <c r="H230" s="2">
        <v>0</v>
      </c>
      <c r="I230" s="2">
        <v>0</v>
      </c>
      <c r="K230" s="1">
        <v>150</v>
      </c>
      <c r="L230" s="1">
        <v>898</v>
      </c>
      <c r="M230" s="1">
        <v>3920</v>
      </c>
      <c r="N230" s="1">
        <v>32.1</v>
      </c>
      <c r="O230" s="1">
        <v>-7.4</v>
      </c>
      <c r="P230" s="1">
        <v>-2.1</v>
      </c>
      <c r="Q230" s="1">
        <v>0</v>
      </c>
      <c r="R230" s="1">
        <v>0</v>
      </c>
      <c r="S230" s="1">
        <v>0</v>
      </c>
    </row>
    <row r="231" spans="1:19" x14ac:dyDescent="0.25">
      <c r="A231" s="1">
        <v>175</v>
      </c>
      <c r="B231" s="1">
        <v>817</v>
      </c>
      <c r="C231" s="1">
        <v>3244</v>
      </c>
      <c r="D231" s="1">
        <v>47</v>
      </c>
      <c r="E231" s="1">
        <v>-9.1999999999999993</v>
      </c>
      <c r="F231" s="1">
        <v>-2.7</v>
      </c>
      <c r="G231" s="2">
        <v>0</v>
      </c>
      <c r="H231" s="2">
        <v>0</v>
      </c>
      <c r="I231" s="2">
        <v>0</v>
      </c>
      <c r="K231" s="1">
        <v>175</v>
      </c>
      <c r="L231" s="1">
        <v>888</v>
      </c>
      <c r="M231" s="1">
        <v>3833</v>
      </c>
      <c r="N231" s="1">
        <v>35.5</v>
      </c>
      <c r="O231" s="1">
        <v>-7</v>
      </c>
      <c r="P231" s="1">
        <v>-2</v>
      </c>
      <c r="Q231" s="1">
        <v>0</v>
      </c>
      <c r="R231" s="1">
        <v>0</v>
      </c>
      <c r="S231" s="1">
        <v>0</v>
      </c>
    </row>
    <row r="232" spans="1:19" x14ac:dyDescent="0.25">
      <c r="A232" s="1">
        <v>200</v>
      </c>
      <c r="B232" s="1">
        <v>798</v>
      </c>
      <c r="C232" s="1">
        <v>3092</v>
      </c>
      <c r="D232" s="1">
        <v>50.9</v>
      </c>
      <c r="E232" s="1">
        <v>-8.6999999999999993</v>
      </c>
      <c r="F232" s="1">
        <v>-2.5</v>
      </c>
      <c r="G232" s="2">
        <v>0</v>
      </c>
      <c r="H232" s="2">
        <v>0</v>
      </c>
      <c r="I232" s="2">
        <v>0</v>
      </c>
      <c r="K232" s="1">
        <v>200</v>
      </c>
      <c r="L232" s="1">
        <v>878</v>
      </c>
      <c r="M232" s="1">
        <v>3746</v>
      </c>
      <c r="N232" s="1">
        <v>38.200000000000003</v>
      </c>
      <c r="O232" s="1">
        <v>-6.5</v>
      </c>
      <c r="P232" s="1">
        <v>-1.9</v>
      </c>
      <c r="Q232" s="1">
        <v>0</v>
      </c>
      <c r="R232" s="1">
        <v>0</v>
      </c>
      <c r="S232" s="1">
        <v>0</v>
      </c>
    </row>
    <row r="233" spans="1:19" x14ac:dyDescent="0.25">
      <c r="A233" s="1">
        <v>225</v>
      </c>
      <c r="B233" s="1">
        <v>779</v>
      </c>
      <c r="C233" s="1">
        <v>2947</v>
      </c>
      <c r="D233" s="1">
        <v>53.7</v>
      </c>
      <c r="E233" s="1">
        <v>-8.1999999999999993</v>
      </c>
      <c r="F233" s="1">
        <v>-2.4</v>
      </c>
      <c r="G233" s="2">
        <v>0</v>
      </c>
      <c r="H233" s="2">
        <v>0</v>
      </c>
      <c r="I233" s="2">
        <v>0</v>
      </c>
      <c r="K233" s="1">
        <v>225</v>
      </c>
      <c r="L233" s="1">
        <v>868</v>
      </c>
      <c r="M233" s="1">
        <v>3662</v>
      </c>
      <c r="N233" s="1">
        <v>40</v>
      </c>
      <c r="O233" s="1">
        <v>-6.1</v>
      </c>
      <c r="P233" s="1">
        <v>-1.8</v>
      </c>
      <c r="Q233" s="1">
        <v>0</v>
      </c>
      <c r="R233" s="1">
        <v>0</v>
      </c>
      <c r="S233" s="1">
        <v>0</v>
      </c>
    </row>
    <row r="234" spans="1:19" x14ac:dyDescent="0.25">
      <c r="A234" s="1">
        <v>250</v>
      </c>
      <c r="B234" s="1">
        <v>760</v>
      </c>
      <c r="C234" s="1">
        <v>2807</v>
      </c>
      <c r="D234" s="1">
        <v>55.4</v>
      </c>
      <c r="E234" s="1">
        <v>-7.6</v>
      </c>
      <c r="F234" s="1">
        <v>-2.2000000000000002</v>
      </c>
      <c r="G234" s="2">
        <v>0</v>
      </c>
      <c r="H234" s="2">
        <v>0</v>
      </c>
      <c r="I234" s="2">
        <v>0</v>
      </c>
      <c r="K234" s="1">
        <v>250</v>
      </c>
      <c r="L234" s="1">
        <v>858</v>
      </c>
      <c r="M234" s="1">
        <v>3578</v>
      </c>
      <c r="N234" s="1">
        <v>40.9</v>
      </c>
      <c r="O234" s="1">
        <v>-5.6</v>
      </c>
      <c r="P234" s="1">
        <v>-1.6</v>
      </c>
      <c r="Q234" s="1">
        <v>0</v>
      </c>
      <c r="R234" s="1">
        <v>0</v>
      </c>
      <c r="S234" s="1">
        <v>0</v>
      </c>
    </row>
    <row r="235" spans="1:19" x14ac:dyDescent="0.25">
      <c r="A235" s="1">
        <v>275</v>
      </c>
      <c r="B235" s="1">
        <v>741</v>
      </c>
      <c r="C235" s="1">
        <v>2672</v>
      </c>
      <c r="D235" s="1">
        <v>56.1</v>
      </c>
      <c r="E235" s="1">
        <v>-7</v>
      </c>
      <c r="F235" s="1">
        <v>-2</v>
      </c>
      <c r="G235" s="2">
        <v>0</v>
      </c>
      <c r="H235" s="2">
        <v>0</v>
      </c>
      <c r="I235" s="2">
        <v>0</v>
      </c>
      <c r="K235" s="1">
        <v>275</v>
      </c>
      <c r="L235" s="1">
        <v>848</v>
      </c>
      <c r="M235" s="1">
        <v>3497</v>
      </c>
      <c r="N235" s="1">
        <v>41</v>
      </c>
      <c r="O235" s="1">
        <v>-5.0999999999999996</v>
      </c>
      <c r="P235" s="1">
        <v>-1.5</v>
      </c>
      <c r="Q235" s="1">
        <v>0</v>
      </c>
      <c r="R235" s="1">
        <v>0</v>
      </c>
      <c r="S235" s="1">
        <v>0</v>
      </c>
    </row>
    <row r="236" spans="1:19" x14ac:dyDescent="0.25">
      <c r="A236" s="1">
        <v>300</v>
      </c>
      <c r="B236" s="1">
        <v>723</v>
      </c>
      <c r="C236" s="1">
        <v>2542</v>
      </c>
      <c r="D236" s="1">
        <v>55.6</v>
      </c>
      <c r="E236" s="1">
        <v>-6.4</v>
      </c>
      <c r="F236" s="1">
        <v>-1.9</v>
      </c>
      <c r="G236" s="2">
        <v>0</v>
      </c>
      <c r="H236" s="2">
        <v>0</v>
      </c>
      <c r="I236" s="2">
        <v>0</v>
      </c>
      <c r="K236" s="1">
        <v>300</v>
      </c>
      <c r="L236" s="1">
        <v>838</v>
      </c>
      <c r="M236" s="1">
        <v>3416</v>
      </c>
      <c r="N236" s="1">
        <v>40.299999999999997</v>
      </c>
      <c r="O236" s="1">
        <v>-4.5999999999999996</v>
      </c>
      <c r="P236" s="1">
        <v>-1.3</v>
      </c>
      <c r="Q236" s="1">
        <v>0</v>
      </c>
      <c r="R236" s="1">
        <v>0</v>
      </c>
      <c r="S236" s="1">
        <v>0</v>
      </c>
    </row>
    <row r="237" spans="1:19" x14ac:dyDescent="0.25">
      <c r="A237" s="1">
        <v>325</v>
      </c>
      <c r="B237" s="1">
        <v>705</v>
      </c>
      <c r="C237" s="1">
        <v>2418</v>
      </c>
      <c r="D237" s="1">
        <v>53.8</v>
      </c>
      <c r="E237" s="1">
        <v>-5.7</v>
      </c>
      <c r="F237" s="1">
        <v>-1.7</v>
      </c>
      <c r="G237" s="2">
        <v>0</v>
      </c>
      <c r="H237" s="2">
        <v>0</v>
      </c>
      <c r="I237" s="2">
        <v>0</v>
      </c>
      <c r="K237" s="1">
        <v>325</v>
      </c>
      <c r="L237" s="1">
        <v>829</v>
      </c>
      <c r="M237" s="1">
        <v>3337</v>
      </c>
      <c r="N237" s="1">
        <v>38.700000000000003</v>
      </c>
      <c r="O237" s="1">
        <v>-4.0999999999999996</v>
      </c>
      <c r="P237" s="1">
        <v>-1.2</v>
      </c>
      <c r="Q237" s="1">
        <v>0</v>
      </c>
      <c r="R237" s="1">
        <v>0</v>
      </c>
      <c r="S237" s="1">
        <v>0</v>
      </c>
    </row>
    <row r="238" spans="1:19" x14ac:dyDescent="0.25">
      <c r="A238" s="1">
        <v>350</v>
      </c>
      <c r="B238" s="1">
        <v>688</v>
      </c>
      <c r="C238" s="1">
        <v>2298</v>
      </c>
      <c r="D238" s="1">
        <v>50.7</v>
      </c>
      <c r="E238" s="1">
        <v>-5</v>
      </c>
      <c r="F238" s="1">
        <v>-1.4</v>
      </c>
      <c r="G238" s="2">
        <v>0</v>
      </c>
      <c r="H238" s="2">
        <v>0</v>
      </c>
      <c r="I238" s="2">
        <v>0</v>
      </c>
      <c r="K238" s="1">
        <v>350</v>
      </c>
      <c r="L238" s="1">
        <v>819</v>
      </c>
      <c r="M238" s="1">
        <v>3260</v>
      </c>
      <c r="N238" s="1">
        <v>36</v>
      </c>
      <c r="O238" s="1">
        <v>-3.5</v>
      </c>
      <c r="P238" s="1">
        <v>-1</v>
      </c>
      <c r="Q238" s="1">
        <v>0</v>
      </c>
      <c r="R238" s="1">
        <v>0</v>
      </c>
      <c r="S238" s="1">
        <v>0</v>
      </c>
    </row>
    <row r="239" spans="1:19" x14ac:dyDescent="0.25">
      <c r="A239" s="1">
        <v>375</v>
      </c>
      <c r="B239" s="1">
        <v>670</v>
      </c>
      <c r="C239" s="1">
        <v>2182</v>
      </c>
      <c r="D239" s="1">
        <v>46.3</v>
      </c>
      <c r="E239" s="1">
        <v>-4.2</v>
      </c>
      <c r="F239" s="1">
        <v>-1.2</v>
      </c>
      <c r="G239" s="2">
        <v>0</v>
      </c>
      <c r="H239" s="2">
        <v>0</v>
      </c>
      <c r="I239" s="2">
        <v>0</v>
      </c>
      <c r="K239" s="1">
        <v>375</v>
      </c>
      <c r="L239" s="1">
        <v>809</v>
      </c>
      <c r="M239" s="1">
        <v>3183</v>
      </c>
      <c r="N239" s="1">
        <v>32.6</v>
      </c>
      <c r="O239" s="1">
        <v>-3</v>
      </c>
      <c r="P239" s="1">
        <v>-0.9</v>
      </c>
      <c r="Q239" s="1">
        <v>0</v>
      </c>
      <c r="R239" s="1">
        <v>0</v>
      </c>
      <c r="S239" s="1">
        <v>0</v>
      </c>
    </row>
    <row r="240" spans="1:19" x14ac:dyDescent="0.25">
      <c r="A240" s="1">
        <v>400</v>
      </c>
      <c r="B240" s="1">
        <v>653</v>
      </c>
      <c r="C240" s="1">
        <v>2071</v>
      </c>
      <c r="D240" s="1">
        <v>40.4</v>
      </c>
      <c r="E240" s="1">
        <v>-3.5</v>
      </c>
      <c r="F240" s="1">
        <v>-1</v>
      </c>
      <c r="G240" s="2">
        <v>0</v>
      </c>
      <c r="H240" s="2">
        <v>0</v>
      </c>
      <c r="I240" s="2">
        <v>0</v>
      </c>
      <c r="K240" s="1">
        <v>400</v>
      </c>
      <c r="L240" s="1">
        <v>800</v>
      </c>
      <c r="M240" s="1">
        <v>3109</v>
      </c>
      <c r="N240" s="1">
        <v>28.1</v>
      </c>
      <c r="O240" s="1">
        <v>-2.4</v>
      </c>
      <c r="P240" s="1">
        <v>-0.7</v>
      </c>
      <c r="Q240" s="1">
        <v>0</v>
      </c>
      <c r="R240" s="1">
        <v>0</v>
      </c>
      <c r="S240" s="1">
        <v>0</v>
      </c>
    </row>
    <row r="241" spans="1:19" x14ac:dyDescent="0.25">
      <c r="A241" s="1">
        <v>425</v>
      </c>
      <c r="B241" s="1">
        <v>636</v>
      </c>
      <c r="C241" s="1">
        <v>1965</v>
      </c>
      <c r="D241" s="1">
        <v>32.799999999999997</v>
      </c>
      <c r="E241" s="1">
        <v>-2.6</v>
      </c>
      <c r="F241" s="1">
        <v>-0.8</v>
      </c>
      <c r="G241" s="2">
        <v>0</v>
      </c>
      <c r="H241" s="2">
        <v>0</v>
      </c>
      <c r="I241" s="2">
        <v>0</v>
      </c>
      <c r="K241" s="1">
        <v>425</v>
      </c>
      <c r="L241" s="1">
        <v>790</v>
      </c>
      <c r="M241" s="1">
        <v>3035</v>
      </c>
      <c r="N241" s="1">
        <v>22.5</v>
      </c>
      <c r="O241" s="1">
        <v>-1.8</v>
      </c>
      <c r="P241" s="1">
        <v>-0.5</v>
      </c>
      <c r="Q241" s="1">
        <v>0</v>
      </c>
      <c r="R241" s="1">
        <v>0</v>
      </c>
      <c r="S241" s="1">
        <v>0</v>
      </c>
    </row>
    <row r="242" spans="1:19" x14ac:dyDescent="0.25">
      <c r="A242" s="1">
        <v>450</v>
      </c>
      <c r="B242" s="1">
        <v>619</v>
      </c>
      <c r="C242" s="1">
        <v>1863</v>
      </c>
      <c r="D242" s="1">
        <v>23.7</v>
      </c>
      <c r="E242" s="1">
        <v>-1.8</v>
      </c>
      <c r="F242" s="1">
        <v>-0.5</v>
      </c>
      <c r="G242" s="2">
        <v>0</v>
      </c>
      <c r="H242" s="2">
        <v>0</v>
      </c>
      <c r="I242" s="2">
        <v>0</v>
      </c>
      <c r="K242" s="1">
        <v>450</v>
      </c>
      <c r="L242" s="1">
        <v>781</v>
      </c>
      <c r="M242" s="1">
        <v>2963</v>
      </c>
      <c r="N242" s="1">
        <v>16.100000000000001</v>
      </c>
      <c r="O242" s="1">
        <v>-1.2</v>
      </c>
      <c r="P242" s="1">
        <v>-0.4</v>
      </c>
      <c r="Q242" s="1">
        <v>0</v>
      </c>
      <c r="R242" s="1">
        <v>0</v>
      </c>
      <c r="S242" s="1">
        <v>0</v>
      </c>
    </row>
    <row r="243" spans="1:19" x14ac:dyDescent="0.25">
      <c r="A243" s="1">
        <v>475</v>
      </c>
      <c r="B243" s="1">
        <v>603</v>
      </c>
      <c r="C243" s="1">
        <v>1765</v>
      </c>
      <c r="D243" s="1">
        <v>13</v>
      </c>
      <c r="E243" s="1">
        <v>-0.9</v>
      </c>
      <c r="F243" s="1">
        <v>-0.3</v>
      </c>
      <c r="G243" s="2">
        <v>0</v>
      </c>
      <c r="H243" s="2">
        <v>0</v>
      </c>
      <c r="I243" s="2">
        <v>0</v>
      </c>
      <c r="K243" s="1">
        <v>475</v>
      </c>
      <c r="L243" s="1">
        <v>771</v>
      </c>
      <c r="M243" s="1">
        <v>2892</v>
      </c>
      <c r="N243" s="1">
        <v>8.6999999999999993</v>
      </c>
      <c r="O243" s="1">
        <v>-0.6</v>
      </c>
      <c r="P243" s="1">
        <v>-0.2</v>
      </c>
      <c r="Q243" s="1">
        <v>0</v>
      </c>
      <c r="R243" s="1">
        <v>0</v>
      </c>
      <c r="S243" s="1">
        <v>0</v>
      </c>
    </row>
    <row r="244" spans="1:19" x14ac:dyDescent="0.25">
      <c r="A244" s="1">
        <v>500</v>
      </c>
      <c r="B244" s="1">
        <v>587</v>
      </c>
      <c r="C244" s="1">
        <v>1675</v>
      </c>
      <c r="D244" s="1">
        <v>0.5</v>
      </c>
      <c r="E244" s="1">
        <v>0</v>
      </c>
      <c r="F244" s="1">
        <v>0</v>
      </c>
      <c r="G244" s="2">
        <v>0</v>
      </c>
      <c r="H244" s="2">
        <v>0</v>
      </c>
      <c r="I244" s="2">
        <v>0</v>
      </c>
      <c r="K244" s="1">
        <v>500</v>
      </c>
      <c r="L244" s="1">
        <v>762</v>
      </c>
      <c r="M244" s="1">
        <v>2826</v>
      </c>
      <c r="N244" s="1">
        <v>0.2</v>
      </c>
      <c r="O244" s="1">
        <v>0</v>
      </c>
      <c r="P244" s="1">
        <v>0</v>
      </c>
      <c r="Q244" s="1">
        <v>0</v>
      </c>
      <c r="R244" s="1">
        <v>0</v>
      </c>
      <c r="S244" s="1">
        <v>0</v>
      </c>
    </row>
    <row r="246" spans="1:19" ht="30" x14ac:dyDescent="0.25">
      <c r="A246" s="26" t="s">
        <v>42</v>
      </c>
      <c r="B246" s="27" t="s">
        <v>6</v>
      </c>
      <c r="C246" s="27" t="s">
        <v>7</v>
      </c>
      <c r="D246" s="27" t="s">
        <v>8</v>
      </c>
      <c r="E246" s="27" t="s">
        <v>9</v>
      </c>
      <c r="F246" s="27" t="s">
        <v>10</v>
      </c>
      <c r="G246" s="27" t="s">
        <v>33</v>
      </c>
      <c r="H246" s="27" t="s">
        <v>34</v>
      </c>
      <c r="I246" s="28" t="s">
        <v>43</v>
      </c>
      <c r="J246" s="28" t="s">
        <v>51</v>
      </c>
      <c r="K246" s="25"/>
    </row>
    <row r="247" spans="1:19" x14ac:dyDescent="0.25">
      <c r="A247" t="s">
        <v>44</v>
      </c>
      <c r="B247" s="22" cm="1">
        <f t="array" ref="B247">INDEX(LINEST(J$22:J$35,$A$22:$A$35^{1,2,3}), 1,4)</f>
        <v>-6.0318920770410269</v>
      </c>
      <c r="C247" s="22" cm="1">
        <f t="array" ref="C247">INDEX(LINEST(K$22:K$35,$A$22:$A$35^{1,2,3}), 1,4)</f>
        <v>-4.3194896366976536</v>
      </c>
      <c r="D247" s="23" cm="1">
        <f t="array" ref="D247">INDEX(LINEST(L$22:L$35,$A$22:$A$35^{1,2,3}), 1,4)</f>
        <v>-3.6631820131104575</v>
      </c>
      <c r="E247" s="23" cm="1">
        <f t="array" ref="E247">INDEX(LINEST(M$22:M$35,$A$22:$A$35^{1,2,3}), 1,4)</f>
        <v>-4.0818760568981673</v>
      </c>
      <c r="F247" s="23" cm="1">
        <f t="array" ref="F247">INDEX(LINEST(N$22:N$35,$A$22:$A$35^{1,2,3}), 1,4)</f>
        <v>-6.6936956311288842</v>
      </c>
      <c r="G247" s="23" cm="1">
        <f t="array" ref="G247">INDEX(LINEST(O$22:O$35,$A$22:$A$35^{1,2,3}), 1,4)</f>
        <v>-4.4439706471346483</v>
      </c>
      <c r="H247" s="23" cm="1">
        <f t="array" ref="H247">INDEX(LINEST(P$22:P$35,$A$22:$A$35^{1,2,3}), 1,4)</f>
        <v>-4.6259935907389513</v>
      </c>
      <c r="I247" s="23" cm="1">
        <f t="array" ref="I247">INDEX(LINEST(B$22:B$35,$A$22:$A$35^{1,2,3}), 1,4)</f>
        <v>4487.1573315037358</v>
      </c>
      <c r="J247" s="23" cm="1">
        <f t="array" ref="J247">INDEX(LINEST($C$80:$C$100,$A$80:$A$100^{1,2,3}), 1,4)</f>
        <v>4479.3848108413331</v>
      </c>
    </row>
    <row r="248" spans="1:19" x14ac:dyDescent="0.25">
      <c r="A248" t="s">
        <v>45</v>
      </c>
      <c r="B248" s="23" cm="1">
        <f t="array" ref="B248">INDEX(LINEST(J$22:J$35,$A$22:$A$35^{1,2,3}), 1,3)</f>
        <v>0.1870891211497657</v>
      </c>
      <c r="C248" s="22" cm="1">
        <f t="array" ref="C248">INDEX(LINEST(K$22:K$35,$A$22:$A$35^{1,2,3}), 1,3)</f>
        <v>8.1469157953536611E-2</v>
      </c>
      <c r="D248" s="23" cm="1">
        <f t="array" ref="D248">INDEX(LINEST(L$22:L$35,$A$22:$A$35^{1,2,3}), 1,3)</f>
        <v>6.9347988451131493E-2</v>
      </c>
      <c r="E248" s="23" cm="1">
        <f t="array" ref="E248">INDEX(LINEST(M$22:M$35,$A$22:$A$35^{1,2,3}), 1,3)</f>
        <v>0.11430411571714931</v>
      </c>
      <c r="F248" s="23" cm="1">
        <f t="array" ref="F248">INDEX(LINEST(N$22:N$35,$A$22:$A$35^{1,2,3}), 1,3)</f>
        <v>0.26586220042140274</v>
      </c>
      <c r="G248" s="23" cm="1">
        <f t="array" ref="G248">INDEX(LINEST(O$22:O$35,$A$22:$A$35^{1,2,3}), 1,3)</f>
        <v>0.22303904678765396</v>
      </c>
      <c r="H248" s="23" cm="1">
        <f t="array" ref="H248">INDEX(LINEST(P$22:P$35,$A$22:$A$35^{1,2,3}), 1,3)</f>
        <v>0.32708965075751184</v>
      </c>
      <c r="I248" s="23" cm="1">
        <f t="array" ref="I248">INDEX(LINEST(B$22:B$35,$A$22:$A$35^{1,2,3}), 1,3)</f>
        <v>-3.7331585619725263</v>
      </c>
      <c r="J248" s="23" cm="1">
        <f t="array" ref="J248">INDEX(LINEST($C$80:$C$100,$A$80:$A$100^{1,2,3}), 1,3)</f>
        <v>-8.0041958321363484</v>
      </c>
    </row>
    <row r="249" spans="1:19" x14ac:dyDescent="0.25">
      <c r="A249" t="s">
        <v>46</v>
      </c>
      <c r="B249" s="23" cm="1">
        <f t="array" ref="B249">INDEX(LINEST(J$22:J$35,$A$22:$A$35^{1,2,3}), 1,2)</f>
        <v>-6.4034778442680193E-4</v>
      </c>
      <c r="C249" s="23" cm="1">
        <f t="array" ref="C249">INDEX(LINEST(K$22:K$35,$A$22:$A$35^{1,2,3}), 1,2)</f>
        <v>-3.7012567415928093E-4</v>
      </c>
      <c r="D249" s="23" cm="1">
        <f t="array" ref="D249">INDEX(LINEST(L$22:L$35,$A$22:$A$35^{1,2,3}), 1,2)</f>
        <v>-2.1670914874534771E-4</v>
      </c>
      <c r="E249" s="23" cm="1">
        <f t="array" ref="E249">INDEX(LINEST(M$22:M$35,$A$22:$A$35^{1,2,3}), 1,2)</f>
        <v>-3.0717441384706356E-4</v>
      </c>
      <c r="F249" s="23" cm="1">
        <f t="array" ref="F249">INDEX(LINEST(N$22:N$35,$A$22:$A$35^{1,2,3}), 1,2)</f>
        <v>-9.1639907596198879E-4</v>
      </c>
      <c r="G249" s="23" cm="1">
        <f t="array" ref="G249">INDEX(LINEST(O$22:O$35,$A$22:$A$35^{1,2,3}), 1,2)</f>
        <v>-2.6501257386121068E-4</v>
      </c>
      <c r="H249" s="23" cm="1">
        <f t="array" ref="H249">INDEX(LINEST(P$22:P$35,$A$22:$A$35^{1,2,3}), 1,2)</f>
        <v>-5.139498945060558E-4</v>
      </c>
      <c r="I249" s="23" cm="1">
        <f t="array" ref="I249">INDEX(LINEST(B$22:B$35,$A$22:$A$35^{1,2,3}), 1,2)</f>
        <v>4.9382461343673004E-4</v>
      </c>
      <c r="J249" s="23" cm="1">
        <f t="array" ref="J249">INDEX(LINEST($C$80:$C$100,$A$80:$A$100^{1,2,3}), 1,2)</f>
        <v>5.7103787135824357E-3</v>
      </c>
    </row>
    <row r="250" spans="1:19" x14ac:dyDescent="0.25">
      <c r="A250" t="s">
        <v>47</v>
      </c>
      <c r="B250" s="22" cm="1">
        <f t="array" ref="B250">INDEX(LINEST(J$22:J$35,$A$22:$A$35^{1,2,3}), 1)</f>
        <v>-1.918094564058032E-7</v>
      </c>
      <c r="C250" s="22" cm="1">
        <f t="array" ref="C250">INDEX(LINEST(K$22:K$35,$A$22:$A$35^{1,2,3}), 1)</f>
        <v>-4.4089064408754952E-7</v>
      </c>
      <c r="D250" s="23" cm="1">
        <f t="array" ref="D250">INDEX(LINEST(L$22:L$35,$A$22:$A$35^{1,2,3}), 1)</f>
        <v>-6.5469663351559342E-7</v>
      </c>
      <c r="E250" s="23" cm="1">
        <f t="array" ref="E250">INDEX(LINEST(M$22:M$35,$A$22:$A$35^{1,2,3}), 1)</f>
        <v>-5.8405975764055339E-7</v>
      </c>
      <c r="F250" s="23" cm="1">
        <f t="array" ref="F250">INDEX(LINEST(N$22:N$35,$A$22:$A$35^{1,2,3}), 1)</f>
        <v>2.9599833337295156E-7</v>
      </c>
      <c r="G250" s="23" cm="1">
        <f t="array" ref="G250">INDEX(LINEST(O$22:O$35,$A$22:$A$35^{1,2,3}), 1)</f>
        <v>-6.3719790243260675E-7</v>
      </c>
      <c r="H250" s="23" cm="1">
        <f t="array" ref="H250">INDEX(LINEST(P$22:P$35,$A$22:$A$35^{1,2,3}), 1)</f>
        <v>-2.2436149861614509E-7</v>
      </c>
      <c r="I250" s="23" cm="1">
        <f t="array" ref="I250">INDEX(LINEST(B$22:B$35,$A$22:$A$35^{1,2,3}), 1)</f>
        <v>7.9559276170117149E-7</v>
      </c>
      <c r="J250" s="23" cm="1">
        <f t="array" ref="J250">INDEX(LINEST($C$80:$C$100,$A$80:$A$100^{1,2,3}), 1)</f>
        <v>-1.8576612810023184E-6</v>
      </c>
    </row>
    <row r="251" spans="1:19" x14ac:dyDescent="0.25">
      <c r="A251" t="s">
        <v>48</v>
      </c>
      <c r="B251" s="22"/>
      <c r="C251" s="22"/>
      <c r="D251" s="23"/>
      <c r="E251" s="23"/>
      <c r="F251" s="23"/>
      <c r="G251" s="23"/>
      <c r="H251" s="23"/>
      <c r="I251" s="23"/>
    </row>
    <row r="252" spans="1:19" x14ac:dyDescent="0.25">
      <c r="A252" t="s">
        <v>49</v>
      </c>
      <c r="B252" s="22"/>
      <c r="C252" s="22"/>
      <c r="D252" s="23"/>
      <c r="E252" s="23"/>
      <c r="F252" s="23"/>
      <c r="G252" s="23"/>
      <c r="H252" s="23"/>
      <c r="I252" s="23"/>
    </row>
    <row r="253" spans="1:19" x14ac:dyDescent="0.25">
      <c r="A253" t="s">
        <v>50</v>
      </c>
      <c r="B253" s="22"/>
      <c r="C253" s="22"/>
      <c r="D253" s="23"/>
      <c r="E253" s="23"/>
      <c r="F253" s="23"/>
      <c r="G253" s="23"/>
      <c r="H253" s="23"/>
      <c r="I253" s="23"/>
    </row>
    <row r="254" spans="1:19" x14ac:dyDescent="0.25">
      <c r="B254" s="22"/>
      <c r="C254" s="22"/>
      <c r="D254" s="22"/>
      <c r="E254" s="22"/>
      <c r="F254" s="22"/>
      <c r="G254" s="22"/>
      <c r="H254" s="22"/>
      <c r="I254" s="22"/>
    </row>
    <row r="255" spans="1:19" x14ac:dyDescent="0.25">
      <c r="A255" s="29"/>
      <c r="B255" s="49"/>
      <c r="C255" s="49"/>
      <c r="D255" s="49"/>
      <c r="E255" s="49"/>
      <c r="F255" s="49"/>
      <c r="G255" s="49"/>
      <c r="H255" s="49"/>
    </row>
    <row r="256" spans="1:19" x14ac:dyDescent="0.25">
      <c r="A256" s="30" t="s">
        <v>4</v>
      </c>
      <c r="B256" s="46" t="s">
        <v>52</v>
      </c>
      <c r="C256" s="46"/>
      <c r="D256" s="46"/>
      <c r="E256" s="46"/>
      <c r="F256" s="46"/>
      <c r="G256" s="46"/>
      <c r="H256" s="46"/>
      <c r="I256" s="46" t="s">
        <v>53</v>
      </c>
      <c r="J256" s="46"/>
    </row>
    <row r="257" spans="1:10" x14ac:dyDescent="0.25">
      <c r="A257" s="1">
        <v>0</v>
      </c>
      <c r="B257" s="2" cm="1">
        <f t="array" ref="B257">TrajectoryToComeUp(B$247:B$250,$A257)</f>
        <v>0</v>
      </c>
      <c r="C257" s="2" cm="1">
        <f t="array" ref="C257">TrajectoryToComeUp(C$247:C$250,$A257)</f>
        <v>0</v>
      </c>
      <c r="D257" s="2" cm="1">
        <f t="array" ref="D257">TrajectoryToComeUp(D$247:D$250,$A257)</f>
        <v>0</v>
      </c>
      <c r="E257" s="2" cm="1">
        <f t="array" ref="E257">TrajectoryToComeUp(E$247:E$250,$A257)</f>
        <v>0</v>
      </c>
      <c r="F257" s="2" cm="1">
        <f t="array" ref="F257">TrajectoryToComeUp(F$247:F$250,$A257)</f>
        <v>0</v>
      </c>
      <c r="G257" s="2" cm="1">
        <f t="array" ref="G257">TrajectoryToComeUp(G$247:G$250,$A257)</f>
        <v>0</v>
      </c>
      <c r="H257" s="2" cm="1">
        <f t="array" ref="H257">TrajectoryToComeUp(H$247:H$250,$A257)</f>
        <v>0</v>
      </c>
      <c r="I257" s="2" cm="1">
        <f t="array" ref="I257">EvaluatePolynomial(I$247:I$250,$A257)</f>
        <v>4487.1573315037358</v>
      </c>
      <c r="J257" s="2" cm="1">
        <f t="array" ref="J257">EvaluatePolynomial(J$247:J$250,$A257)</f>
        <v>4479.3848108413331</v>
      </c>
    </row>
    <row r="258" spans="1:10" x14ac:dyDescent="0.25">
      <c r="A258" s="1">
        <v>25</v>
      </c>
      <c r="B258" s="2" cm="1">
        <f t="array" ref="B258">TrajectoryToComeUp(B$247:B$250,$A258)</f>
        <v>0.70315137452799048</v>
      </c>
      <c r="C258" s="2" cm="1">
        <f t="array" ref="C258">TrajectoryToComeUp(C$247:C$250,$A258)</f>
        <v>1.0083912602090628</v>
      </c>
      <c r="D258" s="24" cm="1">
        <f t="array" ref="D258">TrajectoryToComeUp(D$247:D$250,$A258)</f>
        <v>0.83006206187867748</v>
      </c>
      <c r="E258" s="24" cm="1">
        <f t="array" ref="E258">TrajectoryToComeUp(E$247:E$250,$A258)</f>
        <v>0.57015324253479316</v>
      </c>
      <c r="F258" s="24" cm="1">
        <f t="array" ref="F258">TrajectoryToComeUp(F$247:F$250,$A258)</f>
        <v>0.24610602764444245</v>
      </c>
      <c r="G258" s="24" cm="1">
        <f t="array" ref="G258">TrajectoryToComeUp(G$247:G$250,$A258)</f>
        <v>-0.3825665786671737</v>
      </c>
      <c r="H258" s="24" cm="1">
        <f t="array" ref="H258">TrajectoryToComeUp(H$247:H$250,$A258)</f>
        <v>-1.2906093382866728</v>
      </c>
      <c r="I258" s="2" cm="1">
        <f t="array" ref="I258">EvaluatePolynomial(I$247:I$250,$A258)</f>
        <v>4394.1494389747222</v>
      </c>
      <c r="J258" s="2" cm="1">
        <f t="array" ref="J258">EvaluatePolynomial(J$247:J$250,$A258)</f>
        <v>4282.8198757763976</v>
      </c>
    </row>
    <row r="259" spans="1:10" x14ac:dyDescent="0.25">
      <c r="A259" s="1">
        <v>50</v>
      </c>
      <c r="B259" s="2" cm="1">
        <f t="array" ref="B259">TrajectoryToComeUp(B$247:B$250,$A259)</f>
        <v>-0.3395436674659057</v>
      </c>
      <c r="C259" s="2" cm="1">
        <f t="array" ref="C259">TrajectoryToComeUp(C$247:C$250,$A259)</f>
        <v>0.24529145098599381</v>
      </c>
      <c r="D259" s="24" cm="1">
        <f t="array" ref="D259">TrajectoryToComeUp(D$247:D$250,$A259)</f>
        <v>0.16387850832134027</v>
      </c>
      <c r="E259" s="24" cm="1">
        <f t="array" ref="E259">TrajectoryToComeUp(E$247:E$250,$A259)</f>
        <v>-0.15847724492731396</v>
      </c>
      <c r="F259" s="24" cm="1">
        <f t="array" ref="F259">TrajectoryToComeUp(F$247:F$250,$A259)</f>
        <v>-0.86908329834157982</v>
      </c>
      <c r="G259" s="24" cm="1">
        <f t="array" ref="G259">TrajectoryToComeUp(G$247:G$250,$A259)</f>
        <v>-1.1931601039581894</v>
      </c>
      <c r="H259" s="24" cm="1">
        <f t="array" ref="H259">TrajectoryToComeUp(H$247:H$250,$A259)</f>
        <v>-2.0831138047088968</v>
      </c>
      <c r="I259" s="2" cm="1">
        <f t="array" ref="I259">EvaluatePolynomial(I$247:I$250,$A259)</f>
        <v>4301.8334140339139</v>
      </c>
      <c r="J259" s="2" cm="1">
        <f t="array" ref="J259">EvaluatePolynomial(J$247:J$250,$A259)</f>
        <v>4093.2187583583463</v>
      </c>
    </row>
    <row r="260" spans="1:10" x14ac:dyDescent="0.25">
      <c r="A260" s="1">
        <v>75</v>
      </c>
      <c r="B260" s="2" cm="1">
        <f t="array" ref="B260">TrajectoryToComeUp(B$247:B$250,$A260)</f>
        <v>-0.57558881431592535</v>
      </c>
      <c r="C260" s="2" cm="1">
        <f t="array" ref="C260">TrajectoryToComeUp(C$247:C$250,$A260)</f>
        <v>6.3634726373706346E-2</v>
      </c>
      <c r="D260" s="24" cm="1">
        <f t="array" ref="D260">TrajectoryToComeUp(D$247:D$250,$A260)</f>
        <v>-5.6970689023243303E-3</v>
      </c>
      <c r="E260" s="24" cm="1">
        <f t="array" ref="E260">TrajectoryToComeUp(E$247:E$250,$A260)</f>
        <v>-0.33555684449915868</v>
      </c>
      <c r="F260" s="24" cm="1">
        <f t="array" ref="F260">TrajectoryToComeUp(F$247:F$250,$A260)</f>
        <v>-1.0954798526775795</v>
      </c>
      <c r="G260" s="24" cm="1">
        <f t="array" ref="G260">TrajectoryToComeUp(G$247:G$250,$A260)</f>
        <v>-1.4032592358508444</v>
      </c>
      <c r="H260" s="24" cm="1">
        <f t="array" ref="H260">TrajectoryToComeUp(H$247:H$250,$A260)</f>
        <v>-2.2560146069665574</v>
      </c>
      <c r="I260" s="2" cm="1">
        <f t="array" ref="I260">EvaluatePolynomial(I$247:I$250,$A260)</f>
        <v>4210.2838435027206</v>
      </c>
      <c r="J260" s="2" cm="1">
        <f t="array" ref="J260">EvaluatePolynomial(J$247:J$250,$A260)</f>
        <v>3910.4073028420853</v>
      </c>
    </row>
    <row r="261" spans="1:10" x14ac:dyDescent="0.25">
      <c r="A261" s="1">
        <v>100</v>
      </c>
      <c r="B261" s="2" cm="1">
        <f t="array" ref="B261">TrajectoryToComeUp(B$247:B$250,$A261)</f>
        <v>-0.60817327372617203</v>
      </c>
      <c r="C261" s="2" cm="1">
        <f t="array" ref="C261">TrajectoryToComeUp(C$247:C$250,$A261)</f>
        <v>3.1472122702435122E-2</v>
      </c>
      <c r="D261" s="24" cm="1">
        <f t="array" ref="D261">TrajectoryToComeUp(D$247:D$250,$A261)</f>
        <v>-4.4982871103362146E-2</v>
      </c>
      <c r="E261" s="24" cm="1">
        <f t="array" ref="E261">TrajectoryToComeUp(E$247:E$250,$A261)</f>
        <v>-0.36927316187055736</v>
      </c>
      <c r="F261" s="24" cm="1">
        <f t="array" ref="F261">TrajectoryToComeUp(F$247:F$250,$A261)</f>
        <v>-1.1024531984764454</v>
      </c>
      <c r="G261" s="24" cm="1">
        <f t="array" ref="G261">TrajectoryToComeUp(G$247:G$250,$A261)</f>
        <v>-1.4572610390586034</v>
      </c>
      <c r="H261" s="24" cm="1">
        <f t="array" ref="H261">TrajectoryToComeUp(H$247:H$250,$A261)</f>
        <v>-2.2719111041335527</v>
      </c>
      <c r="I261" s="2" cm="1">
        <f t="array" ref="I261">EvaluatePolynomial(I$247:I$250,$A261)</f>
        <v>4119.5753142025515</v>
      </c>
      <c r="J261" s="2" cm="1">
        <f t="array" ref="J261">EvaluatePolynomial(J$247:J$250,$A261)</f>
        <v>3734.2113534825203</v>
      </c>
    </row>
    <row r="262" spans="1:10" x14ac:dyDescent="0.25">
      <c r="A262" s="1">
        <v>125</v>
      </c>
      <c r="B262" s="2" cm="1">
        <f t="array" ref="B262">TrajectoryToComeUp(B$247:B$250,$A262)</f>
        <v>-0.55793488723746565</v>
      </c>
      <c r="C262" s="2" cm="1">
        <f t="array" ref="C262">TrajectoryToComeUp(C$247:C$250,$A262)</f>
        <v>6.241384723822696E-2</v>
      </c>
      <c r="D262" s="24" cm="1">
        <f t="array" ref="D262">TrajectoryToComeUp(D$247:D$250,$A262)</f>
        <v>-2.7242538543982259E-2</v>
      </c>
      <c r="E262" s="24" cm="1">
        <f t="array" ref="E262">TrajectoryToComeUp(E$247:E$250,$A262)</f>
        <v>-0.34126371817947387</v>
      </c>
      <c r="F262" s="24" cm="1">
        <f t="array" ref="F262">TrajectoryToComeUp(F$247:F$250,$A262)</f>
        <v>-1.0238772483607541</v>
      </c>
      <c r="G262" s="24" cm="1">
        <f t="array" ref="G262">TrajectoryToComeUp(G$247:G$250,$A262)</f>
        <v>-1.4440449265241597</v>
      </c>
      <c r="H262" s="24" cm="1">
        <f t="array" ref="H262">TrajectoryToComeUp(H$247:H$250,$A262)</f>
        <v>-2.2233231680246597</v>
      </c>
      <c r="I262" s="2" cm="1">
        <f t="array" ref="I262">EvaluatePolynomial(I$247:I$250,$A262)</f>
        <v>4029.7824129548167</v>
      </c>
      <c r="J262" s="2" cm="1">
        <f t="array" ref="J262">EvaluatePolynomial(J$247:J$250,$A262)</f>
        <v>3564.4567545345576</v>
      </c>
    </row>
    <row r="263" spans="1:10" x14ac:dyDescent="0.25">
      <c r="A263" s="1">
        <v>145</v>
      </c>
      <c r="B263" s="2" cm="1">
        <f t="array" ref="B263">TrajectoryToComeUp(B$247:B$250,$A263)</f>
        <v>-0.48606642883216189</v>
      </c>
      <c r="C263" s="2" cm="1">
        <f t="array" ref="C263">TrajectoryToComeUp(C$247:C$250,$A263)</f>
        <v>0.11258374292862983</v>
      </c>
      <c r="D263" s="24" cm="1">
        <f t="array" ref="D263">TrajectoryToComeUp(D$247:D$250,$A263)</f>
        <v>1.1031590649572612E-2</v>
      </c>
      <c r="E263" s="24" cm="1">
        <f t="array" ref="E263">TrajectoryToComeUp(E$247:E$250,$A263)</f>
        <v>-0.29333099947014063</v>
      </c>
      <c r="F263" s="24" cm="1">
        <f t="array" ref="F263">TrajectoryToComeUp(F$247:F$250,$A263)</f>
        <v>-0.93044281220364222</v>
      </c>
      <c r="G263" s="24" cm="1">
        <f t="array" ref="G263">TrajectoryToComeUp(G$247:G$250,$A263)</f>
        <v>-1.4056706425061805</v>
      </c>
      <c r="H263" s="24" cm="1">
        <f t="array" ref="H263">TrajectoryToComeUp(H$247:H$250,$A263)</f>
        <v>-2.1594631147166754</v>
      </c>
      <c r="I263" s="2" cm="1">
        <f t="array" ref="I263">EvaluatePolynomial(I$247:I$250,$A263)</f>
        <v>3958.6574664983677</v>
      </c>
      <c r="J263" s="2" cm="1">
        <f t="array" ref="J263">EvaluatePolynomial(J$247:J$250,$A263)</f>
        <v>3433.1738150118376</v>
      </c>
    </row>
    <row r="264" spans="1:10" x14ac:dyDescent="0.25">
      <c r="A264" s="1">
        <v>150</v>
      </c>
      <c r="B264" s="2" cm="1">
        <f t="array" ref="B264">TrajectoryToComeUp(B$247:B$250,$A264)</f>
        <v>-0.46508626869674663</v>
      </c>
      <c r="C264" s="2" cm="1">
        <f t="array" ref="C264">TrajectoryToComeUp(C$247:C$250,$A264)</f>
        <v>0.12766330240309753</v>
      </c>
      <c r="D264" s="24" cm="1">
        <f t="array" ref="D264">TrajectoryToComeUp(D$247:D$250,$A264)</f>
        <v>2.3102715355079011E-2</v>
      </c>
      <c r="E264" s="24" cm="1">
        <f t="array" ref="E264">TrajectoryToComeUp(E$247:E$250,$A264)</f>
        <v>-0.27874102047189547</v>
      </c>
      <c r="F264" s="24" cm="1">
        <f t="array" ref="F264">TrajectoryToComeUp(F$247:F$250,$A264)</f>
        <v>-0.90437663987136618</v>
      </c>
      <c r="G264" s="24" cm="1">
        <f t="array" ref="G264">TrajectoryToComeUp(G$247:G$250,$A264)</f>
        <v>-1.3932373692284108</v>
      </c>
      <c r="H264" s="24" cm="1">
        <f t="array" ref="H264">TrajectoryToComeUp(H$247:H$250,$A264)</f>
        <v>-2.1410907559114718</v>
      </c>
      <c r="I264" s="2" cm="1">
        <f t="array" ref="I264">EvaluatePolynomial(I$247:I$250,$A264)</f>
        <v>3940.9797265809248</v>
      </c>
      <c r="J264" s="2" cm="1">
        <f t="array" ref="J264">EvaluatePolynomial(J$247:J$250,$A264)</f>
        <v>3400.9693502531027</v>
      </c>
    </row>
    <row r="265" spans="1:10" x14ac:dyDescent="0.25">
      <c r="A265" s="1">
        <v>163.4</v>
      </c>
      <c r="B265" s="2" cm="1">
        <f t="array" ref="B265">TrajectoryToComeUp(B$247:B$250,$A265)</f>
        <v>-0.40420180892134577</v>
      </c>
      <c r="C265" s="2" cm="1">
        <f t="array" ref="C265">TrajectoryToComeUp(C$247:C$250,$A265)</f>
        <v>0.17216028505412942</v>
      </c>
      <c r="D265" s="24" cm="1">
        <f t="array" ref="D265">TrajectoryToComeUp(D$247:D$250,$A265)</f>
        <v>5.9608930744853454E-2</v>
      </c>
      <c r="E265" s="24" cm="1">
        <f t="array" ref="E265">TrajectoryToComeUp(E$247:E$250,$A265)</f>
        <v>-0.23536796330665896</v>
      </c>
      <c r="F265" s="24" cm="1">
        <f t="array" ref="F265">TrajectoryToComeUp(F$247:F$250,$A265)</f>
        <v>-0.83060527129212447</v>
      </c>
      <c r="G265" s="24" cm="1">
        <f t="array" ref="G265">TrajectoryToComeUp(G$247:G$250,$A265)</f>
        <v>-1.3552620580545685</v>
      </c>
      <c r="H265" s="24" cm="1">
        <f t="array" ref="H265">TrajectoryToComeUp(H$247:H$250,$A265)</f>
        <v>-2.0880903041274257</v>
      </c>
      <c r="I265" s="2" cm="1">
        <f t="array" ref="I265">EvaluatePolynomial(I$247:I$250,$A265)</f>
        <v>3893.8150613623134</v>
      </c>
      <c r="J265" s="2" cm="1">
        <f t="array" ref="J265">EvaluatePolynomial(J$247:J$250,$A265)</f>
        <v>3315.859377031155</v>
      </c>
    </row>
    <row r="266" spans="1:10" x14ac:dyDescent="0.25">
      <c r="A266" s="1">
        <v>175</v>
      </c>
      <c r="B266" s="2" cm="1">
        <f t="array" ref="B266">TrajectoryToComeUp(B$247:B$250,$A266)</f>
        <v>-0.34686139546698919</v>
      </c>
      <c r="C266" s="2" cm="1">
        <f t="array" ref="C266">TrajectoryToComeUp(C$247:C$250,$A266)</f>
        <v>0.21487908923505344</v>
      </c>
      <c r="D266" s="24" cm="1">
        <f t="array" ref="D266">TrajectoryToComeUp(D$247:D$250,$A266)</f>
        <v>9.5586656270648801E-2</v>
      </c>
      <c r="E266" s="24" cm="1">
        <f t="array" ref="E266">TrajectoryToComeUp(E$247:E$250,$A266)</f>
        <v>-0.19336757176753139</v>
      </c>
      <c r="F266" s="24" cm="1">
        <f t="array" ref="F266">TrajectoryToComeUp(F$247:F$250,$A266)</f>
        <v>-0.76307621766864853</v>
      </c>
      <c r="G266" s="24" cm="1">
        <f t="array" ref="G266">TrajectoryToComeUp(G$247:G$250,$A266)</f>
        <v>-1.3175354261631693</v>
      </c>
      <c r="H266" s="24" cm="1">
        <f t="array" ref="H266">TrajectoryToComeUp(H$247:H$250,$A266)</f>
        <v>-2.0384309923389576</v>
      </c>
      <c r="I266" s="2" cm="1">
        <f t="array" ref="I266">EvaluatePolynomial(I$247:I$250,$A266)</f>
        <v>3853.2418419022856</v>
      </c>
      <c r="J266" s="2" cm="1">
        <f t="array" ref="J266">EvaluatePolynomial(J$247:J$250,$A266)</f>
        <v>3243.5749848930623</v>
      </c>
    </row>
    <row r="267" spans="1:10" x14ac:dyDescent="0.25">
      <c r="A267" s="1">
        <v>200</v>
      </c>
      <c r="B267" s="2" cm="1">
        <f t="array" ref="B267">TrajectoryToComeUp(B$247:B$250,$A267)</f>
        <v>-0.21187725622968054</v>
      </c>
      <c r="C267" s="2" cm="1">
        <f t="array" ref="C267">TrajectoryToComeUp(C$247:C$250,$A267)</f>
        <v>0.31789050825309817</v>
      </c>
      <c r="D267" s="24" cm="1">
        <f t="array" ref="D267">TrajectoryToComeUp(D$247:D$250,$A267)</f>
        <v>0.18497616704114073</v>
      </c>
      <c r="E267" s="24" cm="1">
        <f t="array" ref="E267">TrajectoryToComeUp(E$247:E$250,$A267)</f>
        <v>-9.0974623576236271E-2</v>
      </c>
      <c r="F267" s="24" cm="1">
        <f t="array" ref="F267">TrajectoryToComeUp(F$247:F$250,$A267)</f>
        <v>-0.60953840408278626</v>
      </c>
      <c r="G267" s="24" cm="1">
        <f t="array" ref="G267">TrajectoryToComeUp(G$247:G$250,$A267)</f>
        <v>-1.2232876268243433</v>
      </c>
      <c r="H267" s="24" cm="1">
        <f t="array" ref="H267">TrajectoryToComeUp(H$247:H$250,$A267)</f>
        <v>-1.9219524395796013</v>
      </c>
      <c r="I267" s="2" cm="1">
        <f t="array" ref="I267">EvaluatePolynomial(I$247:I$250,$A267)</f>
        <v>3766.6433457403091</v>
      </c>
      <c r="J267" s="2" cm="1">
        <f t="array" ref="J267">EvaluatePolynomial(J$247:J$250,$A267)</f>
        <v>3092.0995027093422</v>
      </c>
    </row>
    <row r="268" spans="1:10" x14ac:dyDescent="0.25">
      <c r="A268" s="1">
        <v>225</v>
      </c>
      <c r="B268" s="2" cm="1">
        <f t="array" ref="B268">TrajectoryToComeUp(B$247:B$250,$A268)</f>
        <v>-6.4921066918980239E-2</v>
      </c>
      <c r="C268" s="2" cm="1">
        <f t="array" ref="C268">TrajectoryToComeUp(C$247:C$250,$A268)</f>
        <v>0.43326939307890039</v>
      </c>
      <c r="D268" s="24" cm="1">
        <f t="array" ref="D268">TrajectoryToComeUp(D$247:D$250,$A268)</f>
        <v>0.28836396035456247</v>
      </c>
      <c r="E268" s="24" cm="1">
        <f t="array" ref="E268">TrajectoryToComeUp(E$247:E$250,$A268)</f>
        <v>2.5198239929848629E-2</v>
      </c>
      <c r="F268" s="24" cm="1">
        <f t="array" ref="F268">TrajectoryToComeUp(F$247:F$250,$A268)</f>
        <v>-0.44907565596388099</v>
      </c>
      <c r="G268" s="24" cm="1">
        <f t="array" ref="G268">TrajectoryToComeUp(G$247:G$250,$A268)</f>
        <v>-1.114020932042991</v>
      </c>
      <c r="H268" s="24" cm="1">
        <f t="array" ref="H268">TrajectoryToComeUp(H$247:H$250,$A268)</f>
        <v>-1.7953265211181162</v>
      </c>
      <c r="I268" s="2" cm="1">
        <f t="array" ref="I268">EvaluatePolynomial(I$247:I$250,$A268)</f>
        <v>3681.2588249164041</v>
      </c>
      <c r="J268" s="2" cm="1">
        <f t="array" ref="J268">EvaluatePolynomial(J$247:J$250,$A268)</f>
        <v>2946.3687479568484</v>
      </c>
    </row>
    <row r="269" spans="1:10" x14ac:dyDescent="0.25">
      <c r="A269" s="1">
        <v>247.4</v>
      </c>
      <c r="B269" s="2" cm="1">
        <f t="array" ref="B269">TrajectoryToComeUp(B$247:B$250,$A269)</f>
        <v>7.4540881632005382E-2</v>
      </c>
      <c r="C269" s="2" cm="1">
        <f t="array" ref="C269">TrajectoryToComeUp(C$247:C$250,$A269)</f>
        <v>0.54544959411660676</v>
      </c>
      <c r="D269" s="24" cm="1">
        <f t="array" ref="D269">TrajectoryToComeUp(D$247:D$250,$A269)</f>
        <v>0.39144432587661743</v>
      </c>
      <c r="E269" s="24" cm="1">
        <f t="array" ref="E269">TrajectoryToComeUp(E$247:E$250,$A269)</f>
        <v>0.13938334493832416</v>
      </c>
      <c r="F269" s="24" cm="1">
        <f t="array" ref="F269">TrajectoryToComeUp(F$247:F$250,$A269)</f>
        <v>-0.30206001321808745</v>
      </c>
      <c r="G269" s="24" cm="1">
        <f t="array" ref="G269">TrajectoryToComeUp(G$247:G$250,$A269)</f>
        <v>-1.0051142231518579</v>
      </c>
      <c r="H269" s="24" cm="1">
        <f t="array" ref="H269">TrajectoryToComeUp(H$247:H$250,$A269)</f>
        <v>-1.6750756833827736</v>
      </c>
      <c r="I269" s="2" cm="1">
        <f t="array" ref="I269">EvaluatePolynomial(I$247:I$250,$A269)</f>
        <v>3605.8466129706626</v>
      </c>
      <c r="J269" s="2" cm="1">
        <f t="array" ref="J269">EvaluatePolynomial(J$247:J$250,$A269)</f>
        <v>2820.5308080685368</v>
      </c>
    </row>
    <row r="270" spans="1:10" x14ac:dyDescent="0.25">
      <c r="A270" s="1">
        <v>250</v>
      </c>
      <c r="B270" s="2" cm="1">
        <f t="array" ref="B270">TrajectoryToComeUp(B$247:B$250,$A270)</f>
        <v>9.1134842904615904E-2</v>
      </c>
      <c r="C270" s="2" cm="1">
        <f t="array" ref="C270">TrajectoryToComeUp(C$247:C$250,$A270)</f>
        <v>0.5589588438854608</v>
      </c>
      <c r="D270" s="24" cm="1">
        <f t="array" ref="D270">TrajectoryToComeUp(D$247:D$250,$A270)</f>
        <v>0.4040056638237185</v>
      </c>
      <c r="E270" s="24" cm="1">
        <f t="array" ref="E270">TrajectoryToComeUp(E$247:E$250,$A270)</f>
        <v>0.15320726824743841</v>
      </c>
      <c r="F270" s="24" cm="1">
        <f t="array" ref="F270">TrajectoryToComeUp(F$247:F$250,$A270)</f>
        <v>-0.28487544742199483</v>
      </c>
      <c r="G270" s="24" cm="1">
        <f t="array" ref="G270">TrajectoryToComeUp(G$247:G$250,$A270)</f>
        <v>-0.99185151831774776</v>
      </c>
      <c r="H270" s="24" cm="1">
        <f t="array" ref="H270">TrajectoryToComeUp(H$247:H$250,$A270)</f>
        <v>-1.6607560910453301</v>
      </c>
      <c r="I270" s="2" cm="1">
        <f t="array" ref="I270">EvaluatePolynomial(I$247:I$250,$A270)</f>
        <v>3597.1628662519806</v>
      </c>
      <c r="J270" s="2" cm="1">
        <f t="array" ref="J270">EvaluatePolynomial(J$247:J$250,$A270)</f>
        <v>2806.2085648904867</v>
      </c>
    </row>
    <row r="271" spans="1:10" x14ac:dyDescent="0.25">
      <c r="A271" s="1">
        <v>275</v>
      </c>
      <c r="B271" s="2" cm="1">
        <f t="array" ref="B271">TrajectoryToComeUp(B$247:B$250,$A271)</f>
        <v>0.25446262715715617</v>
      </c>
      <c r="C271" s="2" cm="1">
        <f t="array" ref="C271">TrajectoryToComeUp(C$247:C$250,$A271)</f>
        <v>0.69364992441923501</v>
      </c>
      <c r="D271" s="24" cm="1">
        <f t="array" ref="D271">TrajectoryToComeUp(D$247:D$250,$A271)</f>
        <v>0.53079122229312081</v>
      </c>
      <c r="E271" s="24" cm="1">
        <f t="array" ref="E271">TrajectoryToComeUp(E$247:E$250,$A271)</f>
        <v>0.29181552923807902</v>
      </c>
      <c r="F271" s="24" cm="1">
        <f t="array" ref="F271">TrajectoryToComeUp(F$247:F$250,$A271)</f>
        <v>-0.11896617107262061</v>
      </c>
      <c r="G271" s="24" cm="1">
        <f t="array" ref="G271">TrajectoryToComeUp(G$247:G$250,$A271)</f>
        <v>-0.85812604342047316</v>
      </c>
      <c r="H271" s="24" cm="1">
        <f t="array" ref="H271">TrajectoryToComeUp(H$247:H$250,$A271)</f>
        <v>-1.5196429656008614</v>
      </c>
      <c r="I271" s="2" cm="1">
        <f t="array" ref="I271">EvaluatePolynomial(I$247:I$250,$A271)</f>
        <v>3514.430056568448</v>
      </c>
      <c r="J271" s="2" cm="1">
        <f t="array" ref="J271">EvaluatePolynomial(J$247:J$250,$A271)</f>
        <v>2671.4447977651639</v>
      </c>
    </row>
    <row r="272" spans="1:10" x14ac:dyDescent="0.25">
      <c r="A272" s="1">
        <v>300</v>
      </c>
      <c r="B272" s="2" cm="1">
        <f t="array" ref="B272">TrajectoryToComeUp(B$247:B$250,$A272)</f>
        <v>0.42384372178267254</v>
      </c>
      <c r="C272" s="2" cm="1">
        <f t="array" ref="C272">TrajectoryToComeUp(C$247:C$250,$A272)</f>
        <v>0.83647001051119307</v>
      </c>
      <c r="D272" s="24" cm="1">
        <f t="array" ref="D272">TrajectoryToComeUp(D$247:D$250,$A272)</f>
        <v>0.66798059899244433</v>
      </c>
      <c r="E272" s="24" cm="1">
        <f t="array" ref="E272">TrajectoryToComeUp(E$247:E$250,$A272)</f>
        <v>0.44019840147613465</v>
      </c>
      <c r="F272" s="24" cm="1">
        <f t="array" ref="F272">TrajectoryToComeUp(F$247:F$250,$A272)</f>
        <v>4.7299911340578656E-2</v>
      </c>
      <c r="G272" s="24" cm="1">
        <f t="array" ref="G272">TrajectoryToComeUp(G$247:G$250,$A272)</f>
        <v>-0.71374227919907318</v>
      </c>
      <c r="H272" s="24" cm="1">
        <f t="array" ref="H272">TrajectoryToComeUp(H$247:H$250,$A272)</f>
        <v>-1.3729216889444553</v>
      </c>
      <c r="I272" s="2" cm="1">
        <f t="array" ref="I272">EvaluatePolynomial(I$247:I$250,$A272)</f>
        <v>3433.1349826872151</v>
      </c>
      <c r="J272" s="2" cm="1">
        <f t="array" ref="J272">EvaluatePolynomial(J$247:J$250,$A272)</f>
        <v>2541.9032908357854</v>
      </c>
    </row>
    <row r="273" spans="1:10" x14ac:dyDescent="0.25">
      <c r="A273" s="1">
        <v>325</v>
      </c>
      <c r="B273" s="2" cm="1">
        <f t="array" ref="B273">TrajectoryToComeUp(B$247:B$250,$A273)</f>
        <v>0.5984345055116489</v>
      </c>
      <c r="C273" s="2" cm="1">
        <f t="array" ref="C273">TrajectoryToComeUp(C$247:C$250,$A273)</f>
        <v>0.98681497773662208</v>
      </c>
      <c r="D273" s="24" cm="1">
        <f t="array" ref="D273">TrajectoryToComeUp(D$247:D$250,$A273)</f>
        <v>0.81506146077300168</v>
      </c>
      <c r="E273" s="24" cm="1">
        <f t="array" ref="E273">TrajectoryToComeUp(E$247:E$250,$A273)</f>
        <v>0.59778499320539535</v>
      </c>
      <c r="F273" s="24" cm="1">
        <f t="array" ref="F273">TrajectoryToComeUp(F$247:F$250,$A273)</f>
        <v>0.21298661861045262</v>
      </c>
      <c r="G273" s="24" cm="1">
        <f t="array" ref="G273">TrajectoryToComeUp(G$247:G$250,$A273)</f>
        <v>-0.55932176000979017</v>
      </c>
      <c r="H273" s="24" cm="1">
        <f t="array" ref="H273">TrajectoryToComeUp(H$247:H$250,$A273)</f>
        <v>-1.2212392531867045</v>
      </c>
      <c r="I273" s="2" cm="1">
        <f t="array" ref="I273">EvaluatePolynomial(I$247:I$250,$A273)</f>
        <v>3353.3522314296924</v>
      </c>
      <c r="J273" s="2" cm="1">
        <f t="array" ref="J273">EvaluatePolynomial(J$247:J$250,$A273)</f>
        <v>2417.4098883572569</v>
      </c>
    </row>
    <row r="274" spans="1:10" x14ac:dyDescent="0.25">
      <c r="A274" s="1">
        <v>350</v>
      </c>
      <c r="B274" s="2" cm="1">
        <f t="array" ref="B274">TrajectoryToComeUp(B$247:B$250,$A274)</f>
        <v>0.77763239172300225</v>
      </c>
      <c r="C274" s="2" cm="1">
        <f t="array" ref="C274">TrajectoryToComeUp(C$247:C$250,$A274)</f>
        <v>1.1442533086492981</v>
      </c>
      <c r="D274" s="24" cm="1">
        <f t="array" ref="D274">TrajectoryToComeUp(D$247:D$250,$A274)</f>
        <v>0.9716678553857313</v>
      </c>
      <c r="E274" s="24" cm="1">
        <f t="array" ref="E274">TrajectoryToComeUp(E$247:E$250,$A274)</f>
        <v>0.76416752459999782</v>
      </c>
      <c r="F274" s="24" cm="1">
        <f t="array" ref="F274">TrajectoryToComeUp(F$247:F$250,$A274)</f>
        <v>0.37742524987475007</v>
      </c>
      <c r="G274" s="24" cm="1">
        <f t="array" ref="G274">TrajectoryToComeUp(G$247:G$250,$A274)</f>
        <v>-0.39530843896422618</v>
      </c>
      <c r="H274" s="24" cm="1">
        <f t="array" ref="H274">TrajectoryToComeUp(H$247:H$250,$A274)</f>
        <v>-1.0650577955494611</v>
      </c>
      <c r="I274" s="2" cm="1">
        <f t="array" ref="I274">EvaluatePolynomial(I$247:I$250,$A274)</f>
        <v>3275.1563896172888</v>
      </c>
      <c r="J274" s="2" cm="1">
        <f t="array" ref="J274">EvaluatePolynomial(J$247:J$250,$A274)</f>
        <v>2297.790434584485</v>
      </c>
    </row>
    <row r="275" spans="1:10" x14ac:dyDescent="0.25">
      <c r="A275" s="1">
        <v>375</v>
      </c>
      <c r="B275" s="2" cm="1">
        <f t="array" ref="B275">TrajectoryToComeUp(B$247:B$250,$A275)</f>
        <v>0.96099548356127151</v>
      </c>
      <c r="C275" s="2" cm="1">
        <f t="array" ref="C275">TrajectoryToComeUp(C$247:C$250,$A275)</f>
        <v>1.3084685571219912</v>
      </c>
      <c r="D275" s="24" cm="1">
        <f t="array" ref="D275">TrajectoryToComeUp(D$247:D$250,$A275)</f>
        <v>1.1375314178479876</v>
      </c>
      <c r="E275" s="24" cm="1">
        <f t="array" ref="E275">TrajectoryToComeUp(E$247:E$250,$A275)</f>
        <v>0.93904695712097441</v>
      </c>
      <c r="F275" s="24" cm="1">
        <f t="array" ref="F275">TrajectoryToComeUp(F$247:F$250,$A275)</f>
        <v>0.54012542450115442</v>
      </c>
      <c r="G275" s="24" cm="1">
        <f t="array" ref="G275">TrajectoryToComeUp(G$247:G$250,$A275)</f>
        <v>-0.22202788167755572</v>
      </c>
      <c r="H275" s="24" cm="1">
        <f t="array" ref="H275">TrajectoryToComeUp(H$247:H$250,$A275)</f>
        <v>-0.90471621666208302</v>
      </c>
      <c r="I275" s="2" cm="1">
        <f t="array" ref="I275">EvaluatePolynomial(I$247:I$250,$A275)</f>
        <v>3198.6220440714137</v>
      </c>
      <c r="J275" s="2" cm="1">
        <f t="array" ref="J275">EvaluatePolynomial(J$247:J$250,$A275)</f>
        <v>2182.8707737723757</v>
      </c>
    </row>
    <row r="276" spans="1:10" x14ac:dyDescent="0.25">
      <c r="A276" s="1">
        <v>400</v>
      </c>
      <c r="B276" s="2" cm="1">
        <f t="array" ref="B276">TrajectoryToComeUp(B$247:B$250,$A276)</f>
        <v>1.1481923583848612</v>
      </c>
      <c r="C276" s="2" cm="1">
        <f t="array" ref="C276">TrajectoryToComeUp(C$247:C$250,$A276)</f>
        <v>1.4792233885592778</v>
      </c>
      <c r="D276" s="24" cm="1">
        <f t="array" ref="D276">TrajectoryToComeUp(D$247:D$250,$A276)</f>
        <v>1.3124508744227867</v>
      </c>
      <c r="E276" s="24" cm="1">
        <f t="array" ref="E276">TrajectoryToComeUp(E$247:E$250,$A276)</f>
        <v>1.122199011864101</v>
      </c>
      <c r="F276" s="24" cm="1">
        <f t="array" ref="F276">TrajectoryToComeUp(F$247:F$250,$A276)</f>
        <v>0.70071935701542731</v>
      </c>
      <c r="G276" s="24" cm="1">
        <f t="array" ref="G276">TrajectoryToComeUp(G$247:G$250,$A276)</f>
        <v>-3.972426236115971E-2</v>
      </c>
      <c r="H276" s="24" cm="1">
        <f t="array" ref="H276">TrajectoryToComeUp(H$247:H$250,$A276)</f>
        <v>-0.74046869199658916</v>
      </c>
      <c r="I276" s="2" cm="1">
        <f t="array" ref="I276">EvaluatePolynomial(I$247:I$250,$A276)</f>
        <v>3123.823781613477</v>
      </c>
      <c r="J276" s="2" cm="1">
        <f t="array" ref="J276">EvaluatePolynomial(J$247:J$250,$A276)</f>
        <v>2072.4767501758347</v>
      </c>
    </row>
    <row r="277" spans="1:10" x14ac:dyDescent="0.25">
      <c r="A277" s="1">
        <v>425</v>
      </c>
      <c r="B277" s="2" cm="1">
        <f t="array" ref="B277">TrajectoryToComeUp(B$247:B$250,$A277)</f>
        <v>1.3389695753501987</v>
      </c>
      <c r="C277" s="2" cm="1">
        <f t="array" ref="C277">TrajectoryToComeUp(C$247:C$250,$A277)</f>
        <v>1.6563363117999528</v>
      </c>
      <c r="D277" s="24" cm="1">
        <f t="array" ref="D277">TrajectoryToComeUp(D$247:D$250,$A277)</f>
        <v>1.4962723098994939</v>
      </c>
      <c r="E277" s="24" cm="1">
        <f t="array" ref="E277">TrajectoryToComeUp(E$247:E$250,$A277)</f>
        <v>1.3134521814320277</v>
      </c>
      <c r="F277" s="24" cm="1">
        <f t="array" ref="F277">TrajectoryToComeUp(F$247:F$250,$A277)</f>
        <v>0.85892579970197569</v>
      </c>
      <c r="G277" s="24" cm="1">
        <f t="array" ref="G277">TrajectoryToComeUp(G$247:G$250,$A277)</f>
        <v>0.15141569752919926</v>
      </c>
      <c r="H277" s="24" cm="1">
        <f t="array" ref="H277">TrajectoryToComeUp(H$247:H$250,$A277)</f>
        <v>-0.57250959103158217</v>
      </c>
      <c r="I277" s="2" cm="1">
        <f t="array" ref="I277">EvaluatePolynomial(I$247:I$250,$A277)</f>
        <v>3050.836189064888</v>
      </c>
      <c r="J277" s="2" cm="1">
        <f t="array" ref="J277">EvaluatePolynomial(J$247:J$250,$A277)</f>
        <v>1966.4342080497688</v>
      </c>
    </row>
    <row r="278" spans="1:10" x14ac:dyDescent="0.25">
      <c r="A278" s="1">
        <v>450</v>
      </c>
      <c r="B278" s="2" cm="1">
        <f t="array" ref="B278">TrajectoryToComeUp(B$247:B$250,$A278)</f>
        <v>1.5331300138011703</v>
      </c>
      <c r="C278" s="2" cm="1">
        <f t="array" ref="C278">TrajectoryToComeUp(C$247:C$250,$A278)</f>
        <v>1.8396661670519672</v>
      </c>
      <c r="D278" s="24" cm="1">
        <f t="array" ref="D278">TrajectoryToComeUp(D$247:D$250,$A278)</f>
        <v>1.6888760124476145</v>
      </c>
      <c r="E278" s="24" cm="1">
        <f t="array" ref="E278">TrajectoryToComeUp(E$247:E$250,$A278)</f>
        <v>1.5126730711823728</v>
      </c>
      <c r="F278" s="24" cm="1">
        <f t="array" ref="F278">TrajectoryToComeUp(F$247:F$250,$A278)</f>
        <v>1.014526004337559</v>
      </c>
      <c r="G278" s="24" cm="1">
        <f t="array" ref="G278">TrajectoryToComeUp(G$247:G$250,$A278)</f>
        <v>0.3512467701945961</v>
      </c>
      <c r="H278" s="24" cm="1">
        <f t="array" ref="H278">TrajectoryToComeUp(H$247:H$250,$A278)</f>
        <v>-0.40099009002819674</v>
      </c>
      <c r="I278" s="2" cm="1">
        <f t="array" ref="I278">EvaluatePolynomial(I$247:I$250,$A278)</f>
        <v>2979.7338532470562</v>
      </c>
      <c r="J278" s="2" cm="1">
        <f t="array" ref="J278">EvaluatePolynomial(J$247:J$250,$A278)</f>
        <v>1864.5689916490833</v>
      </c>
    </row>
    <row r="279" spans="1:10" x14ac:dyDescent="0.25">
      <c r="A279" s="1">
        <v>475</v>
      </c>
      <c r="B279" s="2" cm="1">
        <f t="array" ref="B279">TrajectoryToComeUp(B$247:B$250,$A279)</f>
        <v>1.7305180521671619</v>
      </c>
      <c r="C279" s="2" cm="1">
        <f t="array" ref="C279">TrajectoryToComeUp(C$247:C$250,$A279)</f>
        <v>2.0291015123742286</v>
      </c>
      <c r="D279" s="24" cm="1">
        <f t="array" ref="D279">TrajectoryToComeUp(D$247:D$250,$A279)</f>
        <v>1.8901674727272857</v>
      </c>
      <c r="E279" s="24" cm="1">
        <f t="array" ref="E279">TrajectoryToComeUp(E$247:E$250,$A279)</f>
        <v>1.719756369555361</v>
      </c>
      <c r="F279" s="24" cm="1">
        <f t="array" ref="F279">TrajectoryToComeUp(F$247:F$250,$A279)</f>
        <v>1.1673472749564635</v>
      </c>
      <c r="G279" s="24" cm="1">
        <f t="array" ref="G279">TrajectoryToComeUp(G$247:G$250,$A279)</f>
        <v>0.55965430210956202</v>
      </c>
      <c r="H279" s="24" cm="1">
        <f t="array" ref="H279">TrajectoryToComeUp(H$247:H$250,$A279)</f>
        <v>-0.22602953866627726</v>
      </c>
      <c r="I279" s="2" cm="1">
        <f t="array" ref="I279">EvaluatePolynomial(I$247:I$250,$A279)</f>
        <v>2910.5913609813906</v>
      </c>
      <c r="J279" s="2" cm="1">
        <f t="array" ref="J279">EvaluatePolynomial(J$247:J$250,$A279)</f>
        <v>1766.7069452286844</v>
      </c>
    </row>
    <row r="280" spans="1:10" x14ac:dyDescent="0.25">
      <c r="A280" s="1">
        <v>500</v>
      </c>
      <c r="B280" s="2" cm="1">
        <f t="array" ref="B280">TrajectoryToComeUp(B$247:B$250,$A280)</f>
        <v>1.9310091931916811</v>
      </c>
      <c r="C280" s="2" cm="1">
        <f t="array" ref="C280">TrajectoryToComeUp(C$247:C$250,$A280)</f>
        <v>2.2245531942138657</v>
      </c>
      <c r="D280" s="24" cm="1">
        <f t="array" ref="D280">TrajectoryToComeUp(D$247:D$250,$A280)</f>
        <v>2.1000710832666165</v>
      </c>
      <c r="E280" s="24" cm="1">
        <f t="array" ref="E280">TrajectoryToComeUp(E$247:E$250,$A280)</f>
        <v>1.9346178273031713</v>
      </c>
      <c r="F280" s="24" cm="1">
        <f t="array" ref="F280">TrajectoryToComeUp(F$247:F$250,$A280)</f>
        <v>1.3172514547861152</v>
      </c>
      <c r="G280" s="24" cm="1">
        <f t="array" ref="G280">TrajectoryToComeUp(G$247:G$250,$A280)</f>
        <v>0.77654657045372377</v>
      </c>
      <c r="H280" s="24" cm="1">
        <f t="array" ref="H280">TrajectoryToComeUp(H$247:H$250,$A280)</f>
        <v>-4.7723416689697699E-2</v>
      </c>
      <c r="I280" s="2" cm="1">
        <f t="array" ref="I280">EvaluatePolynomial(I$247:I$250,$A280)</f>
        <v>2843.4832990893019</v>
      </c>
      <c r="J280" s="2" cm="1">
        <f t="array" ref="J280">EvaluatePolynomial(J$247:J$250,$A280)</f>
        <v>1672.673913043478</v>
      </c>
    </row>
  </sheetData>
  <mergeCells count="6">
    <mergeCell ref="F1:I1"/>
    <mergeCell ref="C20:G20"/>
    <mergeCell ref="J20:N20"/>
    <mergeCell ref="B255:H255"/>
    <mergeCell ref="B256:H256"/>
    <mergeCell ref="I256:J256"/>
  </mergeCells>
  <pageMargins left="0.7" right="0.7" top="0.75" bottom="0.75" header="0.3" footer="0.3"/>
  <pageSetup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0C5AE-F2EB-4E88-B0CE-907CE7A04FDE}">
  <sheetPr codeName="Sheet3"/>
  <dimension ref="A1:X280"/>
  <sheetViews>
    <sheetView topLeftCell="A52" workbookViewId="0">
      <selection activeCell="M259" sqref="M259"/>
    </sheetView>
  </sheetViews>
  <sheetFormatPr defaultRowHeight="15" x14ac:dyDescent="0.25"/>
  <cols>
    <col min="1" max="1" width="36.85546875" customWidth="1"/>
    <col min="2" max="2" width="29.5703125" customWidth="1"/>
    <col min="3" max="3" width="27.42578125" customWidth="1"/>
    <col min="4" max="4" width="16.42578125" customWidth="1"/>
    <col min="5" max="5" width="15.140625" customWidth="1"/>
    <col min="6" max="6" width="21.85546875" customWidth="1"/>
    <col min="7" max="7" width="17.28515625" customWidth="1"/>
    <col min="8" max="8" width="17.140625" customWidth="1"/>
    <col min="9" max="9" width="19.7109375" customWidth="1"/>
    <col min="10" max="10" width="18.85546875" customWidth="1"/>
    <col min="11" max="11" width="24.85546875" customWidth="1"/>
    <col min="12" max="12" width="13.5703125" customWidth="1"/>
    <col min="13" max="13" width="13.28515625" customWidth="1"/>
    <col min="14" max="14" width="14" customWidth="1"/>
    <col min="15" max="16" width="13.42578125" customWidth="1"/>
    <col min="17" max="17" width="19.5703125" customWidth="1"/>
    <col min="18" max="18" width="14.28515625" customWidth="1"/>
    <col min="19" max="19" width="15.140625" customWidth="1"/>
    <col min="20" max="20" width="17" customWidth="1"/>
    <col min="21" max="21" width="13.42578125" customWidth="1"/>
    <col min="22" max="22" width="14.5703125" customWidth="1"/>
    <col min="23" max="24" width="15.28515625" customWidth="1"/>
  </cols>
  <sheetData>
    <row r="1" spans="1:24" x14ac:dyDescent="0.25">
      <c r="A1" t="s">
        <v>18</v>
      </c>
      <c r="B1" t="s">
        <v>31</v>
      </c>
      <c r="C1" t="s">
        <v>40</v>
      </c>
      <c r="D1" t="s">
        <v>41</v>
      </c>
      <c r="F1" s="47" t="s">
        <v>66</v>
      </c>
      <c r="G1" s="47"/>
      <c r="H1" s="47"/>
      <c r="I1" s="47"/>
    </row>
    <row r="2" spans="1:24" x14ac:dyDescent="0.25">
      <c r="A2" t="s">
        <v>20</v>
      </c>
      <c r="B2" s="2">
        <v>180</v>
      </c>
      <c r="C2" s="2">
        <f>CONVERT($B$2,"grain","g")</f>
        <v>11.6638038</v>
      </c>
      <c r="F2" t="s">
        <v>67</v>
      </c>
      <c r="G2" s="2">
        <v>180</v>
      </c>
      <c r="H2" s="2">
        <f>CONVERT($G$2,"grain","g")</f>
        <v>11.6638038</v>
      </c>
    </row>
    <row r="3" spans="1:24" x14ac:dyDescent="0.25">
      <c r="A3" t="s">
        <v>0</v>
      </c>
      <c r="B3" s="2">
        <v>0.308</v>
      </c>
      <c r="C3" s="2">
        <f>CONVERT($B$3,"in","cm")</f>
        <v>0.78232000000000002</v>
      </c>
      <c r="F3" t="s">
        <v>68</v>
      </c>
      <c r="G3" s="2">
        <v>0.26400000000000001</v>
      </c>
      <c r="H3" s="2">
        <f>CONVERT($G$3,"in","mm")</f>
        <v>6.7055999999999996</v>
      </c>
    </row>
    <row r="4" spans="1:24" x14ac:dyDescent="0.25">
      <c r="A4" t="s">
        <v>11</v>
      </c>
      <c r="B4" s="2">
        <v>0.33</v>
      </c>
      <c r="C4" s="2"/>
      <c r="F4" t="s">
        <v>11</v>
      </c>
      <c r="G4" s="2" t="s">
        <v>69</v>
      </c>
      <c r="H4" s="2"/>
    </row>
    <row r="5" spans="1:24" x14ac:dyDescent="0.25">
      <c r="A5" t="s">
        <v>21</v>
      </c>
      <c r="B5" s="2">
        <v>0.33</v>
      </c>
      <c r="C5" s="2"/>
      <c r="F5" t="s">
        <v>21</v>
      </c>
      <c r="G5" s="2">
        <v>0.33</v>
      </c>
      <c r="H5" s="2"/>
    </row>
    <row r="6" spans="1:24" x14ac:dyDescent="0.25">
      <c r="A6" t="s">
        <v>22</v>
      </c>
      <c r="B6" s="2">
        <v>4401</v>
      </c>
      <c r="C6" s="2">
        <f>CONVERT($B$6,"J","flb")</f>
        <v>3246.011018969245</v>
      </c>
      <c r="F6" t="s">
        <v>70</v>
      </c>
      <c r="G6" s="2">
        <f>CONVERT($H$6,"J","flb")</f>
        <v>3245.8502284528499</v>
      </c>
      <c r="H6" s="2">
        <f>($C$2/1000)*$H$7*$H$7/2</f>
        <v>4400.7819973319502</v>
      </c>
    </row>
    <row r="7" spans="1:24" x14ac:dyDescent="0.25">
      <c r="A7" t="s">
        <v>19</v>
      </c>
      <c r="B7" s="2">
        <f xml:space="preserve"> SQRT(2*$B$6/(CONVERT($B$2,"grain","g")/1000))</f>
        <v>868.7015157456766</v>
      </c>
      <c r="C7" s="2">
        <f>CONVERT($B$7,"m","ft")</f>
        <v>2850.0705897167868</v>
      </c>
      <c r="F7" t="s">
        <v>71</v>
      </c>
      <c r="G7" s="2">
        <v>2850</v>
      </c>
      <c r="H7" s="2">
        <f>CONVERT($G$7,"ft","m")</f>
        <v>868.68</v>
      </c>
    </row>
    <row r="8" spans="1:24" x14ac:dyDescent="0.25">
      <c r="A8" t="s">
        <v>1</v>
      </c>
      <c r="B8" s="2">
        <v>0</v>
      </c>
      <c r="C8" s="2"/>
    </row>
    <row r="9" spans="1:24" x14ac:dyDescent="0.25">
      <c r="A9" t="s">
        <v>2</v>
      </c>
      <c r="B9" s="2">
        <v>5.5</v>
      </c>
      <c r="C9" s="2">
        <f>CONVERT($B$9,"m/sec","km/hr")</f>
        <v>19.8</v>
      </c>
    </row>
    <row r="10" spans="1:24" x14ac:dyDescent="0.25">
      <c r="A10" t="s">
        <v>3</v>
      </c>
      <c r="B10" s="2">
        <v>10</v>
      </c>
      <c r="C10" s="2"/>
    </row>
    <row r="11" spans="1:24" x14ac:dyDescent="0.25">
      <c r="A11" s="32" t="s">
        <v>54</v>
      </c>
      <c r="B11" s="2">
        <v>0.5</v>
      </c>
      <c r="C11" s="33"/>
      <c r="R11" s="47"/>
      <c r="S11" s="47"/>
      <c r="T11" s="47"/>
      <c r="U11" s="47"/>
      <c r="V11" s="47"/>
      <c r="W11" s="47"/>
      <c r="X11" s="47"/>
    </row>
    <row r="12" spans="1:24" x14ac:dyDescent="0.25">
      <c r="A12" s="32" t="s">
        <v>55</v>
      </c>
      <c r="B12" s="2" cm="1">
        <f t="array" ref="B12">MOAToMRAD($B$11)</f>
        <v>0.14544410433286079</v>
      </c>
      <c r="C12" s="33">
        <f>$B$12/2</f>
        <v>7.2722052166430393E-2</v>
      </c>
    </row>
    <row r="13" spans="1:24" x14ac:dyDescent="0.25">
      <c r="A13" s="32" t="s">
        <v>26</v>
      </c>
      <c r="B13" s="2">
        <f>CONVERT(1.5,"in","cm")</f>
        <v>3.81</v>
      </c>
      <c r="D13" s="2">
        <f>CONVERT($B$13,"cm","in")</f>
        <v>1.5</v>
      </c>
      <c r="R13" s="19"/>
      <c r="S13" s="20"/>
      <c r="T13" s="20"/>
      <c r="U13" s="20"/>
      <c r="V13" s="20"/>
      <c r="W13" s="20"/>
      <c r="X13" s="20"/>
    </row>
    <row r="14" spans="1:24" x14ac:dyDescent="0.25">
      <c r="A14" s="32" t="s">
        <v>5</v>
      </c>
      <c r="B14" t="s">
        <v>56</v>
      </c>
      <c r="R14" s="1"/>
      <c r="S14" s="1"/>
      <c r="T14" s="1"/>
      <c r="U14" s="1"/>
      <c r="V14" s="1"/>
      <c r="W14" s="1"/>
      <c r="X14" s="1"/>
    </row>
    <row r="15" spans="1:24" x14ac:dyDescent="0.25">
      <c r="A15" t="s">
        <v>57</v>
      </c>
      <c r="B15" s="31" t="s">
        <v>58</v>
      </c>
      <c r="C15" s="31" t="s">
        <v>59</v>
      </c>
      <c r="D15" s="31" t="s">
        <v>60</v>
      </c>
      <c r="E15" s="31" t="s">
        <v>61</v>
      </c>
      <c r="R15" s="1"/>
      <c r="S15" s="1"/>
      <c r="T15" s="1"/>
      <c r="U15" s="1"/>
      <c r="V15" s="1"/>
      <c r="W15" s="1"/>
      <c r="X15" s="1"/>
    </row>
    <row r="16" spans="1:24" x14ac:dyDescent="0.25">
      <c r="A16" s="32" t="s">
        <v>62</v>
      </c>
      <c r="B16" s="2">
        <v>0.625</v>
      </c>
      <c r="C16">
        <f>$B16/2</f>
        <v>0.3125</v>
      </c>
      <c r="D16" s="2">
        <f>$B$16 * $B$18</f>
        <v>0.36361026083215198</v>
      </c>
      <c r="E16" s="24">
        <f>$D16/2</f>
        <v>0.18180513041607599</v>
      </c>
      <c r="R16" s="1"/>
      <c r="S16" s="1"/>
      <c r="T16" s="1"/>
      <c r="U16" s="1"/>
      <c r="V16" s="1"/>
      <c r="W16" s="1"/>
      <c r="X16" s="1"/>
    </row>
    <row r="17" spans="1:24" x14ac:dyDescent="0.25">
      <c r="A17" s="32" t="s">
        <v>63</v>
      </c>
      <c r="B17" s="2">
        <v>0.25</v>
      </c>
      <c r="C17">
        <f t="shared" ref="C17" si="0">$B17/2</f>
        <v>0.125</v>
      </c>
      <c r="D17" s="2">
        <f>$B$17 * $B$18</f>
        <v>0.14544410433286079</v>
      </c>
      <c r="E17" s="24">
        <f>$D17/2</f>
        <v>7.2722052166430393E-2</v>
      </c>
      <c r="R17" s="1"/>
      <c r="S17" s="1"/>
      <c r="T17" s="1"/>
      <c r="U17" s="1"/>
      <c r="V17" s="1"/>
      <c r="W17" s="1"/>
      <c r="X17" s="1"/>
    </row>
    <row r="18" spans="1:24" x14ac:dyDescent="0.25">
      <c r="A18" s="11" t="s">
        <v>64</v>
      </c>
      <c r="B18" s="12">
        <f>$B$12/$B$17</f>
        <v>0.58177641733144314</v>
      </c>
      <c r="C18" s="2"/>
      <c r="J18" s="2">
        <v>4.5</v>
      </c>
      <c r="K18" s="2">
        <v>4</v>
      </c>
      <c r="L18" s="2">
        <v>4</v>
      </c>
      <c r="M18" s="2">
        <v>4</v>
      </c>
      <c r="N18" s="2">
        <v>4</v>
      </c>
      <c r="O18" s="2">
        <v>4</v>
      </c>
      <c r="P18" s="2">
        <v>4</v>
      </c>
      <c r="R18" s="1"/>
      <c r="S18" s="1"/>
      <c r="T18" s="1"/>
      <c r="U18" s="1"/>
      <c r="V18" s="1"/>
      <c r="W18" s="1"/>
      <c r="X18" s="1"/>
    </row>
    <row r="19" spans="1:24" x14ac:dyDescent="0.25">
      <c r="A19" s="34" t="s">
        <v>65</v>
      </c>
      <c r="B19" s="35"/>
      <c r="C19" s="2">
        <f>$C$17*0.61+$C16*0.39</f>
        <v>0.198125</v>
      </c>
      <c r="D19" s="2"/>
      <c r="E19" s="2" cm="1">
        <f t="array" ref="E19">ProbableAngularPOIError(D17,D16,B12,0.68)</f>
        <v>0.15024454823627703</v>
      </c>
      <c r="J19" s="2"/>
      <c r="K19" s="2"/>
      <c r="L19" s="2"/>
      <c r="M19" s="2"/>
      <c r="N19" s="2"/>
      <c r="O19" s="2"/>
      <c r="P19" s="2"/>
    </row>
    <row r="20" spans="1:24" x14ac:dyDescent="0.25">
      <c r="C20" s="48" t="s">
        <v>24</v>
      </c>
      <c r="D20" s="48"/>
      <c r="E20" s="48"/>
      <c r="F20" s="48"/>
      <c r="G20" s="48"/>
      <c r="H20" s="13"/>
      <c r="I20" s="13"/>
      <c r="J20" s="48" t="s">
        <v>25</v>
      </c>
      <c r="K20" s="48"/>
      <c r="L20" s="48"/>
      <c r="M20" s="48"/>
      <c r="N20" s="48"/>
      <c r="O20" s="13"/>
      <c r="P20" s="13"/>
      <c r="Q20" s="36" t="s">
        <v>29</v>
      </c>
      <c r="R20" s="1"/>
      <c r="S20" s="1"/>
      <c r="T20" s="1"/>
      <c r="U20" s="1"/>
      <c r="V20" s="1"/>
      <c r="W20" s="1"/>
      <c r="X20" s="1"/>
    </row>
    <row r="21" spans="1:24" x14ac:dyDescent="0.25">
      <c r="A21" t="s">
        <v>4</v>
      </c>
      <c r="B21" t="s">
        <v>23</v>
      </c>
      <c r="C21" t="s">
        <v>92</v>
      </c>
      <c r="D21" t="s">
        <v>93</v>
      </c>
      <c r="E21" t="s">
        <v>94</v>
      </c>
      <c r="F21" t="s">
        <v>95</v>
      </c>
      <c r="G21" t="s">
        <v>96</v>
      </c>
      <c r="H21" t="s">
        <v>97</v>
      </c>
      <c r="I21" t="s">
        <v>98</v>
      </c>
      <c r="J21" s="16" t="s">
        <v>92</v>
      </c>
      <c r="K21" s="16" t="s">
        <v>93</v>
      </c>
      <c r="L21" s="16" t="s">
        <v>94</v>
      </c>
      <c r="M21" s="16" t="s">
        <v>95</v>
      </c>
      <c r="N21" s="16" t="s">
        <v>96</v>
      </c>
      <c r="O21" s="16" t="s">
        <v>97</v>
      </c>
      <c r="P21" s="37" t="s">
        <v>98</v>
      </c>
      <c r="Q21" s="36" t="s">
        <v>30</v>
      </c>
      <c r="R21" s="1"/>
      <c r="S21" s="1"/>
      <c r="T21" s="1"/>
      <c r="U21" s="1"/>
      <c r="V21" s="1"/>
      <c r="W21" s="1"/>
      <c r="X21" s="1"/>
    </row>
    <row r="22" spans="1:24" x14ac:dyDescent="0.25">
      <c r="A22" s="1">
        <v>0</v>
      </c>
      <c r="B22" s="1">
        <v>4400.8999999999996</v>
      </c>
      <c r="C22" s="3"/>
      <c r="D22" s="4"/>
      <c r="E22" s="4"/>
      <c r="F22" s="4"/>
      <c r="G22" s="5"/>
      <c r="H22" s="5"/>
      <c r="I22" s="4"/>
      <c r="J22" s="8">
        <f t="shared" ref="J22:P22" si="1">$B$13*(-1)</f>
        <v>-3.81</v>
      </c>
      <c r="K22" s="8">
        <f t="shared" si="1"/>
        <v>-3.81</v>
      </c>
      <c r="L22" s="8">
        <f t="shared" si="1"/>
        <v>-3.81</v>
      </c>
      <c r="M22" s="8">
        <f t="shared" si="1"/>
        <v>-3.81</v>
      </c>
      <c r="N22" s="8">
        <f t="shared" si="1"/>
        <v>-3.81</v>
      </c>
      <c r="O22" s="8">
        <f t="shared" si="1"/>
        <v>-3.81</v>
      </c>
      <c r="P22" s="38">
        <f t="shared" si="1"/>
        <v>-3.81</v>
      </c>
      <c r="Q22" s="39">
        <v>0</v>
      </c>
      <c r="R22" s="1"/>
      <c r="S22" s="1"/>
      <c r="T22" s="1"/>
      <c r="U22" s="1"/>
      <c r="V22" s="1"/>
      <c r="W22" s="1"/>
      <c r="X22" s="21"/>
    </row>
    <row r="23" spans="1:24" x14ac:dyDescent="0.25">
      <c r="A23" s="1">
        <v>25</v>
      </c>
      <c r="B23" s="1">
        <v>4309.8999999999996</v>
      </c>
      <c r="C23" s="6">
        <v>-0.25</v>
      </c>
      <c r="D23" s="6">
        <v>-0.33500000000000002</v>
      </c>
      <c r="E23" s="6">
        <v>-0.32500000000000001</v>
      </c>
      <c r="F23" s="6">
        <v>-0.25</v>
      </c>
      <c r="G23" s="6">
        <v>-8.5000000000000006E-2</v>
      </c>
      <c r="H23" s="6">
        <v>0.16700000000000001</v>
      </c>
      <c r="I23" s="14">
        <v>0.375</v>
      </c>
      <c r="J23" s="9" cm="1">
        <f t="array" ref="J23">TrajectoryDropInCM(C23,$A23,J$18)</f>
        <v>-2.8125011865240381</v>
      </c>
      <c r="K23" s="9" cm="1">
        <f t="array" ref="K23">TrajectoryDropInCM(D23,$A23,K$18)</f>
        <v>-3.3500020050881067</v>
      </c>
      <c r="L23" s="9" cm="1">
        <f t="array" ref="L23">TrajectoryDropInCM(E23,$A23,L$18)</f>
        <v>-3.2500018308345711</v>
      </c>
      <c r="M23" s="9" cm="1">
        <f t="array" ref="M23">TrajectoryDropInCM(F23,$A23,M$18)</f>
        <v>-2.500000833333667</v>
      </c>
      <c r="N23" s="9" cm="1">
        <f t="array" ref="N23">TrajectoryDropInCM(G23,$A23,N$18)</f>
        <v>-0.8500000327533348</v>
      </c>
      <c r="O23" s="9" cm="1">
        <f t="array" ref="O23">TrajectoryDropInCM(H23,$A23,O$18)</f>
        <v>1.6700002483980712</v>
      </c>
      <c r="P23" s="40" cm="1">
        <f t="array" ref="P23">TrajectoryDropInCM(I23,$A23,P$18)</f>
        <v>3.7500028125025313</v>
      </c>
      <c r="Q23" s="39" cm="1">
        <f t="array" ref="Q23">TrajectoryErrorCM($E$19,1,$A23)</f>
        <v>0.37561137059069255</v>
      </c>
      <c r="R23" s="1"/>
      <c r="S23" s="1"/>
      <c r="T23" s="1"/>
      <c r="U23" s="1"/>
      <c r="V23" s="1"/>
      <c r="W23" s="1"/>
      <c r="X23" s="1"/>
    </row>
    <row r="24" spans="1:24" x14ac:dyDescent="0.25">
      <c r="A24" s="1">
        <v>50</v>
      </c>
      <c r="B24" s="1">
        <v>4192.3</v>
      </c>
      <c r="C24" s="7">
        <v>0</v>
      </c>
      <c r="D24" s="6">
        <v>-8.3000000000000004E-2</v>
      </c>
      <c r="E24" s="6">
        <v>-7.4999999999999997E-2</v>
      </c>
      <c r="F24" s="6">
        <v>7.4999999999999997E-2</v>
      </c>
      <c r="G24" s="6">
        <v>0.24</v>
      </c>
      <c r="H24" s="6">
        <v>0.41699999999999998</v>
      </c>
      <c r="I24" s="14">
        <v>0.66700000000000004</v>
      </c>
      <c r="J24" s="9" cm="1">
        <f t="array" ref="J24">TrajectoryDropInCM(C24,$A24,J$18)</f>
        <v>0</v>
      </c>
      <c r="K24" s="9" cm="1">
        <f t="array" ref="K24">TrajectoryDropInCM(D24,$A24,K$18)</f>
        <v>-1.660000060990616</v>
      </c>
      <c r="L24" s="9" cm="1">
        <f t="array" ref="L24">TrajectoryDropInCM(E24,$A24,L$18)</f>
        <v>-1.5000000450000013</v>
      </c>
      <c r="M24" s="9" cm="1">
        <f t="array" ref="M24">TrajectoryDropInCM(F24,$A24,M$18)</f>
        <v>1.5000000450000013</v>
      </c>
      <c r="N24" s="9" cm="1">
        <f t="array" ref="N24">TrajectoryDropInCM(G24,$A24,N$18)</f>
        <v>4.8000014745605428</v>
      </c>
      <c r="O24" s="9" cm="1">
        <f t="array" ref="O24">TrajectoryDropInCM(H24,$A24,O$18)</f>
        <v>8.3400077345913282</v>
      </c>
      <c r="P24" s="40" cm="1">
        <f t="array" ref="P24">TrajectoryDropInCM(I24,$A24,P$18)</f>
        <v>13.34003165245951</v>
      </c>
      <c r="Q24" s="39" cm="1">
        <f t="array" ref="Q24">TrajectoryErrorCM($E$19,1,$A24)</f>
        <v>0.7512227411813851</v>
      </c>
      <c r="R24" s="1"/>
      <c r="S24" s="1"/>
      <c r="T24" s="1"/>
      <c r="U24" s="1"/>
      <c r="V24" s="1"/>
      <c r="W24" s="1"/>
      <c r="X24" s="1"/>
    </row>
    <row r="25" spans="1:24" x14ac:dyDescent="0.25">
      <c r="A25" s="1">
        <v>75</v>
      </c>
      <c r="B25" s="1">
        <v>4078.8</v>
      </c>
      <c r="C25" s="6">
        <v>6.25E-2</v>
      </c>
      <c r="D25" s="6">
        <v>0</v>
      </c>
      <c r="E25" s="6">
        <v>0.05</v>
      </c>
      <c r="F25" s="6">
        <v>0.125</v>
      </c>
      <c r="G25" s="6">
        <v>0.26500000000000001</v>
      </c>
      <c r="H25" s="6">
        <v>0.5</v>
      </c>
      <c r="I25" s="14">
        <v>0.75</v>
      </c>
      <c r="J25" s="9" cm="1">
        <f t="array" ref="J25">TrajectoryDropInCM(C25,$A25,J$18)</f>
        <v>2.1093750556182878</v>
      </c>
      <c r="K25" s="9" cm="1">
        <f t="array" ref="K25">TrajectoryDropInCM(D25,$A25,K$18)</f>
        <v>0</v>
      </c>
      <c r="L25" s="9" cm="1">
        <f t="array" ref="L25">TrajectoryDropInCM(E25,$A25,L$18)</f>
        <v>1.5000000200000003</v>
      </c>
      <c r="M25" s="9" cm="1">
        <f t="array" ref="M25">TrajectoryDropInCM(F25,$A25,M$18)</f>
        <v>3.7500003125000307</v>
      </c>
      <c r="N25" s="9" cm="1">
        <f t="array" ref="N25">TrajectoryDropInCM(G25,$A25,N$18)</f>
        <v>7.950002977541339</v>
      </c>
      <c r="O25" s="9" cm="1">
        <f t="array" ref="O25">TrajectoryDropInCM(H25,$A25,O$18)</f>
        <v>15.000020000031999</v>
      </c>
      <c r="P25" s="40" cm="1">
        <f t="array" ref="P25">TrajectoryDropInCM(I25,$A25,P$18)</f>
        <v>22.500067500243006</v>
      </c>
      <c r="Q25" s="39" cm="1">
        <f t="array" ref="Q25">TrajectoryErrorCM($E$19,1,$A25)</f>
        <v>1.1268341117720777</v>
      </c>
      <c r="R25" s="1"/>
      <c r="S25" s="1"/>
      <c r="T25" s="1"/>
      <c r="U25" s="1"/>
      <c r="V25" s="1"/>
      <c r="W25" s="1"/>
      <c r="X25" s="1"/>
    </row>
    <row r="26" spans="1:24" x14ac:dyDescent="0.25">
      <c r="A26" s="1">
        <v>100</v>
      </c>
      <c r="B26" s="1">
        <v>3969</v>
      </c>
      <c r="C26" s="6">
        <v>0.1</v>
      </c>
      <c r="D26" s="7">
        <v>0</v>
      </c>
      <c r="E26" s="6">
        <v>0.1</v>
      </c>
      <c r="F26" s="6">
        <v>0.125</v>
      </c>
      <c r="G26" s="6">
        <v>0.26500000000000001</v>
      </c>
      <c r="H26" s="6">
        <v>0.5</v>
      </c>
      <c r="I26" s="14">
        <v>0.75</v>
      </c>
      <c r="J26" s="9" cm="1">
        <f t="array" ref="J26">TrajectoryDropInCM(C26,$A26,J$18)</f>
        <v>4.5000003037500242</v>
      </c>
      <c r="K26" s="9" cm="1">
        <f t="array" ref="K26">TrajectoryDropInCM(D26,$A26,K$18)</f>
        <v>0</v>
      </c>
      <c r="L26" s="9" cm="1">
        <f t="array" ref="L26">TrajectoryDropInCM(E26,$A26,L$18)</f>
        <v>4.0000002133333465</v>
      </c>
      <c r="M26" s="9" cm="1">
        <f t="array" ref="M26">TrajectoryDropInCM(F26,$A26,M$18)</f>
        <v>5.0000004166667074</v>
      </c>
      <c r="N26" s="9" cm="1">
        <f t="array" ref="N26">TrajectoryDropInCM(G26,$A26,N$18)</f>
        <v>10.600003970055118</v>
      </c>
      <c r="O26" s="9" cm="1">
        <f t="array" ref="O26">TrajectoryDropInCM(H26,$A26,O$18)</f>
        <v>20.000026666709331</v>
      </c>
      <c r="P26" s="40" cm="1">
        <f t="array" ref="P26">TrajectoryDropInCM(I26,$A26,P$18)</f>
        <v>30.000090000324004</v>
      </c>
      <c r="Q26" s="39" cm="1">
        <f t="array" ref="Q26">TrajectoryErrorCM($E$19,1,$A26)</f>
        <v>1.5024454823627702</v>
      </c>
      <c r="R26" s="1"/>
      <c r="S26" s="1"/>
      <c r="T26" s="1"/>
      <c r="U26" s="1"/>
      <c r="V26" s="1"/>
      <c r="W26" s="1"/>
      <c r="X26" s="1"/>
    </row>
    <row r="27" spans="1:24" x14ac:dyDescent="0.25">
      <c r="A27" s="1">
        <v>125</v>
      </c>
      <c r="B27" s="1">
        <v>3863.1</v>
      </c>
      <c r="C27" s="6">
        <v>8.3000000000000004E-2</v>
      </c>
      <c r="D27" s="6">
        <v>0</v>
      </c>
      <c r="E27" s="6">
        <v>0.05</v>
      </c>
      <c r="F27" s="6">
        <v>0.125</v>
      </c>
      <c r="G27" s="6">
        <v>0.26500000000000001</v>
      </c>
      <c r="H27" s="6">
        <v>0.5</v>
      </c>
      <c r="I27" s="14">
        <v>0.75</v>
      </c>
      <c r="J27" s="9" cm="1">
        <f t="array" ref="J27">TrajectoryDropInCM(C27,$A27,J$18)</f>
        <v>4.6687502171003894</v>
      </c>
      <c r="K27" s="9" cm="1">
        <f t="array" ref="K27">TrajectoryDropInCM(D27,$A27,K$18)</f>
        <v>0</v>
      </c>
      <c r="L27" s="9" cm="1">
        <f t="array" ref="L27">TrajectoryDropInCM(E27,$A27,L$18)</f>
        <v>2.5000000333333343</v>
      </c>
      <c r="M27" s="9" cm="1">
        <f t="array" ref="M27">TrajectoryDropInCM(F27,$A27,M$18)</f>
        <v>6.2500005208333844</v>
      </c>
      <c r="N27" s="9" cm="1">
        <f t="array" ref="N27">TrajectoryDropInCM(G27,$A27,N$18)</f>
        <v>13.250004962568898</v>
      </c>
      <c r="O27" s="9" cm="1">
        <f t="array" ref="O27">TrajectoryDropInCM(H27,$A27,O$18)</f>
        <v>25.000033333386661</v>
      </c>
      <c r="P27" s="40" cm="1">
        <f t="array" ref="P27">TrajectoryDropInCM(I27,$A27,P$18)</f>
        <v>37.500112500405002</v>
      </c>
      <c r="Q27" s="39" cm="1">
        <f t="array" ref="Q27">TrajectoryErrorCM($E$19,1,$A27)</f>
        <v>1.8780568529534629</v>
      </c>
      <c r="R27" s="1"/>
      <c r="S27" s="1"/>
      <c r="T27" s="1"/>
      <c r="U27" s="1"/>
      <c r="V27" s="1"/>
      <c r="W27" s="1"/>
      <c r="X27" s="1"/>
    </row>
    <row r="28" spans="1:24" x14ac:dyDescent="0.25">
      <c r="A28" s="1">
        <v>150</v>
      </c>
      <c r="B28" s="1">
        <v>3760.6</v>
      </c>
      <c r="C28" s="6">
        <v>8.3000000000000004E-2</v>
      </c>
      <c r="D28" s="6">
        <v>-2.5000000000000001E-2</v>
      </c>
      <c r="E28" s="7">
        <v>0</v>
      </c>
      <c r="F28" s="6">
        <v>8.3000000000000004E-2</v>
      </c>
      <c r="G28" s="6">
        <v>0.25</v>
      </c>
      <c r="H28" s="6">
        <v>0.48499999999999999</v>
      </c>
      <c r="I28" s="14">
        <v>0.67500000000000004</v>
      </c>
      <c r="J28" s="9" cm="1">
        <f t="array" ref="J28">TrajectoryDropInCM(C28,$A28,J$18)</f>
        <v>5.6025002605204666</v>
      </c>
      <c r="K28" s="9" cm="1">
        <f t="array" ref="K28">TrajectoryDropInCM(D28,$A28,K$18)</f>
        <v>-1.5000000050000002</v>
      </c>
      <c r="L28" s="9" cm="1">
        <f t="array" ref="L28">TrajectoryDropInCM(E28,$A28,L$18)</f>
        <v>0</v>
      </c>
      <c r="M28" s="9" cm="1">
        <f t="array" ref="M28">TrajectoryDropInCM(F28,$A28,M$18)</f>
        <v>4.9800001829718479</v>
      </c>
      <c r="N28" s="9" cm="1">
        <f t="array" ref="N28">TrajectoryDropInCM(G28,$A28,N$18)</f>
        <v>15.000005000002</v>
      </c>
      <c r="O28" s="9" cm="1">
        <f t="array" ref="O28">TrajectoryDropInCM(H28,$A28,O$18)</f>
        <v>29.100036506974959</v>
      </c>
      <c r="P28" s="40" cm="1">
        <f t="array" ref="P28">TrajectoryDropInCM(I28,$A28,P$18)</f>
        <v>40.500098415286985</v>
      </c>
      <c r="Q28" s="39" cm="1">
        <f t="array" ref="Q28">TrajectoryErrorCM($E$19,1,$A28)</f>
        <v>2.2536682235441554</v>
      </c>
    </row>
    <row r="29" spans="1:24" x14ac:dyDescent="0.25">
      <c r="A29" s="1">
        <v>200</v>
      </c>
      <c r="B29" s="1">
        <v>3550.3</v>
      </c>
      <c r="C29" s="6">
        <v>0</v>
      </c>
      <c r="D29" s="6">
        <v>-0.125</v>
      </c>
      <c r="E29" s="6">
        <v>-6.25E-2</v>
      </c>
      <c r="F29" s="7">
        <v>0</v>
      </c>
      <c r="G29" s="6">
        <v>0.1875</v>
      </c>
      <c r="H29" s="6">
        <v>0.38</v>
      </c>
      <c r="I29" s="14">
        <v>0.625</v>
      </c>
      <c r="J29" s="9" cm="1">
        <f t="array" ref="J29">TrajectoryDropInCM(C29,$A29,J$18)</f>
        <v>0</v>
      </c>
      <c r="K29" s="9" cm="1">
        <f t="array" ref="K29">TrajectoryDropInCM(D29,$A29,K$18)</f>
        <v>-10.000000833333415</v>
      </c>
      <c r="L29" s="9" cm="1">
        <f t="array" ref="L29">TrajectoryDropInCM(E29,$A29,L$18)</f>
        <v>-5.0000001041666682</v>
      </c>
      <c r="M29" s="9" cm="1">
        <f t="array" ref="M29">TrajectoryDropInCM(F29,$A29,M$18)</f>
        <v>0</v>
      </c>
      <c r="N29" s="9" cm="1">
        <f t="array" ref="N29">TrajectoryDropInCM(G29,$A29,N$18)</f>
        <v>15.000002812500634</v>
      </c>
      <c r="O29" s="9" cm="1">
        <f t="array" ref="O29">TrajectoryDropInCM(H29,$A29,O$18)</f>
        <v>30.400023412074972</v>
      </c>
      <c r="P29" s="40" cm="1">
        <f t="array" ref="P29">TrajectoryDropInCM(I29,$A29,P$18)</f>
        <v>50.000104166927088</v>
      </c>
      <c r="Q29" s="39" cm="1">
        <f t="array" ref="Q29">TrajectoryErrorCM($E$19,1,$A29)</f>
        <v>3.0048909647255404</v>
      </c>
    </row>
    <row r="30" spans="1:24" x14ac:dyDescent="0.25">
      <c r="A30" s="1">
        <v>250</v>
      </c>
      <c r="B30" s="1">
        <v>3354.9</v>
      </c>
      <c r="C30" s="6">
        <v>-0.125</v>
      </c>
      <c r="D30" s="6">
        <v>-0.1875</v>
      </c>
      <c r="E30" s="6">
        <v>-0.17499999999999999</v>
      </c>
      <c r="F30" s="6">
        <v>-0.125</v>
      </c>
      <c r="G30" s="6">
        <v>0.125</v>
      </c>
      <c r="H30" s="6">
        <v>0.33300000000000002</v>
      </c>
      <c r="I30" s="14">
        <v>0.5625</v>
      </c>
      <c r="J30" s="9" cm="1">
        <f t="array" ref="J30">TrajectoryDropInCM(C30,$A30,J$18)</f>
        <v>-14.062501483154483</v>
      </c>
      <c r="K30" s="9" cm="1">
        <f t="array" ref="K30">TrajectoryDropInCM(D30,$A30,K$18)</f>
        <v>-18.750003515625792</v>
      </c>
      <c r="L30" s="9" cm="1">
        <f t="array" ref="L30">TrajectoryDropInCM(E30,$A30,L$18)</f>
        <v>-17.500002858333893</v>
      </c>
      <c r="M30" s="9" cm="1">
        <f t="array" ref="M30">TrajectoryDropInCM(F30,$A30,M$18)</f>
        <v>-12.500001041666769</v>
      </c>
      <c r="N30" s="9" cm="1">
        <f t="array" ref="N30">TrajectoryDropInCM(G30,$A30,N$18)</f>
        <v>12.500001041666769</v>
      </c>
      <c r="O30" s="9" cm="1">
        <f t="array" ref="O30">TrajectoryDropInCM(H30,$A30,O$18)</f>
        <v>33.300019693900381</v>
      </c>
      <c r="P30" s="40" cm="1">
        <f t="array" ref="P30">TrajectoryDropInCM(I30,$A30,P$18)</f>
        <v>56.250094922067206</v>
      </c>
      <c r="Q30" s="39" cm="1">
        <f t="array" ref="Q30">TrajectoryErrorCM($E$19,1,$A30)</f>
        <v>3.7561137059069258</v>
      </c>
    </row>
    <row r="31" spans="1:24" x14ac:dyDescent="0.25">
      <c r="A31" s="1">
        <v>300</v>
      </c>
      <c r="B31" s="1">
        <v>3159.5</v>
      </c>
      <c r="C31" s="6">
        <v>-0.1875</v>
      </c>
      <c r="D31" s="6">
        <v>-0.26500000000000001</v>
      </c>
      <c r="E31" s="6">
        <v>-0.25</v>
      </c>
      <c r="F31" s="6">
        <v>-0.1875</v>
      </c>
      <c r="G31" s="7">
        <v>0</v>
      </c>
      <c r="H31" s="17">
        <v>0.24</v>
      </c>
      <c r="I31" s="18">
        <v>0.47499999999999998</v>
      </c>
      <c r="J31" s="9" cm="1">
        <f t="array" ref="J31">TrajectoryDropInCM(C31,$A31,J$18)</f>
        <v>-25.312506006776616</v>
      </c>
      <c r="K31" s="9" cm="1">
        <f t="array" ref="K31">TrajectoryDropInCM(D31,$A31,K$18)</f>
        <v>-31.800011910165356</v>
      </c>
      <c r="L31" s="9" cm="1">
        <f t="array" ref="L31">TrajectoryDropInCM(E31,$A31,L$18)</f>
        <v>-30.000010000004</v>
      </c>
      <c r="M31" s="9" cm="1">
        <f t="array" ref="M31">TrajectoryDropInCM(F31,$A31,M$18)</f>
        <v>-22.500004218750952</v>
      </c>
      <c r="N31" s="9" cm="1">
        <f t="array" ref="N31">TrajectoryDropInCM(G31,$A31,N$18)</f>
        <v>0</v>
      </c>
      <c r="O31" s="9" cm="1">
        <f t="array" ref="O31">TrajectoryDropInCM(H31,$A31,O$18)</f>
        <v>28.800008847363262</v>
      </c>
      <c r="P31" s="40" cm="1">
        <f t="array" ref="P31">TrajectoryDropInCM(I31,$A31,P$18)</f>
        <v>57.00006859009904</v>
      </c>
      <c r="Q31" s="39" cm="1">
        <f t="array" ref="Q31">TrajectoryErrorCM($E$19,1,$A31)</f>
        <v>4.5073364470883108</v>
      </c>
    </row>
    <row r="32" spans="1:24" x14ac:dyDescent="0.25">
      <c r="A32" s="1">
        <v>350</v>
      </c>
      <c r="B32" s="1">
        <v>2990.9</v>
      </c>
      <c r="C32" s="6">
        <v>-0.26250000000000001</v>
      </c>
      <c r="D32" s="6">
        <v>-0.375</v>
      </c>
      <c r="E32" s="6">
        <v>-0.37</v>
      </c>
      <c r="F32" s="6">
        <v>-0.255</v>
      </c>
      <c r="G32" s="6">
        <v>-0.1</v>
      </c>
      <c r="H32" s="6">
        <v>0.125</v>
      </c>
      <c r="I32" s="14">
        <v>0.375</v>
      </c>
      <c r="J32" s="9" cm="1">
        <f t="array" ref="J32">TrajectoryDropInCM(C32,$A32,J$18)</f>
        <v>-41.343769229699461</v>
      </c>
      <c r="K32" s="9" cm="1">
        <f t="array" ref="K32">TrajectoryDropInCM(D32,$A32,K$18)</f>
        <v>-52.500039375035435</v>
      </c>
      <c r="L32" s="9" cm="1">
        <f t="array" ref="L32">TrajectoryDropInCM(E32,$A32,L$18)</f>
        <v>-51.800037820939806</v>
      </c>
      <c r="M32" s="9" cm="1">
        <f t="array" ref="M32">TrajectoryDropInCM(F32,$A32,M$18)</f>
        <v>-35.700012380765159</v>
      </c>
      <c r="N32" s="9" cm="1">
        <f t="array" ref="N32">TrajectoryDropInCM(G32,$A32,N$18)</f>
        <v>-14.000000746666712</v>
      </c>
      <c r="O32" s="9" cm="1">
        <f t="array" ref="O32">TrajectoryDropInCM(H32,$A32,O$18)</f>
        <v>17.500001458333479</v>
      </c>
      <c r="P32" s="40" cm="1">
        <f t="array" ref="P32">TrajectoryDropInCM(I32,$A32,P$18)</f>
        <v>52.500039375035435</v>
      </c>
      <c r="Q32" s="39" cm="1">
        <f t="array" ref="Q32">TrajectoryErrorCM($E$19,1,$A32)</f>
        <v>5.2585591882696958</v>
      </c>
    </row>
    <row r="33" spans="1:17" x14ac:dyDescent="0.25">
      <c r="A33" s="1">
        <v>400</v>
      </c>
      <c r="B33" s="1">
        <v>2822.1</v>
      </c>
      <c r="C33" s="6">
        <v>-0.41699999999999998</v>
      </c>
      <c r="D33" s="6">
        <v>-0.5</v>
      </c>
      <c r="E33" s="6">
        <v>-0.45</v>
      </c>
      <c r="F33" s="6">
        <v>-0.375</v>
      </c>
      <c r="G33" s="6">
        <v>-0.1875</v>
      </c>
      <c r="H33" s="7">
        <v>0</v>
      </c>
      <c r="I33" s="14">
        <v>0.25</v>
      </c>
      <c r="J33" s="9" cm="1">
        <f t="array" ref="J33">TrajectoryDropInCM(C33,$A33,J$18)</f>
        <v>-75.060088101855399</v>
      </c>
      <c r="K33" s="9" cm="1">
        <f t="array" ref="K33">TrajectoryDropInCM(D33,$A33,K$18)</f>
        <v>-80.000106666837326</v>
      </c>
      <c r="L33" s="9" cm="1">
        <f t="array" ref="L33">TrajectoryDropInCM(E33,$A33,L$18)</f>
        <v>-72.000077760100766</v>
      </c>
      <c r="M33" s="9" cm="1">
        <f t="array" ref="M33">TrajectoryDropInCM(F33,$A33,M$18)</f>
        <v>-60.000045000040501</v>
      </c>
      <c r="N33" s="9" cm="1">
        <f t="array" ref="N33">TrajectoryDropInCM(G33,$A33,N$18)</f>
        <v>-30.000005625001268</v>
      </c>
      <c r="O33" s="9" cm="1">
        <f t="array" ref="O33">TrajectoryDropInCM(H33,$A33,O$18)</f>
        <v>0</v>
      </c>
      <c r="P33" s="40" cm="1">
        <f t="array" ref="P33">TrajectoryDropInCM(I33,$A33,P$18)</f>
        <v>40.000013333338671</v>
      </c>
      <c r="Q33" s="39" cm="1">
        <f t="array" ref="Q33">TrajectoryErrorCM($E$19,1,$A33)</f>
        <v>6.0097819294510808</v>
      </c>
    </row>
    <row r="34" spans="1:17" x14ac:dyDescent="0.25">
      <c r="A34" s="1">
        <v>450</v>
      </c>
      <c r="B34" s="1">
        <v>2654.7</v>
      </c>
      <c r="C34" s="6">
        <v>-0.55000000000000004</v>
      </c>
      <c r="D34" s="6">
        <v>-0.625</v>
      </c>
      <c r="E34" s="6">
        <v>-0.58299999999999996</v>
      </c>
      <c r="F34" s="6">
        <v>-0.5</v>
      </c>
      <c r="G34" s="6">
        <v>-0.33300000000000002</v>
      </c>
      <c r="H34" s="6">
        <v>-0.15</v>
      </c>
      <c r="I34" s="14">
        <v>0.125</v>
      </c>
      <c r="J34" s="9" cm="1">
        <f t="array" ref="J34">TrajectoryDropInCM(C34,$A34,J$18)</f>
        <v>-111.37522741438535</v>
      </c>
      <c r="K34" s="9" cm="1">
        <f t="array" ref="K34">TrajectoryDropInCM(D34,$A34,K$18)</f>
        <v>-112.50023437558593</v>
      </c>
      <c r="L34" s="9" cm="1">
        <f t="array" ref="L34">TrajectoryDropInCM(E34,$A34,L$18)</f>
        <v>-104.94019022948933</v>
      </c>
      <c r="M34" s="9" cm="1">
        <f t="array" ref="M34">TrajectoryDropInCM(F34,$A34,M$18)</f>
        <v>-90.000120000191998</v>
      </c>
      <c r="N34" s="9" cm="1">
        <f t="array" ref="N34">TrajectoryDropInCM(G34,$A34,N$18)</f>
        <v>-59.940035449020691</v>
      </c>
      <c r="O34" s="9" cm="1">
        <f t="array" ref="O34">TrajectoryDropInCM(H34,$A34,O$18)</f>
        <v>-27.000003240000463</v>
      </c>
      <c r="P34" s="40" cm="1">
        <f t="array" ref="P34">TrajectoryDropInCM(I34,$A34,P$18)</f>
        <v>22.500001875000187</v>
      </c>
      <c r="Q34" s="39" cm="1">
        <f t="array" ref="Q34">TrajectoryErrorCM($E$19,1,$A34)</f>
        <v>6.7610046706324667</v>
      </c>
    </row>
    <row r="35" spans="1:17" x14ac:dyDescent="0.25">
      <c r="A35" s="1">
        <v>500</v>
      </c>
      <c r="B35" s="1">
        <v>2500.6</v>
      </c>
      <c r="C35" s="6">
        <v>-0.66700000000000004</v>
      </c>
      <c r="D35" s="6">
        <v>-0.75</v>
      </c>
      <c r="E35" s="6">
        <v>-0.6875</v>
      </c>
      <c r="F35" s="6">
        <v>-0.625</v>
      </c>
      <c r="G35" s="6">
        <v>-0.42499999999999999</v>
      </c>
      <c r="H35" s="6">
        <v>-0.25</v>
      </c>
      <c r="I35" s="15">
        <v>0</v>
      </c>
      <c r="J35" s="9" cm="1">
        <f t="array" ref="J35">TrajectoryDropInCM(C35,$A35,J$18)</f>
        <v>-150.07545067696162</v>
      </c>
      <c r="K35" s="9" cm="1">
        <f t="array" ref="K35">TrajectoryDropInCM(D35,$A35,K$18)</f>
        <v>-150.00045000162001</v>
      </c>
      <c r="L35" s="9" cm="1">
        <f t="array" ref="L35">TrajectoryDropInCM(E35,$A35,L$18)</f>
        <v>-137.50034661563183</v>
      </c>
      <c r="M35" s="9" cm="1">
        <f t="array" ref="M35">TrajectoryDropInCM(F35,$A35,M$18)</f>
        <v>-125.0002604173177</v>
      </c>
      <c r="N35" s="9" cm="1">
        <f t="array" ref="N35">TrajectoryDropInCM(G35,$A35,N$18)</f>
        <v>-85.000081883427995</v>
      </c>
      <c r="O35" s="9" cm="1">
        <f t="array" ref="O35">TrajectoryDropInCM(H35,$A35,O$18)</f>
        <v>-50.000016666673339</v>
      </c>
      <c r="P35" s="40" cm="1">
        <f t="array" ref="P35">TrajectoryDropInCM(I35,$A35,P$18)</f>
        <v>0</v>
      </c>
      <c r="Q35" s="39" cm="1">
        <f t="array" ref="Q35">TrajectoryErrorCM($E$19,1,$A35)</f>
        <v>7.5122274118138517</v>
      </c>
    </row>
    <row r="77" spans="1:19" x14ac:dyDescent="0.25">
      <c r="A77" t="s">
        <v>27</v>
      </c>
    </row>
    <row r="78" spans="1:19" x14ac:dyDescent="0.25">
      <c r="A78" t="s">
        <v>85</v>
      </c>
      <c r="K78" t="s">
        <v>72</v>
      </c>
    </row>
    <row r="79" spans="1:19" x14ac:dyDescent="0.25">
      <c r="A79" t="s">
        <v>12</v>
      </c>
      <c r="B79" t="s">
        <v>13</v>
      </c>
      <c r="C79" t="s">
        <v>14</v>
      </c>
      <c r="D79" t="s">
        <v>15</v>
      </c>
      <c r="E79" t="s">
        <v>16</v>
      </c>
      <c r="F79" t="s">
        <v>17</v>
      </c>
      <c r="G79" t="s">
        <v>37</v>
      </c>
      <c r="H79" t="s">
        <v>38</v>
      </c>
      <c r="I79" t="s">
        <v>39</v>
      </c>
      <c r="K79" t="s">
        <v>12</v>
      </c>
      <c r="L79" t="s">
        <v>13</v>
      </c>
      <c r="M79" t="s">
        <v>14</v>
      </c>
      <c r="N79" t="s">
        <v>15</v>
      </c>
      <c r="O79" t="s">
        <v>16</v>
      </c>
      <c r="P79" t="s">
        <v>17</v>
      </c>
      <c r="Q79" t="s">
        <v>37</v>
      </c>
      <c r="R79" t="s">
        <v>38</v>
      </c>
      <c r="S79" t="s">
        <v>39</v>
      </c>
    </row>
    <row r="80" spans="1:19" x14ac:dyDescent="0.25">
      <c r="A80" s="1">
        <v>0</v>
      </c>
      <c r="B80" s="1">
        <v>869</v>
      </c>
      <c r="C80" s="1">
        <v>4402</v>
      </c>
      <c r="D80" s="1">
        <v>-3.8</v>
      </c>
      <c r="E80" s="1">
        <v>0</v>
      </c>
      <c r="F80" s="1">
        <v>0</v>
      </c>
      <c r="G80" s="1">
        <v>0</v>
      </c>
      <c r="H80" s="1">
        <v>0</v>
      </c>
      <c r="I80" s="1">
        <v>0</v>
      </c>
      <c r="J80" s="1"/>
      <c r="K80" s="1">
        <v>0</v>
      </c>
      <c r="L80" s="1">
        <v>869</v>
      </c>
      <c r="M80" s="1">
        <v>4402</v>
      </c>
      <c r="N80" s="1">
        <v>-3.8</v>
      </c>
      <c r="O80" s="1">
        <v>0</v>
      </c>
      <c r="P80" s="1">
        <v>0</v>
      </c>
      <c r="Q80" s="1">
        <v>0</v>
      </c>
      <c r="R80" s="1">
        <v>0</v>
      </c>
      <c r="S80" s="1">
        <v>0</v>
      </c>
    </row>
    <row r="81" spans="1:19" x14ac:dyDescent="0.25">
      <c r="A81" s="1">
        <v>25</v>
      </c>
      <c r="B81" s="1">
        <v>845</v>
      </c>
      <c r="C81" s="1">
        <v>4166</v>
      </c>
      <c r="D81" s="1">
        <v>-1.5</v>
      </c>
      <c r="E81" s="1">
        <v>2.1</v>
      </c>
      <c r="F81" s="1">
        <v>0.6</v>
      </c>
      <c r="G81" s="1">
        <v>0</v>
      </c>
      <c r="H81" s="1">
        <v>0</v>
      </c>
      <c r="I81" s="1">
        <v>0</v>
      </c>
      <c r="J81" s="1"/>
      <c r="K81" s="1">
        <v>25</v>
      </c>
      <c r="L81" s="1">
        <v>857</v>
      </c>
      <c r="M81" s="1">
        <v>4283</v>
      </c>
      <c r="N81" s="1">
        <v>-1.5</v>
      </c>
      <c r="O81" s="1">
        <v>2.1</v>
      </c>
      <c r="P81" s="1">
        <v>0.6</v>
      </c>
      <c r="Q81" s="1">
        <v>0</v>
      </c>
      <c r="R81" s="1">
        <v>0</v>
      </c>
      <c r="S81" s="1">
        <v>0</v>
      </c>
    </row>
    <row r="82" spans="1:19" x14ac:dyDescent="0.25">
      <c r="A82" s="10">
        <v>50</v>
      </c>
      <c r="B82" s="10">
        <v>822</v>
      </c>
      <c r="C82" s="10">
        <v>3943</v>
      </c>
      <c r="D82" s="10">
        <v>0</v>
      </c>
      <c r="E82" s="10">
        <v>0</v>
      </c>
      <c r="F82" s="10">
        <v>0</v>
      </c>
      <c r="G82" s="1">
        <v>0</v>
      </c>
      <c r="H82" s="10">
        <v>0</v>
      </c>
      <c r="I82" s="10">
        <v>0</v>
      </c>
      <c r="J82" s="10"/>
      <c r="K82" s="10">
        <v>50</v>
      </c>
      <c r="L82" s="10">
        <v>845</v>
      </c>
      <c r="M82" s="10">
        <v>4168</v>
      </c>
      <c r="N82" s="1">
        <v>0</v>
      </c>
      <c r="O82" s="1">
        <v>0</v>
      </c>
      <c r="P82" s="1">
        <v>0</v>
      </c>
      <c r="Q82" s="1">
        <v>0</v>
      </c>
      <c r="R82" s="1">
        <v>0</v>
      </c>
      <c r="S82" s="1">
        <v>0</v>
      </c>
    </row>
    <row r="83" spans="1:19" x14ac:dyDescent="0.25">
      <c r="A83" s="1">
        <v>75</v>
      </c>
      <c r="B83" s="1">
        <v>800</v>
      </c>
      <c r="C83" s="1">
        <v>3729</v>
      </c>
      <c r="D83" s="1">
        <v>0.5</v>
      </c>
      <c r="E83" s="1">
        <v>-0.2</v>
      </c>
      <c r="F83" s="1">
        <v>-0.1</v>
      </c>
      <c r="G83" s="1">
        <v>-1</v>
      </c>
      <c r="H83" s="1">
        <v>0</v>
      </c>
      <c r="I83" s="1">
        <v>0</v>
      </c>
      <c r="J83" s="1"/>
      <c r="K83" s="1">
        <v>75</v>
      </c>
      <c r="L83" s="1">
        <v>834</v>
      </c>
      <c r="M83" s="1">
        <v>4055</v>
      </c>
      <c r="N83" s="1">
        <v>0.6</v>
      </c>
      <c r="O83" s="1">
        <v>-0.3</v>
      </c>
      <c r="P83" s="1">
        <v>-0.1</v>
      </c>
      <c r="Q83" s="1">
        <v>0</v>
      </c>
      <c r="R83" s="1">
        <v>0</v>
      </c>
      <c r="S83" s="1">
        <v>0</v>
      </c>
    </row>
    <row r="84" spans="1:19" x14ac:dyDescent="0.25">
      <c r="A84" s="1">
        <v>100</v>
      </c>
      <c r="B84" s="1">
        <v>777</v>
      </c>
      <c r="C84" s="1">
        <v>3524</v>
      </c>
      <c r="D84" s="1">
        <v>0.1</v>
      </c>
      <c r="E84" s="1">
        <v>0</v>
      </c>
      <c r="F84" s="1">
        <v>0</v>
      </c>
      <c r="G84" s="1">
        <v>-2</v>
      </c>
      <c r="H84" s="1">
        <v>-1</v>
      </c>
      <c r="I84" s="1">
        <v>0</v>
      </c>
      <c r="J84" s="1"/>
      <c r="K84" s="1">
        <v>100</v>
      </c>
      <c r="L84" s="1">
        <v>822</v>
      </c>
      <c r="M84" s="1">
        <v>3944</v>
      </c>
      <c r="N84" s="1">
        <v>0.3</v>
      </c>
      <c r="O84" s="1">
        <v>-0.1</v>
      </c>
      <c r="P84" s="1">
        <v>0</v>
      </c>
      <c r="Q84" s="1">
        <v>0</v>
      </c>
      <c r="R84" s="1">
        <v>0</v>
      </c>
      <c r="S84" s="1">
        <v>0</v>
      </c>
    </row>
    <row r="85" spans="1:19" x14ac:dyDescent="0.25">
      <c r="A85" s="1">
        <v>125</v>
      </c>
      <c r="B85" s="1">
        <v>755</v>
      </c>
      <c r="C85" s="1">
        <v>3329</v>
      </c>
      <c r="D85" s="1">
        <v>-1.4</v>
      </c>
      <c r="E85" s="1">
        <v>0.4</v>
      </c>
      <c r="F85" s="1">
        <v>0.1</v>
      </c>
      <c r="G85" s="1">
        <v>-3</v>
      </c>
      <c r="H85" s="1">
        <v>-1</v>
      </c>
      <c r="I85" s="1">
        <v>0</v>
      </c>
      <c r="J85" s="1"/>
      <c r="K85" s="1">
        <v>125</v>
      </c>
      <c r="L85" s="1">
        <v>811</v>
      </c>
      <c r="M85" s="1">
        <v>3836</v>
      </c>
      <c r="N85" s="1">
        <v>-0.9</v>
      </c>
      <c r="O85" s="1">
        <v>0.2</v>
      </c>
      <c r="P85" s="1">
        <v>0.1</v>
      </c>
      <c r="Q85" s="1">
        <v>0</v>
      </c>
      <c r="R85" s="1">
        <v>0</v>
      </c>
      <c r="S85" s="1">
        <v>0</v>
      </c>
    </row>
    <row r="86" spans="1:19" x14ac:dyDescent="0.25">
      <c r="A86" s="1">
        <v>150</v>
      </c>
      <c r="B86" s="1">
        <v>734</v>
      </c>
      <c r="C86" s="1">
        <v>3142</v>
      </c>
      <c r="D86" s="1">
        <v>-3.9</v>
      </c>
      <c r="E86" s="1">
        <v>0.9</v>
      </c>
      <c r="F86" s="1">
        <v>0.3</v>
      </c>
      <c r="G86" s="1">
        <v>-4</v>
      </c>
      <c r="H86" s="1">
        <v>-1</v>
      </c>
      <c r="I86" s="1">
        <v>0</v>
      </c>
      <c r="J86" s="1"/>
      <c r="K86" s="1">
        <v>150</v>
      </c>
      <c r="L86" s="1">
        <v>800</v>
      </c>
      <c r="M86" s="1">
        <v>3730</v>
      </c>
      <c r="N86" s="1">
        <v>-3</v>
      </c>
      <c r="O86" s="1">
        <v>0.7</v>
      </c>
      <c r="P86" s="1">
        <v>0.2</v>
      </c>
      <c r="Q86" s="1">
        <v>0</v>
      </c>
      <c r="R86" s="1">
        <v>0</v>
      </c>
      <c r="S86" s="1">
        <v>0</v>
      </c>
    </row>
    <row r="87" spans="1:19" x14ac:dyDescent="0.25">
      <c r="A87" s="1">
        <v>175</v>
      </c>
      <c r="B87" s="1">
        <v>713</v>
      </c>
      <c r="C87" s="1">
        <v>2963</v>
      </c>
      <c r="D87" s="1">
        <v>-7.6</v>
      </c>
      <c r="E87" s="1">
        <v>1.5</v>
      </c>
      <c r="F87" s="1">
        <v>0.4</v>
      </c>
      <c r="G87" s="1">
        <v>-5</v>
      </c>
      <c r="H87" s="1">
        <v>-1</v>
      </c>
      <c r="I87" s="1">
        <v>0</v>
      </c>
      <c r="J87" s="1"/>
      <c r="K87" s="1">
        <v>175</v>
      </c>
      <c r="L87" s="1">
        <v>788</v>
      </c>
      <c r="M87" s="1">
        <v>3626</v>
      </c>
      <c r="N87" s="1">
        <v>-6.1</v>
      </c>
      <c r="O87" s="1">
        <v>1.2</v>
      </c>
      <c r="P87" s="1">
        <v>0.3</v>
      </c>
      <c r="Q87" s="1">
        <v>0</v>
      </c>
      <c r="R87" s="1">
        <v>0</v>
      </c>
      <c r="S87" s="1">
        <v>0</v>
      </c>
    </row>
    <row r="88" spans="1:19" x14ac:dyDescent="0.25">
      <c r="A88" s="1">
        <v>200</v>
      </c>
      <c r="B88" s="1">
        <v>692</v>
      </c>
      <c r="C88" s="1">
        <v>2792</v>
      </c>
      <c r="D88" s="1">
        <v>-12.7</v>
      </c>
      <c r="E88" s="1">
        <v>2.2000000000000002</v>
      </c>
      <c r="F88" s="1">
        <v>0.6</v>
      </c>
      <c r="G88" s="1">
        <v>-7</v>
      </c>
      <c r="H88" s="1">
        <v>-1</v>
      </c>
      <c r="I88" s="1">
        <v>0</v>
      </c>
      <c r="J88" s="1"/>
      <c r="K88" s="1">
        <v>200</v>
      </c>
      <c r="L88" s="1">
        <v>777</v>
      </c>
      <c r="M88" s="1">
        <v>3525</v>
      </c>
      <c r="N88" s="1">
        <v>-10.3</v>
      </c>
      <c r="O88" s="1">
        <v>1.8</v>
      </c>
      <c r="P88" s="1">
        <v>0.5</v>
      </c>
      <c r="Q88" s="1">
        <v>0</v>
      </c>
      <c r="R88" s="1">
        <v>0</v>
      </c>
      <c r="S88" s="1">
        <v>0</v>
      </c>
    </row>
    <row r="89" spans="1:19" x14ac:dyDescent="0.25">
      <c r="A89" s="1">
        <v>225</v>
      </c>
      <c r="B89" s="1">
        <v>671</v>
      </c>
      <c r="C89" s="1">
        <v>2629</v>
      </c>
      <c r="D89" s="1">
        <v>-19</v>
      </c>
      <c r="E89" s="1">
        <v>2.9</v>
      </c>
      <c r="F89" s="1">
        <v>0.8</v>
      </c>
      <c r="G89" s="1">
        <v>-9</v>
      </c>
      <c r="H89" s="1">
        <v>-2</v>
      </c>
      <c r="I89" s="1">
        <v>0</v>
      </c>
      <c r="J89" s="1"/>
      <c r="K89" s="1">
        <v>225</v>
      </c>
      <c r="L89" s="1">
        <v>766</v>
      </c>
      <c r="M89" s="1">
        <v>3425</v>
      </c>
      <c r="N89" s="1">
        <v>-15.4</v>
      </c>
      <c r="O89" s="1">
        <v>2.4</v>
      </c>
      <c r="P89" s="1">
        <v>0.7</v>
      </c>
      <c r="Q89" s="1">
        <v>0</v>
      </c>
      <c r="R89" s="1">
        <v>0</v>
      </c>
      <c r="S89" s="1">
        <v>0</v>
      </c>
    </row>
    <row r="90" spans="1:19" x14ac:dyDescent="0.25">
      <c r="A90" s="1">
        <v>250</v>
      </c>
      <c r="B90" s="1">
        <v>651</v>
      </c>
      <c r="C90" s="1">
        <v>2473</v>
      </c>
      <c r="D90" s="1">
        <v>-26.7</v>
      </c>
      <c r="E90" s="1">
        <v>3.7</v>
      </c>
      <c r="F90" s="1">
        <v>1.1000000000000001</v>
      </c>
      <c r="G90" s="1">
        <v>-11</v>
      </c>
      <c r="H90" s="1">
        <v>-2</v>
      </c>
      <c r="I90" s="1">
        <v>0</v>
      </c>
      <c r="J90" s="1"/>
      <c r="K90" s="1">
        <v>250</v>
      </c>
      <c r="L90" s="1">
        <v>755</v>
      </c>
      <c r="M90" s="1">
        <v>3328</v>
      </c>
      <c r="N90" s="1">
        <v>-21.5</v>
      </c>
      <c r="O90" s="1">
        <v>3</v>
      </c>
      <c r="P90" s="1">
        <v>0.9</v>
      </c>
      <c r="Q90" s="1">
        <v>0</v>
      </c>
      <c r="R90" s="1">
        <v>0</v>
      </c>
      <c r="S90" s="1">
        <v>0</v>
      </c>
    </row>
    <row r="91" spans="1:19" x14ac:dyDescent="0.25">
      <c r="A91" s="1">
        <v>275</v>
      </c>
      <c r="B91" s="1">
        <v>631</v>
      </c>
      <c r="C91" s="1">
        <v>2325</v>
      </c>
      <c r="D91" s="1">
        <v>-36.200000000000003</v>
      </c>
      <c r="E91" s="1">
        <v>4.5</v>
      </c>
      <c r="F91" s="1">
        <v>1.3</v>
      </c>
      <c r="G91" s="1">
        <v>-14</v>
      </c>
      <c r="H91" s="1">
        <v>-2</v>
      </c>
      <c r="I91" s="1">
        <v>-1</v>
      </c>
      <c r="J91" s="1"/>
      <c r="K91" s="1">
        <v>275</v>
      </c>
      <c r="L91" s="1">
        <v>745</v>
      </c>
      <c r="M91" s="1">
        <v>3233</v>
      </c>
      <c r="N91" s="1">
        <v>-29</v>
      </c>
      <c r="O91" s="1">
        <v>3.6</v>
      </c>
      <c r="P91" s="1">
        <v>1.1000000000000001</v>
      </c>
      <c r="Q91" s="1">
        <v>0</v>
      </c>
      <c r="R91" s="1">
        <v>0</v>
      </c>
      <c r="S91" s="1">
        <v>0</v>
      </c>
    </row>
    <row r="92" spans="1:19" x14ac:dyDescent="0.25">
      <c r="A92" s="1">
        <v>300</v>
      </c>
      <c r="B92" s="1">
        <v>612</v>
      </c>
      <c r="C92" s="1">
        <v>2184</v>
      </c>
      <c r="D92" s="1">
        <v>-47</v>
      </c>
      <c r="E92" s="1">
        <v>5.4</v>
      </c>
      <c r="F92" s="1">
        <v>1.6</v>
      </c>
      <c r="G92" s="1">
        <v>-17</v>
      </c>
      <c r="H92" s="1">
        <v>-2</v>
      </c>
      <c r="I92" s="1">
        <v>-1</v>
      </c>
      <c r="J92" s="1"/>
      <c r="K92" s="1">
        <v>300</v>
      </c>
      <c r="L92" s="1">
        <v>734</v>
      </c>
      <c r="M92" s="1">
        <v>3140</v>
      </c>
      <c r="N92" s="1">
        <v>-37.4</v>
      </c>
      <c r="O92" s="1">
        <v>4.3</v>
      </c>
      <c r="P92" s="1">
        <v>1.2</v>
      </c>
      <c r="Q92" s="1">
        <v>0</v>
      </c>
      <c r="R92" s="1">
        <v>0</v>
      </c>
      <c r="S92" s="1">
        <v>0</v>
      </c>
    </row>
    <row r="93" spans="1:19" x14ac:dyDescent="0.25">
      <c r="A93" s="1">
        <v>325</v>
      </c>
      <c r="B93" s="1">
        <v>593</v>
      </c>
      <c r="C93" s="1">
        <v>2050</v>
      </c>
      <c r="D93" s="1">
        <v>-59.6</v>
      </c>
      <c r="E93" s="1">
        <v>6.3</v>
      </c>
      <c r="F93" s="1">
        <v>1.8</v>
      </c>
      <c r="G93" s="1">
        <v>-20</v>
      </c>
      <c r="H93" s="1">
        <v>-2</v>
      </c>
      <c r="I93" s="1">
        <v>-1</v>
      </c>
      <c r="J93" s="1"/>
      <c r="K93" s="1">
        <v>325</v>
      </c>
      <c r="L93" s="1">
        <v>723</v>
      </c>
      <c r="M93" s="1">
        <v>3049</v>
      </c>
      <c r="N93" s="1">
        <v>-46.9</v>
      </c>
      <c r="O93" s="1">
        <v>5</v>
      </c>
      <c r="P93" s="1">
        <v>1.4</v>
      </c>
      <c r="Q93" s="1">
        <v>0</v>
      </c>
      <c r="R93" s="1">
        <v>0</v>
      </c>
      <c r="S93" s="1">
        <v>0</v>
      </c>
    </row>
    <row r="94" spans="1:19" x14ac:dyDescent="0.25">
      <c r="A94" s="1">
        <v>350</v>
      </c>
      <c r="B94" s="1">
        <v>574</v>
      </c>
      <c r="C94" s="1">
        <v>1923</v>
      </c>
      <c r="D94" s="1">
        <v>-74.5</v>
      </c>
      <c r="E94" s="1">
        <v>7.3</v>
      </c>
      <c r="F94" s="1">
        <v>2.1</v>
      </c>
      <c r="G94" s="1">
        <v>-24</v>
      </c>
      <c r="H94" s="1">
        <v>-2</v>
      </c>
      <c r="I94" s="1">
        <v>-1</v>
      </c>
      <c r="J94" s="1"/>
      <c r="K94" s="1">
        <v>350</v>
      </c>
      <c r="L94" s="1">
        <v>712</v>
      </c>
      <c r="M94" s="1">
        <v>2960</v>
      </c>
      <c r="N94" s="1">
        <v>-58</v>
      </c>
      <c r="O94" s="1">
        <v>5.7</v>
      </c>
      <c r="P94" s="1">
        <v>1.7</v>
      </c>
      <c r="Q94" s="1">
        <v>0</v>
      </c>
      <c r="R94" s="1">
        <v>0</v>
      </c>
      <c r="S94" s="1">
        <v>0</v>
      </c>
    </row>
    <row r="95" spans="1:19" x14ac:dyDescent="0.25">
      <c r="A95" s="1">
        <v>375</v>
      </c>
      <c r="B95" s="1">
        <v>556</v>
      </c>
      <c r="C95" s="1">
        <v>1803</v>
      </c>
      <c r="D95" s="1">
        <v>-90.9</v>
      </c>
      <c r="E95" s="1">
        <v>8.3000000000000007</v>
      </c>
      <c r="F95" s="1">
        <v>2.4</v>
      </c>
      <c r="G95" s="1">
        <v>-27</v>
      </c>
      <c r="H95" s="1">
        <v>-3</v>
      </c>
      <c r="I95" s="1">
        <v>-1</v>
      </c>
      <c r="J95" s="1"/>
      <c r="K95" s="1">
        <v>375</v>
      </c>
      <c r="L95" s="1">
        <v>702</v>
      </c>
      <c r="M95" s="1">
        <v>2874</v>
      </c>
      <c r="N95" s="1">
        <v>-70</v>
      </c>
      <c r="O95" s="1">
        <v>6.4</v>
      </c>
      <c r="P95" s="1">
        <v>1.9</v>
      </c>
      <c r="Q95" s="1">
        <v>0</v>
      </c>
      <c r="R95" s="1">
        <v>0</v>
      </c>
      <c r="S95" s="1">
        <v>0</v>
      </c>
    </row>
    <row r="96" spans="1:19" x14ac:dyDescent="0.25">
      <c r="A96" s="1">
        <v>400</v>
      </c>
      <c r="B96" s="1">
        <v>538</v>
      </c>
      <c r="C96" s="1">
        <v>1689</v>
      </c>
      <c r="D96" s="1">
        <v>-109.5</v>
      </c>
      <c r="E96" s="1">
        <v>9.4</v>
      </c>
      <c r="F96" s="1">
        <v>2.7</v>
      </c>
      <c r="G96" s="1">
        <v>-32</v>
      </c>
      <c r="H96" s="1">
        <v>-3</v>
      </c>
      <c r="I96" s="1">
        <v>-1</v>
      </c>
      <c r="J96" s="1"/>
      <c r="K96" s="1">
        <v>400</v>
      </c>
      <c r="L96" s="1">
        <v>691</v>
      </c>
      <c r="M96" s="1">
        <v>2789</v>
      </c>
      <c r="N96" s="1">
        <v>-83.2</v>
      </c>
      <c r="O96" s="1">
        <v>7.2</v>
      </c>
      <c r="P96" s="1">
        <v>2.1</v>
      </c>
      <c r="Q96" s="1">
        <v>0</v>
      </c>
      <c r="R96" s="1">
        <v>0</v>
      </c>
      <c r="S96" s="1">
        <v>0</v>
      </c>
    </row>
    <row r="97" spans="1:19" x14ac:dyDescent="0.25">
      <c r="A97" s="1">
        <v>425</v>
      </c>
      <c r="B97" s="1">
        <v>521</v>
      </c>
      <c r="C97" s="1">
        <v>1581</v>
      </c>
      <c r="D97" s="1">
        <v>-131.1</v>
      </c>
      <c r="E97" s="1">
        <v>10.6</v>
      </c>
      <c r="F97" s="1">
        <v>3.1</v>
      </c>
      <c r="G97" s="1">
        <v>-36</v>
      </c>
      <c r="H97" s="1">
        <v>-3</v>
      </c>
      <c r="I97" s="1">
        <v>-1</v>
      </c>
      <c r="J97" s="1"/>
      <c r="K97" s="1">
        <v>425</v>
      </c>
      <c r="L97" s="1">
        <v>681</v>
      </c>
      <c r="M97" s="1">
        <v>2706</v>
      </c>
      <c r="N97" s="1">
        <v>-98.4</v>
      </c>
      <c r="O97" s="1">
        <v>8</v>
      </c>
      <c r="P97" s="1">
        <v>2.2999999999999998</v>
      </c>
      <c r="Q97" s="1">
        <v>0</v>
      </c>
      <c r="R97" s="1">
        <v>0</v>
      </c>
      <c r="S97" s="1">
        <v>0</v>
      </c>
    </row>
    <row r="98" spans="1:19" x14ac:dyDescent="0.25">
      <c r="A98" s="1">
        <v>450</v>
      </c>
      <c r="B98" s="1">
        <v>504</v>
      </c>
      <c r="C98" s="1">
        <v>1480</v>
      </c>
      <c r="D98" s="1">
        <v>-154.5</v>
      </c>
      <c r="E98" s="1">
        <v>11.8</v>
      </c>
      <c r="F98" s="1">
        <v>3.4</v>
      </c>
      <c r="G98" s="1">
        <v>-41</v>
      </c>
      <c r="H98" s="1">
        <v>-4</v>
      </c>
      <c r="I98" s="1">
        <v>-1</v>
      </c>
      <c r="J98" s="1"/>
      <c r="K98" s="1">
        <v>450</v>
      </c>
      <c r="L98" s="1">
        <v>671</v>
      </c>
      <c r="M98" s="1">
        <v>2625</v>
      </c>
      <c r="N98" s="1">
        <v>-114.3</v>
      </c>
      <c r="O98" s="1">
        <v>8.6999999999999993</v>
      </c>
      <c r="P98" s="1">
        <v>2.5</v>
      </c>
      <c r="Q98" s="1">
        <v>0</v>
      </c>
      <c r="R98" s="1">
        <v>0</v>
      </c>
      <c r="S98" s="1">
        <v>0</v>
      </c>
    </row>
    <row r="99" spans="1:19" x14ac:dyDescent="0.25">
      <c r="A99" s="1">
        <v>475</v>
      </c>
      <c r="B99" s="1">
        <v>487</v>
      </c>
      <c r="C99" s="1">
        <v>1385</v>
      </c>
      <c r="D99" s="1">
        <v>-180.5</v>
      </c>
      <c r="E99" s="1">
        <v>13.1</v>
      </c>
      <c r="F99" s="1">
        <v>3.8</v>
      </c>
      <c r="G99" s="1">
        <v>-47</v>
      </c>
      <c r="H99" s="1">
        <v>-4</v>
      </c>
      <c r="I99" s="1">
        <v>-1</v>
      </c>
      <c r="J99" s="1"/>
      <c r="K99" s="1">
        <v>475</v>
      </c>
      <c r="L99" s="1">
        <v>661</v>
      </c>
      <c r="M99" s="1">
        <v>2545</v>
      </c>
      <c r="N99" s="1">
        <v>-131.69999999999999</v>
      </c>
      <c r="O99" s="1">
        <v>9.5</v>
      </c>
      <c r="P99" s="1">
        <v>2.8</v>
      </c>
      <c r="Q99" s="1">
        <v>0</v>
      </c>
      <c r="R99" s="1">
        <v>0</v>
      </c>
      <c r="S99" s="1">
        <v>0</v>
      </c>
    </row>
    <row r="100" spans="1:19" x14ac:dyDescent="0.25">
      <c r="A100" s="1">
        <v>500</v>
      </c>
      <c r="B100" s="1">
        <v>472</v>
      </c>
      <c r="C100" s="1">
        <v>1299</v>
      </c>
      <c r="D100" s="1">
        <v>-209.3</v>
      </c>
      <c r="E100" s="1">
        <v>14.4</v>
      </c>
      <c r="F100" s="1">
        <v>4.2</v>
      </c>
      <c r="G100" s="1">
        <v>-52</v>
      </c>
      <c r="H100" s="1">
        <v>-4</v>
      </c>
      <c r="I100" s="1">
        <v>-1</v>
      </c>
      <c r="J100" s="1"/>
      <c r="K100" s="1">
        <v>500</v>
      </c>
      <c r="L100" s="1">
        <v>651</v>
      </c>
      <c r="M100" s="1">
        <v>2471</v>
      </c>
      <c r="N100" s="1">
        <v>-150.5</v>
      </c>
      <c r="O100" s="1">
        <v>10.4</v>
      </c>
      <c r="P100" s="1">
        <v>3</v>
      </c>
      <c r="Q100" s="1">
        <v>0</v>
      </c>
      <c r="R100" s="1">
        <v>0</v>
      </c>
      <c r="S100" s="1">
        <v>0</v>
      </c>
    </row>
    <row r="102" spans="1:19" x14ac:dyDescent="0.25">
      <c r="A102" t="s">
        <v>86</v>
      </c>
      <c r="K102" t="s">
        <v>73</v>
      </c>
    </row>
    <row r="103" spans="1:19" x14ac:dyDescent="0.25">
      <c r="A103" t="s">
        <v>12</v>
      </c>
      <c r="B103" t="s">
        <v>13</v>
      </c>
      <c r="C103" t="s">
        <v>14</v>
      </c>
      <c r="D103" t="s">
        <v>15</v>
      </c>
      <c r="E103" t="s">
        <v>16</v>
      </c>
      <c r="F103" t="s">
        <v>17</v>
      </c>
      <c r="G103" t="s">
        <v>37</v>
      </c>
      <c r="H103" t="s">
        <v>38</v>
      </c>
      <c r="I103" t="s">
        <v>39</v>
      </c>
      <c r="K103" t="s">
        <v>12</v>
      </c>
      <c r="L103" t="s">
        <v>13</v>
      </c>
      <c r="M103" t="s">
        <v>14</v>
      </c>
      <c r="N103" t="s">
        <v>15</v>
      </c>
      <c r="O103" t="s">
        <v>16</v>
      </c>
      <c r="P103" t="s">
        <v>17</v>
      </c>
      <c r="Q103" t="s">
        <v>37</v>
      </c>
      <c r="R103" t="s">
        <v>38</v>
      </c>
      <c r="S103" t="s">
        <v>39</v>
      </c>
    </row>
    <row r="104" spans="1:19" x14ac:dyDescent="0.25">
      <c r="A104" s="1">
        <v>0</v>
      </c>
      <c r="B104" s="1">
        <v>869</v>
      </c>
      <c r="C104" s="1">
        <v>4402</v>
      </c>
      <c r="D104" s="1">
        <v>-3.8</v>
      </c>
      <c r="E104" s="1">
        <v>0</v>
      </c>
      <c r="F104" s="1">
        <v>0</v>
      </c>
      <c r="G104">
        <v>0</v>
      </c>
      <c r="H104">
        <v>0</v>
      </c>
      <c r="I104">
        <v>0</v>
      </c>
      <c r="K104" s="1">
        <v>0</v>
      </c>
      <c r="L104" s="1">
        <v>869</v>
      </c>
      <c r="M104" s="1">
        <v>4402</v>
      </c>
      <c r="N104" s="1">
        <v>-3.8</v>
      </c>
      <c r="O104" s="1">
        <v>0</v>
      </c>
      <c r="P104" s="1">
        <v>0</v>
      </c>
      <c r="Q104" s="1">
        <v>0</v>
      </c>
      <c r="R104" s="1">
        <v>0</v>
      </c>
      <c r="S104" s="1">
        <v>0</v>
      </c>
    </row>
    <row r="105" spans="1:19" x14ac:dyDescent="0.25">
      <c r="A105" s="1">
        <v>25</v>
      </c>
      <c r="B105" s="1">
        <v>845</v>
      </c>
      <c r="C105" s="1">
        <v>4166</v>
      </c>
      <c r="D105" s="1">
        <v>-1.5</v>
      </c>
      <c r="E105" s="1">
        <v>2.1</v>
      </c>
      <c r="F105" s="1">
        <v>0.6</v>
      </c>
      <c r="G105">
        <v>0</v>
      </c>
      <c r="H105">
        <v>0</v>
      </c>
      <c r="I105">
        <v>0</v>
      </c>
      <c r="K105" s="1">
        <v>25</v>
      </c>
      <c r="L105" s="1">
        <v>857</v>
      </c>
      <c r="M105" s="1">
        <v>4283</v>
      </c>
      <c r="N105" s="1">
        <v>-1.6</v>
      </c>
      <c r="O105" s="1">
        <v>2.2000000000000002</v>
      </c>
      <c r="P105" s="1">
        <v>0.6</v>
      </c>
      <c r="Q105" s="1">
        <v>0</v>
      </c>
      <c r="R105" s="1">
        <v>0</v>
      </c>
      <c r="S105" s="1">
        <v>0</v>
      </c>
    </row>
    <row r="106" spans="1:19" x14ac:dyDescent="0.25">
      <c r="A106" s="1">
        <v>50</v>
      </c>
      <c r="B106" s="1">
        <v>822</v>
      </c>
      <c r="C106" s="1">
        <v>3943</v>
      </c>
      <c r="D106" s="1">
        <v>-0.1</v>
      </c>
      <c r="E106" s="1">
        <v>0</v>
      </c>
      <c r="F106" s="1">
        <v>0</v>
      </c>
      <c r="G106">
        <v>0</v>
      </c>
      <c r="H106">
        <v>0</v>
      </c>
      <c r="I106">
        <v>0</v>
      </c>
      <c r="K106" s="1">
        <v>50</v>
      </c>
      <c r="L106" s="1">
        <v>845</v>
      </c>
      <c r="M106" s="1">
        <v>4168</v>
      </c>
      <c r="N106" s="1">
        <v>-0.2</v>
      </c>
      <c r="O106" s="1">
        <v>0.1</v>
      </c>
      <c r="P106" s="1">
        <v>0</v>
      </c>
      <c r="Q106" s="1">
        <v>0</v>
      </c>
      <c r="R106" s="1">
        <v>0</v>
      </c>
      <c r="S106" s="1">
        <v>0</v>
      </c>
    </row>
    <row r="107" spans="1:19" x14ac:dyDescent="0.25">
      <c r="A107" s="1">
        <v>75</v>
      </c>
      <c r="B107" s="1">
        <v>800</v>
      </c>
      <c r="C107" s="1">
        <v>3729</v>
      </c>
      <c r="D107" s="1">
        <v>0.5</v>
      </c>
      <c r="E107" s="1">
        <v>-0.2</v>
      </c>
      <c r="F107" s="1">
        <v>-0.1</v>
      </c>
      <c r="G107">
        <v>-1</v>
      </c>
      <c r="H107">
        <v>0</v>
      </c>
      <c r="I107">
        <v>0</v>
      </c>
      <c r="K107" s="1">
        <v>75</v>
      </c>
      <c r="L107" s="1">
        <v>834</v>
      </c>
      <c r="M107" s="1">
        <v>4055</v>
      </c>
      <c r="N107" s="1">
        <v>0.3</v>
      </c>
      <c r="O107" s="1">
        <v>-0.2</v>
      </c>
      <c r="P107" s="1">
        <v>0</v>
      </c>
      <c r="Q107" s="1">
        <v>0</v>
      </c>
      <c r="R107" s="1">
        <v>0</v>
      </c>
      <c r="S107" s="1">
        <v>0</v>
      </c>
    </row>
    <row r="108" spans="1:19" x14ac:dyDescent="0.25">
      <c r="A108" s="10">
        <v>100</v>
      </c>
      <c r="B108" s="10">
        <v>777</v>
      </c>
      <c r="C108" s="10">
        <v>3524</v>
      </c>
      <c r="D108" s="10">
        <v>0</v>
      </c>
      <c r="E108" s="10">
        <v>0</v>
      </c>
      <c r="F108" s="10">
        <v>0</v>
      </c>
      <c r="G108">
        <v>-2</v>
      </c>
      <c r="H108">
        <v>-1</v>
      </c>
      <c r="I108">
        <v>0</v>
      </c>
      <c r="K108" s="1">
        <v>100</v>
      </c>
      <c r="L108" s="1">
        <v>822</v>
      </c>
      <c r="M108" s="1">
        <v>3944</v>
      </c>
      <c r="N108" s="1">
        <v>0</v>
      </c>
      <c r="O108" s="1">
        <v>0</v>
      </c>
      <c r="P108" s="1">
        <v>0</v>
      </c>
      <c r="Q108" s="1">
        <v>0</v>
      </c>
      <c r="R108" s="1">
        <v>0</v>
      </c>
      <c r="S108" s="1">
        <v>0</v>
      </c>
    </row>
    <row r="109" spans="1:19" x14ac:dyDescent="0.25">
      <c r="A109" s="1">
        <v>125</v>
      </c>
      <c r="B109" s="1">
        <v>755</v>
      </c>
      <c r="C109" s="1">
        <v>3329</v>
      </c>
      <c r="D109" s="1">
        <v>-1.5</v>
      </c>
      <c r="E109" s="1">
        <v>0.4</v>
      </c>
      <c r="F109" s="1">
        <v>0.1</v>
      </c>
      <c r="G109">
        <v>-3</v>
      </c>
      <c r="H109">
        <v>-1</v>
      </c>
      <c r="I109">
        <v>0</v>
      </c>
      <c r="K109" s="1">
        <v>125</v>
      </c>
      <c r="L109" s="1">
        <v>811</v>
      </c>
      <c r="M109" s="1">
        <v>3836</v>
      </c>
      <c r="N109" s="1">
        <v>-1.3</v>
      </c>
      <c r="O109" s="1">
        <v>0.4</v>
      </c>
      <c r="P109" s="1">
        <v>0.1</v>
      </c>
      <c r="Q109" s="1">
        <v>0</v>
      </c>
      <c r="R109" s="1">
        <v>0</v>
      </c>
      <c r="S109" s="1">
        <v>0</v>
      </c>
    </row>
    <row r="110" spans="1:19" x14ac:dyDescent="0.25">
      <c r="A110" s="1">
        <v>150</v>
      </c>
      <c r="B110" s="1">
        <v>734</v>
      </c>
      <c r="C110" s="1">
        <v>3142</v>
      </c>
      <c r="D110" s="1">
        <v>-4.0999999999999996</v>
      </c>
      <c r="E110" s="1">
        <v>0.9</v>
      </c>
      <c r="F110" s="1">
        <v>0.3</v>
      </c>
      <c r="G110">
        <v>-4</v>
      </c>
      <c r="H110">
        <v>-1</v>
      </c>
      <c r="I110">
        <v>0</v>
      </c>
      <c r="K110" s="1">
        <v>150</v>
      </c>
      <c r="L110" s="1">
        <v>800</v>
      </c>
      <c r="M110" s="1">
        <v>3730</v>
      </c>
      <c r="N110" s="1">
        <v>-3.5</v>
      </c>
      <c r="O110" s="1">
        <v>0.8</v>
      </c>
      <c r="P110" s="1">
        <v>0.2</v>
      </c>
      <c r="Q110" s="1">
        <v>0</v>
      </c>
      <c r="R110" s="1">
        <v>0</v>
      </c>
      <c r="S110" s="1">
        <v>0</v>
      </c>
    </row>
    <row r="111" spans="1:19" x14ac:dyDescent="0.25">
      <c r="A111" s="1">
        <v>175</v>
      </c>
      <c r="B111" s="1">
        <v>713</v>
      </c>
      <c r="C111" s="1">
        <v>2963</v>
      </c>
      <c r="D111" s="1">
        <v>-7.8</v>
      </c>
      <c r="E111" s="1">
        <v>1.5</v>
      </c>
      <c r="F111" s="1">
        <v>0.4</v>
      </c>
      <c r="G111">
        <v>-5</v>
      </c>
      <c r="H111">
        <v>-1</v>
      </c>
      <c r="I111">
        <v>0</v>
      </c>
      <c r="K111" s="1">
        <v>175</v>
      </c>
      <c r="L111" s="1">
        <v>788</v>
      </c>
      <c r="M111" s="1">
        <v>3626</v>
      </c>
      <c r="N111" s="1">
        <v>-6.7</v>
      </c>
      <c r="O111" s="1">
        <v>1.3</v>
      </c>
      <c r="P111" s="1">
        <v>0.4</v>
      </c>
      <c r="Q111" s="1">
        <v>0</v>
      </c>
      <c r="R111" s="1">
        <v>0</v>
      </c>
      <c r="S111" s="1">
        <v>0</v>
      </c>
    </row>
    <row r="112" spans="1:19" x14ac:dyDescent="0.25">
      <c r="A112" s="1">
        <v>200</v>
      </c>
      <c r="B112" s="1">
        <v>692</v>
      </c>
      <c r="C112" s="1">
        <v>2792</v>
      </c>
      <c r="D112" s="1">
        <v>-13</v>
      </c>
      <c r="E112" s="1">
        <v>2.2000000000000002</v>
      </c>
      <c r="F112" s="1">
        <v>0.6</v>
      </c>
      <c r="G112">
        <v>-7</v>
      </c>
      <c r="H112">
        <v>-1</v>
      </c>
      <c r="I112">
        <v>0</v>
      </c>
      <c r="K112" s="1">
        <v>200</v>
      </c>
      <c r="L112" s="1">
        <v>777</v>
      </c>
      <c r="M112" s="1">
        <v>3525</v>
      </c>
      <c r="N112" s="1">
        <v>-11</v>
      </c>
      <c r="O112" s="1">
        <v>1.9</v>
      </c>
      <c r="P112" s="1">
        <v>0.5</v>
      </c>
      <c r="Q112" s="1">
        <v>0</v>
      </c>
      <c r="R112" s="1">
        <v>0</v>
      </c>
      <c r="S112" s="1">
        <v>0</v>
      </c>
    </row>
    <row r="113" spans="1:19" x14ac:dyDescent="0.25">
      <c r="A113" s="1">
        <v>225</v>
      </c>
      <c r="B113" s="1">
        <v>671</v>
      </c>
      <c r="C113" s="1">
        <v>2629</v>
      </c>
      <c r="D113" s="1">
        <v>-19.3</v>
      </c>
      <c r="E113" s="1">
        <v>2.9</v>
      </c>
      <c r="F113" s="1">
        <v>0.9</v>
      </c>
      <c r="G113">
        <v>-9</v>
      </c>
      <c r="H113">
        <v>-2</v>
      </c>
      <c r="I113">
        <v>0</v>
      </c>
      <c r="K113" s="1">
        <v>225</v>
      </c>
      <c r="L113" s="1">
        <v>766</v>
      </c>
      <c r="M113" s="1">
        <v>3425</v>
      </c>
      <c r="N113" s="1">
        <v>-16.100000000000001</v>
      </c>
      <c r="O113" s="1">
        <v>2.5</v>
      </c>
      <c r="P113" s="1">
        <v>0.7</v>
      </c>
      <c r="Q113" s="1">
        <v>0</v>
      </c>
      <c r="R113" s="1">
        <v>0</v>
      </c>
      <c r="S113" s="1">
        <v>0</v>
      </c>
    </row>
    <row r="114" spans="1:19" x14ac:dyDescent="0.25">
      <c r="A114" s="1">
        <v>250</v>
      </c>
      <c r="B114" s="1">
        <v>651</v>
      </c>
      <c r="C114" s="1">
        <v>2473</v>
      </c>
      <c r="D114" s="1">
        <v>-27</v>
      </c>
      <c r="E114" s="1">
        <v>3.7</v>
      </c>
      <c r="F114" s="1">
        <v>1.1000000000000001</v>
      </c>
      <c r="G114">
        <v>-11</v>
      </c>
      <c r="H114">
        <v>-2</v>
      </c>
      <c r="I114">
        <v>0</v>
      </c>
      <c r="K114" s="1">
        <v>250</v>
      </c>
      <c r="L114" s="1">
        <v>755</v>
      </c>
      <c r="M114" s="1">
        <v>3328</v>
      </c>
      <c r="N114" s="1">
        <v>-22.4</v>
      </c>
      <c r="O114" s="1">
        <v>3.1</v>
      </c>
      <c r="P114" s="1">
        <v>0.9</v>
      </c>
      <c r="Q114" s="1">
        <v>0</v>
      </c>
      <c r="R114" s="1">
        <v>0</v>
      </c>
      <c r="S114" s="1">
        <v>0</v>
      </c>
    </row>
    <row r="115" spans="1:19" x14ac:dyDescent="0.25">
      <c r="A115" s="1">
        <v>275</v>
      </c>
      <c r="B115" s="1">
        <v>631</v>
      </c>
      <c r="C115" s="1">
        <v>2325</v>
      </c>
      <c r="D115" s="1">
        <v>-36.5</v>
      </c>
      <c r="E115" s="1">
        <v>4.5999999999999996</v>
      </c>
      <c r="F115" s="1">
        <v>1.3</v>
      </c>
      <c r="G115">
        <v>-14</v>
      </c>
      <c r="H115">
        <v>-2</v>
      </c>
      <c r="I115">
        <v>-1</v>
      </c>
      <c r="K115" s="1">
        <v>275</v>
      </c>
      <c r="L115" s="1">
        <v>745</v>
      </c>
      <c r="M115" s="1">
        <v>3233</v>
      </c>
      <c r="N115" s="1">
        <v>-30</v>
      </c>
      <c r="O115" s="1">
        <v>3.7</v>
      </c>
      <c r="P115" s="1">
        <v>1.1000000000000001</v>
      </c>
      <c r="Q115" s="1">
        <v>0</v>
      </c>
      <c r="R115" s="1">
        <v>0</v>
      </c>
      <c r="S115" s="1">
        <v>0</v>
      </c>
    </row>
    <row r="116" spans="1:19" x14ac:dyDescent="0.25">
      <c r="A116" s="1">
        <v>300</v>
      </c>
      <c r="B116" s="1">
        <v>612</v>
      </c>
      <c r="C116" s="1">
        <v>2184</v>
      </c>
      <c r="D116" s="1">
        <v>-47.4</v>
      </c>
      <c r="E116" s="1">
        <v>5.4</v>
      </c>
      <c r="F116" s="1">
        <v>1.6</v>
      </c>
      <c r="G116">
        <v>-17</v>
      </c>
      <c r="H116">
        <v>-2</v>
      </c>
      <c r="I116">
        <v>-1</v>
      </c>
      <c r="K116" s="1">
        <v>300</v>
      </c>
      <c r="L116" s="1">
        <v>734</v>
      </c>
      <c r="M116" s="1">
        <v>3140</v>
      </c>
      <c r="N116" s="1">
        <v>-38.4</v>
      </c>
      <c r="O116" s="1">
        <v>4.4000000000000004</v>
      </c>
      <c r="P116" s="1">
        <v>1.3</v>
      </c>
      <c r="Q116" s="1">
        <v>0</v>
      </c>
      <c r="R116" s="1">
        <v>0</v>
      </c>
      <c r="S116" s="1">
        <v>0</v>
      </c>
    </row>
    <row r="117" spans="1:19" x14ac:dyDescent="0.25">
      <c r="A117" s="1">
        <v>325</v>
      </c>
      <c r="B117" s="1">
        <v>593</v>
      </c>
      <c r="C117" s="1">
        <v>2050</v>
      </c>
      <c r="D117" s="1">
        <v>-59.9</v>
      </c>
      <c r="E117" s="1">
        <v>6.3</v>
      </c>
      <c r="F117" s="1">
        <v>1.8</v>
      </c>
      <c r="G117">
        <v>-20</v>
      </c>
      <c r="H117">
        <v>-2</v>
      </c>
      <c r="I117">
        <v>-1</v>
      </c>
      <c r="K117" s="1">
        <v>325</v>
      </c>
      <c r="L117" s="1">
        <v>723</v>
      </c>
      <c r="M117" s="1">
        <v>3049</v>
      </c>
      <c r="N117" s="1">
        <v>-48</v>
      </c>
      <c r="O117" s="1">
        <v>5.0999999999999996</v>
      </c>
      <c r="P117" s="1">
        <v>1.5</v>
      </c>
      <c r="Q117" s="1">
        <v>0</v>
      </c>
      <c r="R117" s="1">
        <v>0</v>
      </c>
      <c r="S117" s="1">
        <v>0</v>
      </c>
    </row>
    <row r="118" spans="1:19" x14ac:dyDescent="0.25">
      <c r="A118" s="1">
        <v>350</v>
      </c>
      <c r="B118" s="1">
        <v>574</v>
      </c>
      <c r="C118" s="1">
        <v>1923</v>
      </c>
      <c r="D118" s="1">
        <v>-74.900000000000006</v>
      </c>
      <c r="E118" s="1">
        <v>7.3</v>
      </c>
      <c r="F118" s="1">
        <v>2.1</v>
      </c>
      <c r="G118">
        <v>-24</v>
      </c>
      <c r="H118">
        <v>-2</v>
      </c>
      <c r="I118">
        <v>-1</v>
      </c>
      <c r="K118" s="1">
        <v>350</v>
      </c>
      <c r="L118" s="1">
        <v>712</v>
      </c>
      <c r="M118" s="1">
        <v>2960</v>
      </c>
      <c r="N118" s="1">
        <v>-59.2</v>
      </c>
      <c r="O118" s="1">
        <v>5.8</v>
      </c>
      <c r="P118" s="1">
        <v>1.7</v>
      </c>
      <c r="Q118" s="1">
        <v>0</v>
      </c>
      <c r="R118" s="1">
        <v>0</v>
      </c>
      <c r="S118" s="1">
        <v>0</v>
      </c>
    </row>
    <row r="119" spans="1:19" x14ac:dyDescent="0.25">
      <c r="A119" s="1">
        <v>375</v>
      </c>
      <c r="B119" s="1">
        <v>556</v>
      </c>
      <c r="C119" s="1">
        <v>1803</v>
      </c>
      <c r="D119" s="1">
        <v>-91.3</v>
      </c>
      <c r="E119" s="1">
        <v>8.4</v>
      </c>
      <c r="F119" s="1">
        <v>2.4</v>
      </c>
      <c r="G119">
        <v>-27</v>
      </c>
      <c r="H119">
        <v>-3</v>
      </c>
      <c r="I119">
        <v>-1</v>
      </c>
      <c r="K119" s="1">
        <v>375</v>
      </c>
      <c r="L119" s="1">
        <v>702</v>
      </c>
      <c r="M119" s="1">
        <v>2874</v>
      </c>
      <c r="N119" s="1">
        <v>-71.3</v>
      </c>
      <c r="O119" s="1">
        <v>6.5</v>
      </c>
      <c r="P119" s="1">
        <v>1.9</v>
      </c>
      <c r="Q119" s="1">
        <v>0</v>
      </c>
      <c r="R119" s="1">
        <v>0</v>
      </c>
      <c r="S119" s="1">
        <v>0</v>
      </c>
    </row>
    <row r="120" spans="1:19" x14ac:dyDescent="0.25">
      <c r="A120" s="1">
        <v>400</v>
      </c>
      <c r="B120" s="1">
        <v>538</v>
      </c>
      <c r="C120" s="1">
        <v>1689</v>
      </c>
      <c r="D120" s="1">
        <v>-109.9</v>
      </c>
      <c r="E120" s="1">
        <v>9.5</v>
      </c>
      <c r="F120" s="1">
        <v>2.8</v>
      </c>
      <c r="G120">
        <v>-32</v>
      </c>
      <c r="H120">
        <v>-3</v>
      </c>
      <c r="I120">
        <v>-1</v>
      </c>
      <c r="K120" s="1">
        <v>400</v>
      </c>
      <c r="L120" s="1">
        <v>691</v>
      </c>
      <c r="M120" s="1">
        <v>2789</v>
      </c>
      <c r="N120" s="1">
        <v>-84.6</v>
      </c>
      <c r="O120" s="1">
        <v>7.3</v>
      </c>
      <c r="P120" s="1">
        <v>2.1</v>
      </c>
      <c r="Q120" s="1">
        <v>0</v>
      </c>
      <c r="R120" s="1">
        <v>0</v>
      </c>
      <c r="S120" s="1">
        <v>0</v>
      </c>
    </row>
    <row r="121" spans="1:19" x14ac:dyDescent="0.25">
      <c r="A121" s="1">
        <v>425</v>
      </c>
      <c r="B121" s="1">
        <v>521</v>
      </c>
      <c r="C121" s="1">
        <v>1581</v>
      </c>
      <c r="D121" s="1">
        <v>-131.6</v>
      </c>
      <c r="E121" s="1">
        <v>10.6</v>
      </c>
      <c r="F121" s="1">
        <v>3.1</v>
      </c>
      <c r="G121">
        <v>-36</v>
      </c>
      <c r="H121">
        <v>-3</v>
      </c>
      <c r="I121">
        <v>-1</v>
      </c>
      <c r="K121" s="1">
        <v>425</v>
      </c>
      <c r="L121" s="1">
        <v>681</v>
      </c>
      <c r="M121" s="1">
        <v>2706</v>
      </c>
      <c r="N121" s="1">
        <v>-99.8</v>
      </c>
      <c r="O121" s="1">
        <v>8.1</v>
      </c>
      <c r="P121" s="1">
        <v>2.2999999999999998</v>
      </c>
      <c r="Q121" s="1">
        <v>0</v>
      </c>
      <c r="R121" s="1">
        <v>0</v>
      </c>
      <c r="S121" s="1">
        <v>0</v>
      </c>
    </row>
    <row r="122" spans="1:19" x14ac:dyDescent="0.25">
      <c r="A122" s="1">
        <v>450</v>
      </c>
      <c r="B122" s="1">
        <v>504</v>
      </c>
      <c r="C122" s="1">
        <v>1480</v>
      </c>
      <c r="D122" s="1">
        <v>-155</v>
      </c>
      <c r="E122" s="1">
        <v>11.8</v>
      </c>
      <c r="F122" s="1">
        <v>3.4</v>
      </c>
      <c r="G122">
        <v>-41</v>
      </c>
      <c r="H122">
        <v>-4</v>
      </c>
      <c r="I122">
        <v>-1</v>
      </c>
      <c r="K122" s="1">
        <v>450</v>
      </c>
      <c r="L122" s="1">
        <v>671</v>
      </c>
      <c r="M122" s="1">
        <v>2625</v>
      </c>
      <c r="N122" s="1">
        <v>-115.8</v>
      </c>
      <c r="O122" s="1">
        <v>8.8000000000000007</v>
      </c>
      <c r="P122" s="1">
        <v>2.6</v>
      </c>
      <c r="Q122" s="1">
        <v>0</v>
      </c>
      <c r="R122" s="1">
        <v>0</v>
      </c>
      <c r="S122" s="1">
        <v>0</v>
      </c>
    </row>
    <row r="123" spans="1:19" x14ac:dyDescent="0.25">
      <c r="A123" s="1">
        <v>475</v>
      </c>
      <c r="B123" s="1">
        <v>487</v>
      </c>
      <c r="C123" s="1">
        <v>1385</v>
      </c>
      <c r="D123" s="1">
        <v>-181</v>
      </c>
      <c r="E123" s="1">
        <v>13.1</v>
      </c>
      <c r="F123" s="1">
        <v>3.8</v>
      </c>
      <c r="G123">
        <v>-47</v>
      </c>
      <c r="H123">
        <v>-4</v>
      </c>
      <c r="I123">
        <v>-1</v>
      </c>
      <c r="K123" s="1">
        <v>475</v>
      </c>
      <c r="L123" s="1">
        <v>661</v>
      </c>
      <c r="M123" s="1">
        <v>2545</v>
      </c>
      <c r="N123" s="1">
        <v>-133.30000000000001</v>
      </c>
      <c r="O123" s="1">
        <v>9.6999999999999993</v>
      </c>
      <c r="P123" s="1">
        <v>2.8</v>
      </c>
      <c r="Q123" s="1">
        <v>0</v>
      </c>
      <c r="R123" s="1">
        <v>0</v>
      </c>
      <c r="S123" s="1">
        <v>0</v>
      </c>
    </row>
    <row r="124" spans="1:19" x14ac:dyDescent="0.25">
      <c r="A124" s="1">
        <v>500</v>
      </c>
      <c r="B124" s="1">
        <v>472</v>
      </c>
      <c r="C124" s="1">
        <v>1299</v>
      </c>
      <c r="D124" s="1">
        <v>-209.9</v>
      </c>
      <c r="E124" s="1">
        <v>14.4</v>
      </c>
      <c r="F124" s="1">
        <v>4.2</v>
      </c>
      <c r="G124">
        <v>-52</v>
      </c>
      <c r="H124">
        <v>-4</v>
      </c>
      <c r="I124">
        <v>-1</v>
      </c>
      <c r="K124" s="1">
        <v>500</v>
      </c>
      <c r="L124" s="1">
        <v>651</v>
      </c>
      <c r="M124" s="1">
        <v>2471</v>
      </c>
      <c r="N124" s="1">
        <v>-152.1</v>
      </c>
      <c r="O124" s="1">
        <v>10.5</v>
      </c>
      <c r="P124" s="1">
        <v>3</v>
      </c>
      <c r="Q124" s="1">
        <v>0</v>
      </c>
      <c r="R124" s="1">
        <v>0</v>
      </c>
      <c r="S124" s="1">
        <v>0</v>
      </c>
    </row>
    <row r="126" spans="1:19" x14ac:dyDescent="0.25">
      <c r="A126" t="s">
        <v>87</v>
      </c>
      <c r="K126" t="s">
        <v>74</v>
      </c>
    </row>
    <row r="127" spans="1:19" x14ac:dyDescent="0.25">
      <c r="A127" t="s">
        <v>12</v>
      </c>
      <c r="B127" t="s">
        <v>13</v>
      </c>
      <c r="C127" t="s">
        <v>14</v>
      </c>
      <c r="D127" t="s">
        <v>15</v>
      </c>
      <c r="E127" t="s">
        <v>16</v>
      </c>
      <c r="F127" t="s">
        <v>17</v>
      </c>
      <c r="G127" t="s">
        <v>37</v>
      </c>
      <c r="H127" t="s">
        <v>38</v>
      </c>
      <c r="I127" t="s">
        <v>39</v>
      </c>
      <c r="K127" t="s">
        <v>12</v>
      </c>
      <c r="L127" t="s">
        <v>13</v>
      </c>
      <c r="M127" t="s">
        <v>14</v>
      </c>
      <c r="N127" t="s">
        <v>15</v>
      </c>
      <c r="O127" t="s">
        <v>16</v>
      </c>
      <c r="P127" t="s">
        <v>17</v>
      </c>
      <c r="Q127" t="s">
        <v>37</v>
      </c>
      <c r="R127" t="s">
        <v>38</v>
      </c>
      <c r="S127" t="s">
        <v>39</v>
      </c>
    </row>
    <row r="128" spans="1:19" x14ac:dyDescent="0.25">
      <c r="A128" s="1">
        <v>0</v>
      </c>
      <c r="B128" s="1">
        <v>869</v>
      </c>
      <c r="C128" s="1">
        <v>4402</v>
      </c>
      <c r="D128" s="1">
        <v>-3.8</v>
      </c>
      <c r="E128" s="1">
        <v>0</v>
      </c>
      <c r="F128" s="1">
        <v>0</v>
      </c>
      <c r="G128">
        <v>0</v>
      </c>
      <c r="H128">
        <v>0</v>
      </c>
      <c r="I128">
        <v>0</v>
      </c>
      <c r="K128" s="1">
        <v>0</v>
      </c>
      <c r="L128" s="1">
        <v>869</v>
      </c>
      <c r="M128" s="1">
        <v>4402</v>
      </c>
      <c r="N128" s="1">
        <v>-3.8</v>
      </c>
      <c r="O128" s="1">
        <v>0</v>
      </c>
      <c r="P128" s="1">
        <v>0</v>
      </c>
      <c r="Q128" s="1">
        <v>0</v>
      </c>
      <c r="R128" s="1">
        <v>0</v>
      </c>
      <c r="S128" s="1">
        <v>0</v>
      </c>
    </row>
    <row r="129" spans="1:19" x14ac:dyDescent="0.25">
      <c r="A129" s="1">
        <v>25</v>
      </c>
      <c r="B129" s="1">
        <v>845</v>
      </c>
      <c r="C129" s="1">
        <v>4166</v>
      </c>
      <c r="D129" s="1">
        <v>-0.8</v>
      </c>
      <c r="E129" s="1">
        <v>1.2</v>
      </c>
      <c r="F129" s="1">
        <v>0.3</v>
      </c>
      <c r="G129">
        <v>0</v>
      </c>
      <c r="H129">
        <v>0</v>
      </c>
      <c r="I129">
        <v>0</v>
      </c>
      <c r="K129" s="1">
        <v>25</v>
      </c>
      <c r="L129" s="1">
        <v>857</v>
      </c>
      <c r="M129" s="1">
        <v>4283</v>
      </c>
      <c r="N129" s="1">
        <v>-1</v>
      </c>
      <c r="O129" s="1">
        <v>1.4</v>
      </c>
      <c r="P129" s="1">
        <v>0.4</v>
      </c>
      <c r="Q129" s="1">
        <v>0</v>
      </c>
      <c r="R129" s="1">
        <v>0</v>
      </c>
      <c r="S129" s="1">
        <v>0</v>
      </c>
    </row>
    <row r="130" spans="1:19" x14ac:dyDescent="0.25">
      <c r="A130" s="1">
        <v>50</v>
      </c>
      <c r="B130" s="1">
        <v>822</v>
      </c>
      <c r="C130" s="1">
        <v>3943</v>
      </c>
      <c r="D130" s="1">
        <v>1.3</v>
      </c>
      <c r="E130" s="1">
        <v>-0.9</v>
      </c>
      <c r="F130" s="1">
        <v>-0.3</v>
      </c>
      <c r="G130">
        <v>0</v>
      </c>
      <c r="H130">
        <v>0</v>
      </c>
      <c r="I130">
        <v>0</v>
      </c>
      <c r="K130" s="1">
        <v>50</v>
      </c>
      <c r="L130" s="1">
        <v>845</v>
      </c>
      <c r="M130" s="1">
        <v>4168</v>
      </c>
      <c r="N130" s="1">
        <v>1</v>
      </c>
      <c r="O130" s="1">
        <v>-0.7</v>
      </c>
      <c r="P130" s="1">
        <v>-0.2</v>
      </c>
      <c r="Q130" s="1">
        <v>0</v>
      </c>
      <c r="R130" s="1">
        <v>0</v>
      </c>
      <c r="S130" s="1">
        <v>0</v>
      </c>
    </row>
    <row r="131" spans="1:19" x14ac:dyDescent="0.25">
      <c r="A131" s="1">
        <v>75</v>
      </c>
      <c r="B131" s="1">
        <v>800</v>
      </c>
      <c r="C131" s="1">
        <v>3729</v>
      </c>
      <c r="D131" s="1">
        <v>2.5</v>
      </c>
      <c r="E131" s="1">
        <v>-1.2</v>
      </c>
      <c r="F131" s="1">
        <v>-0.3</v>
      </c>
      <c r="G131">
        <v>-1</v>
      </c>
      <c r="H131">
        <v>0</v>
      </c>
      <c r="I131">
        <v>0</v>
      </c>
      <c r="K131" s="1">
        <v>75</v>
      </c>
      <c r="L131" s="1">
        <v>834</v>
      </c>
      <c r="M131" s="1">
        <v>4055</v>
      </c>
      <c r="N131" s="1">
        <v>2.1</v>
      </c>
      <c r="O131" s="1">
        <v>-1</v>
      </c>
      <c r="P131" s="1">
        <v>-0.3</v>
      </c>
      <c r="Q131" s="1">
        <v>0</v>
      </c>
      <c r="R131" s="1">
        <v>0</v>
      </c>
      <c r="S131" s="1">
        <v>0</v>
      </c>
    </row>
    <row r="132" spans="1:19" x14ac:dyDescent="0.25">
      <c r="A132" s="1">
        <v>100</v>
      </c>
      <c r="B132" s="1">
        <v>777</v>
      </c>
      <c r="C132" s="1">
        <v>3524</v>
      </c>
      <c r="D132" s="1">
        <v>2.8</v>
      </c>
      <c r="E132" s="1">
        <v>-1</v>
      </c>
      <c r="F132" s="1">
        <v>-0.3</v>
      </c>
      <c r="G132">
        <v>-2</v>
      </c>
      <c r="H132">
        <v>-1</v>
      </c>
      <c r="I132">
        <v>0</v>
      </c>
      <c r="K132" s="1">
        <v>100</v>
      </c>
      <c r="L132" s="1">
        <v>822</v>
      </c>
      <c r="M132" s="1">
        <v>3944</v>
      </c>
      <c r="N132" s="1">
        <v>2.2999999999999998</v>
      </c>
      <c r="O132" s="1">
        <v>-0.8</v>
      </c>
      <c r="P132" s="1">
        <v>-0.2</v>
      </c>
      <c r="Q132" s="1">
        <v>0</v>
      </c>
      <c r="R132" s="1">
        <v>0</v>
      </c>
      <c r="S132" s="1">
        <v>0</v>
      </c>
    </row>
    <row r="133" spans="1:19" x14ac:dyDescent="0.25">
      <c r="A133" s="1">
        <v>125</v>
      </c>
      <c r="B133" s="1">
        <v>755</v>
      </c>
      <c r="C133" s="1">
        <v>3329</v>
      </c>
      <c r="D133" s="1">
        <v>1.9</v>
      </c>
      <c r="E133" s="1">
        <v>-0.5</v>
      </c>
      <c r="F133" s="1">
        <v>-0.2</v>
      </c>
      <c r="G133">
        <v>-3</v>
      </c>
      <c r="H133">
        <v>-1</v>
      </c>
      <c r="I133">
        <v>0</v>
      </c>
      <c r="K133" s="1">
        <v>125</v>
      </c>
      <c r="L133" s="1">
        <v>811</v>
      </c>
      <c r="M133" s="1">
        <v>3836</v>
      </c>
      <c r="N133" s="1">
        <v>1.6</v>
      </c>
      <c r="O133" s="1">
        <v>-0.4</v>
      </c>
      <c r="P133" s="1">
        <v>-0.1</v>
      </c>
      <c r="Q133" s="1">
        <v>0</v>
      </c>
      <c r="R133" s="1">
        <v>0</v>
      </c>
      <c r="S133" s="1">
        <v>0</v>
      </c>
    </row>
    <row r="134" spans="1:19" x14ac:dyDescent="0.25">
      <c r="A134" s="10">
        <v>150</v>
      </c>
      <c r="B134" s="10">
        <v>734</v>
      </c>
      <c r="C134" s="10">
        <v>3142</v>
      </c>
      <c r="D134" s="10">
        <v>0</v>
      </c>
      <c r="E134" s="10">
        <v>0</v>
      </c>
      <c r="F134" s="10">
        <v>0</v>
      </c>
      <c r="G134">
        <v>-4</v>
      </c>
      <c r="H134">
        <v>-1</v>
      </c>
      <c r="I134">
        <v>0</v>
      </c>
      <c r="K134" s="1">
        <v>150</v>
      </c>
      <c r="L134" s="1">
        <v>800</v>
      </c>
      <c r="M134" s="1">
        <v>3730</v>
      </c>
      <c r="N134" s="1">
        <v>0</v>
      </c>
      <c r="O134" s="1">
        <v>0</v>
      </c>
      <c r="P134" s="1">
        <v>0</v>
      </c>
      <c r="Q134" s="1">
        <v>0</v>
      </c>
      <c r="R134" s="1">
        <v>0</v>
      </c>
      <c r="S134" s="1">
        <v>0</v>
      </c>
    </row>
    <row r="135" spans="1:19" x14ac:dyDescent="0.25">
      <c r="A135" s="1">
        <v>175</v>
      </c>
      <c r="B135" s="1">
        <v>713</v>
      </c>
      <c r="C135" s="1">
        <v>2963</v>
      </c>
      <c r="D135" s="1">
        <v>-3</v>
      </c>
      <c r="E135" s="1">
        <v>0.6</v>
      </c>
      <c r="F135" s="1">
        <v>0.2</v>
      </c>
      <c r="G135">
        <v>-5</v>
      </c>
      <c r="H135">
        <v>-1</v>
      </c>
      <c r="I135">
        <v>0</v>
      </c>
      <c r="K135" s="1">
        <v>175</v>
      </c>
      <c r="L135" s="1">
        <v>788</v>
      </c>
      <c r="M135" s="1">
        <v>3626</v>
      </c>
      <c r="N135" s="1">
        <v>-2.6</v>
      </c>
      <c r="O135" s="1">
        <v>0.5</v>
      </c>
      <c r="P135" s="1">
        <v>0.1</v>
      </c>
      <c r="Q135" s="1">
        <v>0</v>
      </c>
      <c r="R135" s="1">
        <v>0</v>
      </c>
      <c r="S135" s="1">
        <v>0</v>
      </c>
    </row>
    <row r="136" spans="1:19" x14ac:dyDescent="0.25">
      <c r="A136" s="1">
        <v>200</v>
      </c>
      <c r="B136" s="1">
        <v>692</v>
      </c>
      <c r="C136" s="1">
        <v>2792</v>
      </c>
      <c r="D136" s="1">
        <v>-7.4</v>
      </c>
      <c r="E136" s="1">
        <v>1.3</v>
      </c>
      <c r="F136" s="1">
        <v>0.4</v>
      </c>
      <c r="G136">
        <v>-7</v>
      </c>
      <c r="H136">
        <v>-1</v>
      </c>
      <c r="I136">
        <v>0</v>
      </c>
      <c r="K136" s="1">
        <v>200</v>
      </c>
      <c r="L136" s="1">
        <v>777</v>
      </c>
      <c r="M136" s="1">
        <v>3525</v>
      </c>
      <c r="N136" s="1">
        <v>-6.3</v>
      </c>
      <c r="O136" s="1">
        <v>1.1000000000000001</v>
      </c>
      <c r="P136" s="1">
        <v>0.3</v>
      </c>
      <c r="Q136" s="1">
        <v>0</v>
      </c>
      <c r="R136" s="1">
        <v>0</v>
      </c>
      <c r="S136" s="1">
        <v>0</v>
      </c>
    </row>
    <row r="137" spans="1:19" x14ac:dyDescent="0.25">
      <c r="A137" s="1">
        <v>225</v>
      </c>
      <c r="B137" s="1">
        <v>671</v>
      </c>
      <c r="C137" s="1">
        <v>2629</v>
      </c>
      <c r="D137" s="1">
        <v>-13.1</v>
      </c>
      <c r="E137" s="1">
        <v>2</v>
      </c>
      <c r="F137" s="1">
        <v>0.6</v>
      </c>
      <c r="G137">
        <v>-9</v>
      </c>
      <c r="H137">
        <v>-2</v>
      </c>
      <c r="I137">
        <v>0</v>
      </c>
      <c r="K137" s="1">
        <v>225</v>
      </c>
      <c r="L137" s="1">
        <v>766</v>
      </c>
      <c r="M137" s="1">
        <v>3425</v>
      </c>
      <c r="N137" s="1">
        <v>-10.9</v>
      </c>
      <c r="O137" s="1">
        <v>1.7</v>
      </c>
      <c r="P137" s="1">
        <v>0.5</v>
      </c>
      <c r="Q137" s="1">
        <v>0</v>
      </c>
      <c r="R137" s="1">
        <v>0</v>
      </c>
      <c r="S137" s="1">
        <v>0</v>
      </c>
    </row>
    <row r="138" spans="1:19" x14ac:dyDescent="0.25">
      <c r="A138" s="1">
        <v>250</v>
      </c>
      <c r="B138" s="1">
        <v>651</v>
      </c>
      <c r="C138" s="1">
        <v>2473</v>
      </c>
      <c r="D138" s="1">
        <v>-20.100000000000001</v>
      </c>
      <c r="E138" s="1">
        <v>2.8</v>
      </c>
      <c r="F138" s="1">
        <v>0.8</v>
      </c>
      <c r="G138">
        <v>-11</v>
      </c>
      <c r="H138">
        <v>-2</v>
      </c>
      <c r="I138">
        <v>0</v>
      </c>
      <c r="K138" s="1">
        <v>250</v>
      </c>
      <c r="L138" s="1">
        <v>755</v>
      </c>
      <c r="M138" s="1">
        <v>3328</v>
      </c>
      <c r="N138" s="1">
        <v>-16.5</v>
      </c>
      <c r="O138" s="1">
        <v>2.2999999999999998</v>
      </c>
      <c r="P138" s="1">
        <v>0.7</v>
      </c>
      <c r="Q138" s="1">
        <v>0</v>
      </c>
      <c r="R138" s="1">
        <v>0</v>
      </c>
      <c r="S138" s="1">
        <v>0</v>
      </c>
    </row>
    <row r="139" spans="1:19" x14ac:dyDescent="0.25">
      <c r="A139" s="1">
        <v>275</v>
      </c>
      <c r="B139" s="1">
        <v>631</v>
      </c>
      <c r="C139" s="1">
        <v>2325</v>
      </c>
      <c r="D139" s="1">
        <v>-28.9</v>
      </c>
      <c r="E139" s="1">
        <v>3.6</v>
      </c>
      <c r="F139" s="1">
        <v>1.1000000000000001</v>
      </c>
      <c r="G139">
        <v>-14</v>
      </c>
      <c r="H139">
        <v>-2</v>
      </c>
      <c r="I139">
        <v>-1</v>
      </c>
      <c r="K139" s="1">
        <v>275</v>
      </c>
      <c r="L139" s="1">
        <v>745</v>
      </c>
      <c r="M139" s="1">
        <v>3233</v>
      </c>
      <c r="N139" s="1">
        <v>-23.5</v>
      </c>
      <c r="O139" s="1">
        <v>2.9</v>
      </c>
      <c r="P139" s="1">
        <v>0.9</v>
      </c>
      <c r="Q139" s="1">
        <v>0</v>
      </c>
      <c r="R139" s="1">
        <v>0</v>
      </c>
      <c r="S139" s="1">
        <v>0</v>
      </c>
    </row>
    <row r="140" spans="1:19" x14ac:dyDescent="0.25">
      <c r="A140" s="1">
        <v>300</v>
      </c>
      <c r="B140" s="1">
        <v>612</v>
      </c>
      <c r="C140" s="1">
        <v>2184</v>
      </c>
      <c r="D140" s="1">
        <v>-39.1</v>
      </c>
      <c r="E140" s="1">
        <v>4.5</v>
      </c>
      <c r="F140" s="1">
        <v>1.3</v>
      </c>
      <c r="G140">
        <v>-17</v>
      </c>
      <c r="H140">
        <v>-2</v>
      </c>
      <c r="I140">
        <v>-1</v>
      </c>
      <c r="K140" s="1">
        <v>300</v>
      </c>
      <c r="L140" s="1">
        <v>734</v>
      </c>
      <c r="M140" s="1">
        <v>3140</v>
      </c>
      <c r="N140" s="1">
        <v>-31.4</v>
      </c>
      <c r="O140" s="1">
        <v>3.6</v>
      </c>
      <c r="P140" s="1">
        <v>1</v>
      </c>
      <c r="Q140" s="1">
        <v>0</v>
      </c>
      <c r="R140" s="1">
        <v>0</v>
      </c>
      <c r="S140" s="1">
        <v>0</v>
      </c>
    </row>
    <row r="141" spans="1:19" x14ac:dyDescent="0.25">
      <c r="A141" s="1">
        <v>325</v>
      </c>
      <c r="B141" s="1">
        <v>593</v>
      </c>
      <c r="C141" s="1">
        <v>2050</v>
      </c>
      <c r="D141" s="1">
        <v>-51</v>
      </c>
      <c r="E141" s="1">
        <v>5.4</v>
      </c>
      <c r="F141" s="1">
        <v>1.6</v>
      </c>
      <c r="G141">
        <v>-20</v>
      </c>
      <c r="H141">
        <v>-2</v>
      </c>
      <c r="I141">
        <v>-1</v>
      </c>
      <c r="K141" s="1">
        <v>325</v>
      </c>
      <c r="L141" s="1">
        <v>723</v>
      </c>
      <c r="M141" s="1">
        <v>3049</v>
      </c>
      <c r="N141" s="1">
        <v>-40.4</v>
      </c>
      <c r="O141" s="1">
        <v>4.3</v>
      </c>
      <c r="P141" s="1">
        <v>1.2</v>
      </c>
      <c r="Q141" s="1">
        <v>0</v>
      </c>
      <c r="R141" s="1">
        <v>0</v>
      </c>
      <c r="S141" s="1">
        <v>0</v>
      </c>
    </row>
    <row r="142" spans="1:19" x14ac:dyDescent="0.25">
      <c r="A142" s="1">
        <v>350</v>
      </c>
      <c r="B142" s="1">
        <v>574</v>
      </c>
      <c r="C142" s="1">
        <v>1923</v>
      </c>
      <c r="D142" s="1">
        <v>-65.2</v>
      </c>
      <c r="E142" s="1">
        <v>6.4</v>
      </c>
      <c r="F142" s="1">
        <v>1.9</v>
      </c>
      <c r="G142">
        <v>-24</v>
      </c>
      <c r="H142">
        <v>-2</v>
      </c>
      <c r="I142">
        <v>-1</v>
      </c>
      <c r="K142" s="1">
        <v>350</v>
      </c>
      <c r="L142" s="1">
        <v>712</v>
      </c>
      <c r="M142" s="1">
        <v>2960</v>
      </c>
      <c r="N142" s="1">
        <v>-51</v>
      </c>
      <c r="O142" s="1">
        <v>5</v>
      </c>
      <c r="P142" s="1">
        <v>1.5</v>
      </c>
      <c r="Q142" s="1">
        <v>0</v>
      </c>
      <c r="R142" s="1">
        <v>0</v>
      </c>
      <c r="S142" s="1">
        <v>0</v>
      </c>
    </row>
    <row r="143" spans="1:19" x14ac:dyDescent="0.25">
      <c r="A143" s="1">
        <v>375</v>
      </c>
      <c r="B143" s="1">
        <v>556</v>
      </c>
      <c r="C143" s="1">
        <v>1803</v>
      </c>
      <c r="D143" s="1">
        <v>-81</v>
      </c>
      <c r="E143" s="1">
        <v>7.4</v>
      </c>
      <c r="F143" s="1">
        <v>2.2000000000000002</v>
      </c>
      <c r="G143">
        <v>-27</v>
      </c>
      <c r="H143">
        <v>-3</v>
      </c>
      <c r="I143">
        <v>-1</v>
      </c>
      <c r="K143" s="1">
        <v>375</v>
      </c>
      <c r="L143" s="1">
        <v>702</v>
      </c>
      <c r="M143" s="1">
        <v>2874</v>
      </c>
      <c r="N143" s="1">
        <v>-62.5</v>
      </c>
      <c r="O143" s="1">
        <v>5.7</v>
      </c>
      <c r="P143" s="1">
        <v>1.7</v>
      </c>
      <c r="Q143" s="1">
        <v>0</v>
      </c>
      <c r="R143" s="1">
        <v>0</v>
      </c>
      <c r="S143" s="1">
        <v>0</v>
      </c>
    </row>
    <row r="144" spans="1:19" x14ac:dyDescent="0.25">
      <c r="A144" s="1">
        <v>400</v>
      </c>
      <c r="B144" s="1">
        <v>538</v>
      </c>
      <c r="C144" s="1">
        <v>1689</v>
      </c>
      <c r="D144" s="1">
        <v>-98.9</v>
      </c>
      <c r="E144" s="1">
        <v>8.5</v>
      </c>
      <c r="F144" s="1">
        <v>2.5</v>
      </c>
      <c r="G144">
        <v>-32</v>
      </c>
      <c r="H144">
        <v>-3</v>
      </c>
      <c r="I144">
        <v>-1</v>
      </c>
      <c r="K144" s="1">
        <v>400</v>
      </c>
      <c r="L144" s="1">
        <v>691</v>
      </c>
      <c r="M144" s="1">
        <v>2789</v>
      </c>
      <c r="N144" s="1">
        <v>-75.2</v>
      </c>
      <c r="O144" s="1">
        <v>6.5</v>
      </c>
      <c r="P144" s="1">
        <v>1.9</v>
      </c>
      <c r="Q144" s="1">
        <v>0</v>
      </c>
      <c r="R144" s="1">
        <v>0</v>
      </c>
      <c r="S144" s="1">
        <v>0</v>
      </c>
    </row>
    <row r="145" spans="1:19" x14ac:dyDescent="0.25">
      <c r="A145" s="1">
        <v>425</v>
      </c>
      <c r="B145" s="1">
        <v>521</v>
      </c>
      <c r="C145" s="1">
        <v>1581</v>
      </c>
      <c r="D145" s="1">
        <v>-119.9</v>
      </c>
      <c r="E145" s="1">
        <v>9.6999999999999993</v>
      </c>
      <c r="F145" s="1">
        <v>2.8</v>
      </c>
      <c r="G145">
        <v>-36</v>
      </c>
      <c r="H145">
        <v>-3</v>
      </c>
      <c r="I145">
        <v>-1</v>
      </c>
      <c r="K145" s="1">
        <v>425</v>
      </c>
      <c r="L145" s="1">
        <v>681</v>
      </c>
      <c r="M145" s="1">
        <v>2706</v>
      </c>
      <c r="N145" s="1">
        <v>-89.8</v>
      </c>
      <c r="O145" s="1">
        <v>7.3</v>
      </c>
      <c r="P145" s="1">
        <v>2.1</v>
      </c>
      <c r="Q145" s="1">
        <v>0</v>
      </c>
      <c r="R145" s="1">
        <v>0</v>
      </c>
      <c r="S145" s="1">
        <v>0</v>
      </c>
    </row>
    <row r="146" spans="1:19" x14ac:dyDescent="0.25">
      <c r="A146" s="1">
        <v>450</v>
      </c>
      <c r="B146" s="1">
        <v>504</v>
      </c>
      <c r="C146" s="1">
        <v>1480</v>
      </c>
      <c r="D146" s="1">
        <v>-142.6</v>
      </c>
      <c r="E146" s="1">
        <v>10.9</v>
      </c>
      <c r="F146" s="1">
        <v>3.2</v>
      </c>
      <c r="G146">
        <v>-41</v>
      </c>
      <c r="H146">
        <v>-4</v>
      </c>
      <c r="I146">
        <v>-1</v>
      </c>
      <c r="K146" s="1">
        <v>450</v>
      </c>
      <c r="L146" s="1">
        <v>671</v>
      </c>
      <c r="M146" s="1">
        <v>2625</v>
      </c>
      <c r="N146" s="1">
        <v>-105.3</v>
      </c>
      <c r="O146" s="1">
        <v>8</v>
      </c>
      <c r="P146" s="1">
        <v>2.2999999999999998</v>
      </c>
      <c r="Q146" s="1">
        <v>0</v>
      </c>
      <c r="R146" s="1">
        <v>0</v>
      </c>
      <c r="S146" s="1">
        <v>0</v>
      </c>
    </row>
    <row r="147" spans="1:19" x14ac:dyDescent="0.25">
      <c r="A147" s="1">
        <v>475</v>
      </c>
      <c r="B147" s="1">
        <v>487</v>
      </c>
      <c r="C147" s="1">
        <v>1385</v>
      </c>
      <c r="D147" s="1">
        <v>-167.9</v>
      </c>
      <c r="E147" s="1">
        <v>12.2</v>
      </c>
      <c r="F147" s="1">
        <v>3.5</v>
      </c>
      <c r="G147">
        <v>-47</v>
      </c>
      <c r="H147">
        <v>-4</v>
      </c>
      <c r="I147">
        <v>-1</v>
      </c>
      <c r="K147" s="1">
        <v>475</v>
      </c>
      <c r="L147" s="1">
        <v>661</v>
      </c>
      <c r="M147" s="1">
        <v>2545</v>
      </c>
      <c r="N147" s="1">
        <v>-122.1</v>
      </c>
      <c r="O147" s="1">
        <v>8.8000000000000007</v>
      </c>
      <c r="P147" s="1">
        <v>2.6</v>
      </c>
      <c r="Q147" s="1">
        <v>0</v>
      </c>
      <c r="R147" s="1">
        <v>0</v>
      </c>
      <c r="S147" s="1">
        <v>0</v>
      </c>
    </row>
    <row r="148" spans="1:19" x14ac:dyDescent="0.25">
      <c r="A148" s="1">
        <v>500</v>
      </c>
      <c r="B148" s="1">
        <v>472</v>
      </c>
      <c r="C148" s="1">
        <v>1299</v>
      </c>
      <c r="D148" s="1">
        <v>-196.1</v>
      </c>
      <c r="E148" s="1">
        <v>13.5</v>
      </c>
      <c r="F148" s="1">
        <v>3.9</v>
      </c>
      <c r="G148">
        <v>-52</v>
      </c>
      <c r="H148">
        <v>-4</v>
      </c>
      <c r="I148">
        <v>-1</v>
      </c>
      <c r="K148" s="1">
        <v>500</v>
      </c>
      <c r="L148" s="1">
        <v>651</v>
      </c>
      <c r="M148" s="1">
        <v>2471</v>
      </c>
      <c r="N148" s="1">
        <v>-140.4</v>
      </c>
      <c r="O148" s="1">
        <v>9.6999999999999993</v>
      </c>
      <c r="P148" s="1">
        <v>2.8</v>
      </c>
      <c r="Q148" s="1">
        <v>0</v>
      </c>
      <c r="R148" s="1">
        <v>0</v>
      </c>
      <c r="S148" s="1">
        <v>0</v>
      </c>
    </row>
    <row r="150" spans="1:19" x14ac:dyDescent="0.25">
      <c r="A150" t="s">
        <v>88</v>
      </c>
      <c r="K150" t="s">
        <v>75</v>
      </c>
    </row>
    <row r="151" spans="1:19" x14ac:dyDescent="0.25">
      <c r="A151" t="s">
        <v>12</v>
      </c>
      <c r="B151" t="s">
        <v>13</v>
      </c>
      <c r="C151" t="s">
        <v>14</v>
      </c>
      <c r="D151" t="s">
        <v>15</v>
      </c>
      <c r="E151" t="s">
        <v>16</v>
      </c>
      <c r="F151" t="s">
        <v>17</v>
      </c>
      <c r="G151" t="s">
        <v>37</v>
      </c>
      <c r="H151" t="s">
        <v>38</v>
      </c>
      <c r="I151" t="s">
        <v>39</v>
      </c>
      <c r="K151" t="s">
        <v>12</v>
      </c>
      <c r="L151" t="s">
        <v>13</v>
      </c>
      <c r="M151" t="s">
        <v>14</v>
      </c>
      <c r="N151" t="s">
        <v>15</v>
      </c>
      <c r="O151" t="s">
        <v>16</v>
      </c>
      <c r="P151" t="s">
        <v>17</v>
      </c>
      <c r="Q151" t="s">
        <v>37</v>
      </c>
      <c r="R151" t="s">
        <v>38</v>
      </c>
      <c r="S151" t="s">
        <v>39</v>
      </c>
    </row>
    <row r="152" spans="1:19" x14ac:dyDescent="0.25">
      <c r="A152" s="1">
        <v>0</v>
      </c>
      <c r="B152" s="1">
        <v>869</v>
      </c>
      <c r="C152" s="1">
        <v>4402</v>
      </c>
      <c r="D152" s="1">
        <v>-3.8</v>
      </c>
      <c r="E152" s="1">
        <v>0</v>
      </c>
      <c r="F152" s="1">
        <v>0</v>
      </c>
      <c r="G152">
        <v>0</v>
      </c>
      <c r="H152">
        <v>0</v>
      </c>
      <c r="I152">
        <v>0</v>
      </c>
      <c r="K152" s="1">
        <v>0</v>
      </c>
      <c r="L152" s="1">
        <v>869</v>
      </c>
      <c r="M152" s="1">
        <v>4402</v>
      </c>
      <c r="N152" s="1">
        <v>-3.8</v>
      </c>
      <c r="O152" s="1">
        <v>0</v>
      </c>
      <c r="P152" s="1">
        <v>0</v>
      </c>
      <c r="Q152" s="1">
        <v>0</v>
      </c>
      <c r="R152" s="1">
        <v>0</v>
      </c>
      <c r="S152" s="1">
        <v>0</v>
      </c>
    </row>
    <row r="153" spans="1:19" x14ac:dyDescent="0.25">
      <c r="A153" s="1">
        <v>25</v>
      </c>
      <c r="B153" s="1">
        <v>845</v>
      </c>
      <c r="C153" s="1">
        <v>4166</v>
      </c>
      <c r="D153" s="1">
        <v>0.1</v>
      </c>
      <c r="E153" s="1">
        <v>-0.1</v>
      </c>
      <c r="F153" s="1">
        <v>0</v>
      </c>
      <c r="G153">
        <v>0</v>
      </c>
      <c r="H153">
        <v>0</v>
      </c>
      <c r="I153">
        <v>0</v>
      </c>
      <c r="K153" s="1">
        <v>25</v>
      </c>
      <c r="L153" s="1">
        <v>857</v>
      </c>
      <c r="M153" s="1">
        <v>4283</v>
      </c>
      <c r="N153" s="1">
        <v>-0.2</v>
      </c>
      <c r="O153" s="1">
        <v>0.3</v>
      </c>
      <c r="P153" s="1">
        <v>0.1</v>
      </c>
      <c r="Q153" s="1">
        <v>0</v>
      </c>
      <c r="R153" s="1">
        <v>0</v>
      </c>
      <c r="S153" s="1">
        <v>0</v>
      </c>
    </row>
    <row r="154" spans="1:19" x14ac:dyDescent="0.25">
      <c r="A154" s="1">
        <v>50</v>
      </c>
      <c r="B154" s="1">
        <v>822</v>
      </c>
      <c r="C154" s="1">
        <v>3943</v>
      </c>
      <c r="D154" s="1">
        <v>3.2</v>
      </c>
      <c r="E154" s="1">
        <v>-2.2000000000000002</v>
      </c>
      <c r="F154" s="1">
        <v>-0.6</v>
      </c>
      <c r="G154">
        <v>0</v>
      </c>
      <c r="H154">
        <v>0</v>
      </c>
      <c r="I154">
        <v>0</v>
      </c>
      <c r="K154" s="1">
        <v>50</v>
      </c>
      <c r="L154" s="1">
        <v>845</v>
      </c>
      <c r="M154" s="1">
        <v>4168</v>
      </c>
      <c r="N154" s="1">
        <v>2.6</v>
      </c>
      <c r="O154" s="1">
        <v>-1.8</v>
      </c>
      <c r="P154" s="1">
        <v>-0.5</v>
      </c>
      <c r="Q154" s="1">
        <v>0</v>
      </c>
      <c r="R154" s="1">
        <v>0</v>
      </c>
      <c r="S154" s="1">
        <v>0</v>
      </c>
    </row>
    <row r="155" spans="1:19" x14ac:dyDescent="0.25">
      <c r="A155" s="1">
        <v>75</v>
      </c>
      <c r="B155" s="1">
        <v>800</v>
      </c>
      <c r="C155" s="1">
        <v>3729</v>
      </c>
      <c r="D155" s="1">
        <v>5.3</v>
      </c>
      <c r="E155" s="1">
        <v>-2.4</v>
      </c>
      <c r="F155" s="1">
        <v>-0.7</v>
      </c>
      <c r="G155">
        <v>-1</v>
      </c>
      <c r="H155">
        <v>0</v>
      </c>
      <c r="I155">
        <v>0</v>
      </c>
      <c r="K155" s="1">
        <v>75</v>
      </c>
      <c r="L155" s="1">
        <v>834</v>
      </c>
      <c r="M155" s="1">
        <v>4055</v>
      </c>
      <c r="N155" s="1">
        <v>4.4000000000000004</v>
      </c>
      <c r="O155" s="1">
        <v>-2</v>
      </c>
      <c r="P155" s="1">
        <v>-0.6</v>
      </c>
      <c r="Q155" s="1">
        <v>0</v>
      </c>
      <c r="R155" s="1">
        <v>0</v>
      </c>
      <c r="S155" s="1">
        <v>0</v>
      </c>
    </row>
    <row r="156" spans="1:19" x14ac:dyDescent="0.25">
      <c r="A156" s="1">
        <v>100</v>
      </c>
      <c r="B156" s="1">
        <v>777</v>
      </c>
      <c r="C156" s="1">
        <v>3524</v>
      </c>
      <c r="D156" s="1">
        <v>6.5</v>
      </c>
      <c r="E156" s="1">
        <v>-2.2000000000000002</v>
      </c>
      <c r="F156" s="1">
        <v>-0.6</v>
      </c>
      <c r="G156">
        <v>-2</v>
      </c>
      <c r="H156">
        <v>-1</v>
      </c>
      <c r="I156">
        <v>0</v>
      </c>
      <c r="K156" s="1">
        <v>100</v>
      </c>
      <c r="L156" s="1">
        <v>822</v>
      </c>
      <c r="M156" s="1">
        <v>3944</v>
      </c>
      <c r="N156" s="1">
        <v>5.4</v>
      </c>
      <c r="O156" s="1">
        <v>-1.9</v>
      </c>
      <c r="P156" s="1">
        <v>-0.5</v>
      </c>
      <c r="Q156" s="1">
        <v>0</v>
      </c>
      <c r="R156" s="1">
        <v>0</v>
      </c>
      <c r="S156" s="1">
        <v>0</v>
      </c>
    </row>
    <row r="157" spans="1:19" x14ac:dyDescent="0.25">
      <c r="A157" s="1">
        <v>125</v>
      </c>
      <c r="B157" s="1">
        <v>755</v>
      </c>
      <c r="C157" s="1">
        <v>3329</v>
      </c>
      <c r="D157" s="1">
        <v>6.6</v>
      </c>
      <c r="E157" s="1">
        <v>-1.8</v>
      </c>
      <c r="F157" s="1">
        <v>-0.5</v>
      </c>
      <c r="G157">
        <v>-3</v>
      </c>
      <c r="H157">
        <v>-1</v>
      </c>
      <c r="I157">
        <v>0</v>
      </c>
      <c r="K157" s="1">
        <v>125</v>
      </c>
      <c r="L157" s="1">
        <v>811</v>
      </c>
      <c r="M157" s="1">
        <v>3836</v>
      </c>
      <c r="N157" s="1">
        <v>5.5</v>
      </c>
      <c r="O157" s="1">
        <v>-1.5</v>
      </c>
      <c r="P157" s="1">
        <v>-0.4</v>
      </c>
      <c r="Q157" s="1">
        <v>0</v>
      </c>
      <c r="R157" s="1">
        <v>0</v>
      </c>
      <c r="S157" s="1">
        <v>0</v>
      </c>
    </row>
    <row r="158" spans="1:19" x14ac:dyDescent="0.25">
      <c r="A158" s="1">
        <v>150</v>
      </c>
      <c r="B158" s="1">
        <v>734</v>
      </c>
      <c r="C158" s="1">
        <v>3142</v>
      </c>
      <c r="D158" s="1">
        <v>5.6</v>
      </c>
      <c r="E158" s="1">
        <v>-1.3</v>
      </c>
      <c r="F158" s="1">
        <v>-0.4</v>
      </c>
      <c r="G158">
        <v>-4</v>
      </c>
      <c r="H158">
        <v>-1</v>
      </c>
      <c r="I158">
        <v>0</v>
      </c>
      <c r="K158" s="1">
        <v>150</v>
      </c>
      <c r="L158" s="1">
        <v>800</v>
      </c>
      <c r="M158" s="1">
        <v>3730</v>
      </c>
      <c r="N158" s="1">
        <v>4.7</v>
      </c>
      <c r="O158" s="1">
        <v>-1.1000000000000001</v>
      </c>
      <c r="P158" s="1">
        <v>-0.3</v>
      </c>
      <c r="Q158" s="1">
        <v>0</v>
      </c>
      <c r="R158" s="1">
        <v>0</v>
      </c>
      <c r="S158" s="1">
        <v>0</v>
      </c>
    </row>
    <row r="159" spans="1:19" x14ac:dyDescent="0.25">
      <c r="A159" s="1">
        <v>175</v>
      </c>
      <c r="B159" s="1">
        <v>713</v>
      </c>
      <c r="C159" s="1">
        <v>2963</v>
      </c>
      <c r="D159" s="1">
        <v>3.5</v>
      </c>
      <c r="E159" s="1">
        <v>-0.7</v>
      </c>
      <c r="F159" s="1">
        <v>-0.2</v>
      </c>
      <c r="G159">
        <v>-5</v>
      </c>
      <c r="H159">
        <v>-1</v>
      </c>
      <c r="I159">
        <v>0</v>
      </c>
      <c r="K159" s="1">
        <v>175</v>
      </c>
      <c r="L159" s="1">
        <v>788</v>
      </c>
      <c r="M159" s="1">
        <v>3626</v>
      </c>
      <c r="N159" s="1">
        <v>2.9</v>
      </c>
      <c r="O159" s="1">
        <v>-0.6</v>
      </c>
      <c r="P159" s="1">
        <v>-0.2</v>
      </c>
      <c r="Q159" s="1">
        <v>0</v>
      </c>
      <c r="R159" s="1">
        <v>0</v>
      </c>
      <c r="S159" s="1">
        <v>0</v>
      </c>
    </row>
    <row r="160" spans="1:19" x14ac:dyDescent="0.25">
      <c r="A160" s="10">
        <v>200</v>
      </c>
      <c r="B160" s="10">
        <v>692</v>
      </c>
      <c r="C160" s="10">
        <v>2792</v>
      </c>
      <c r="D160" s="10">
        <v>0</v>
      </c>
      <c r="E160" s="10">
        <v>0</v>
      </c>
      <c r="F160" s="10">
        <v>0</v>
      </c>
      <c r="G160">
        <v>-7</v>
      </c>
      <c r="H160">
        <v>-1</v>
      </c>
      <c r="I160">
        <v>0</v>
      </c>
      <c r="K160" s="1">
        <v>200</v>
      </c>
      <c r="L160" s="1">
        <v>777</v>
      </c>
      <c r="M160" s="1">
        <v>3525</v>
      </c>
      <c r="N160" s="1">
        <v>-0.1</v>
      </c>
      <c r="O160" s="1">
        <v>0</v>
      </c>
      <c r="P160" s="1">
        <v>0</v>
      </c>
      <c r="Q160" s="1">
        <v>0</v>
      </c>
      <c r="R160" s="1">
        <v>0</v>
      </c>
      <c r="S160" s="1">
        <v>0</v>
      </c>
    </row>
    <row r="161" spans="1:19" x14ac:dyDescent="0.25">
      <c r="A161" s="1">
        <v>225</v>
      </c>
      <c r="B161" s="1">
        <v>671</v>
      </c>
      <c r="C161" s="1">
        <v>2629</v>
      </c>
      <c r="D161" s="1">
        <v>-4.7</v>
      </c>
      <c r="E161" s="1">
        <v>0.7</v>
      </c>
      <c r="F161" s="1">
        <v>0.2</v>
      </c>
      <c r="G161">
        <v>-9</v>
      </c>
      <c r="H161">
        <v>-2</v>
      </c>
      <c r="I161">
        <v>0</v>
      </c>
      <c r="K161" s="1">
        <v>225</v>
      </c>
      <c r="L161" s="1">
        <v>766</v>
      </c>
      <c r="M161" s="1">
        <v>3425</v>
      </c>
      <c r="N161" s="1">
        <v>-3.9</v>
      </c>
      <c r="O161" s="1">
        <v>0.6</v>
      </c>
      <c r="P161" s="1">
        <v>0.2</v>
      </c>
      <c r="Q161" s="1">
        <v>0</v>
      </c>
      <c r="R161" s="1">
        <v>0</v>
      </c>
      <c r="S161" s="1">
        <v>0</v>
      </c>
    </row>
    <row r="162" spans="1:19" x14ac:dyDescent="0.25">
      <c r="A162" s="1">
        <v>250</v>
      </c>
      <c r="B162" s="1">
        <v>651</v>
      </c>
      <c r="C162" s="1">
        <v>2473</v>
      </c>
      <c r="D162" s="1">
        <v>-10.8</v>
      </c>
      <c r="E162" s="1">
        <v>1.5</v>
      </c>
      <c r="F162" s="1">
        <v>0.4</v>
      </c>
      <c r="G162">
        <v>-11</v>
      </c>
      <c r="H162">
        <v>-2</v>
      </c>
      <c r="I162">
        <v>0</v>
      </c>
      <c r="K162" s="1">
        <v>250</v>
      </c>
      <c r="L162" s="1">
        <v>755</v>
      </c>
      <c r="M162" s="1">
        <v>3328</v>
      </c>
      <c r="N162" s="1">
        <v>-8.8000000000000007</v>
      </c>
      <c r="O162" s="1">
        <v>1.2</v>
      </c>
      <c r="P162" s="1">
        <v>0.4</v>
      </c>
      <c r="Q162" s="1">
        <v>0</v>
      </c>
      <c r="R162" s="1">
        <v>0</v>
      </c>
      <c r="S162" s="1">
        <v>0</v>
      </c>
    </row>
    <row r="163" spans="1:19" x14ac:dyDescent="0.25">
      <c r="A163" s="1">
        <v>275</v>
      </c>
      <c r="B163" s="1">
        <v>631</v>
      </c>
      <c r="C163" s="1">
        <v>2325</v>
      </c>
      <c r="D163" s="1">
        <v>-18.7</v>
      </c>
      <c r="E163" s="1">
        <v>2.2999999999999998</v>
      </c>
      <c r="F163" s="1">
        <v>0.7</v>
      </c>
      <c r="G163">
        <v>-14</v>
      </c>
      <c r="H163">
        <v>-2</v>
      </c>
      <c r="I163">
        <v>-1</v>
      </c>
      <c r="K163" s="1">
        <v>275</v>
      </c>
      <c r="L163" s="1">
        <v>745</v>
      </c>
      <c r="M163" s="1">
        <v>3233</v>
      </c>
      <c r="N163" s="1">
        <v>-15</v>
      </c>
      <c r="O163" s="1">
        <v>1.9</v>
      </c>
      <c r="P163" s="1">
        <v>0.5</v>
      </c>
      <c r="Q163" s="1">
        <v>0</v>
      </c>
      <c r="R163" s="1">
        <v>0</v>
      </c>
      <c r="S163" s="1">
        <v>0</v>
      </c>
    </row>
    <row r="164" spans="1:19" x14ac:dyDescent="0.25">
      <c r="A164" s="1">
        <v>300</v>
      </c>
      <c r="B164" s="1">
        <v>612</v>
      </c>
      <c r="C164" s="1">
        <v>2184</v>
      </c>
      <c r="D164" s="1">
        <v>-27.9</v>
      </c>
      <c r="E164" s="1">
        <v>3.2</v>
      </c>
      <c r="F164" s="1">
        <v>0.9</v>
      </c>
      <c r="G164">
        <v>-17</v>
      </c>
      <c r="H164">
        <v>-2</v>
      </c>
      <c r="I164">
        <v>-1</v>
      </c>
      <c r="K164" s="1">
        <v>300</v>
      </c>
      <c r="L164" s="1">
        <v>734</v>
      </c>
      <c r="M164" s="1">
        <v>3140</v>
      </c>
      <c r="N164" s="1">
        <v>-22.1</v>
      </c>
      <c r="O164" s="1">
        <v>2.5</v>
      </c>
      <c r="P164" s="1">
        <v>0.7</v>
      </c>
      <c r="Q164" s="1">
        <v>0</v>
      </c>
      <c r="R164" s="1">
        <v>0</v>
      </c>
      <c r="S164" s="1">
        <v>0</v>
      </c>
    </row>
    <row r="165" spans="1:19" x14ac:dyDescent="0.25">
      <c r="A165" s="1">
        <v>325</v>
      </c>
      <c r="B165" s="1">
        <v>593</v>
      </c>
      <c r="C165" s="1">
        <v>2050</v>
      </c>
      <c r="D165" s="1">
        <v>-38.9</v>
      </c>
      <c r="E165" s="1">
        <v>4.0999999999999996</v>
      </c>
      <c r="F165" s="1">
        <v>1.2</v>
      </c>
      <c r="G165">
        <v>-20</v>
      </c>
      <c r="H165">
        <v>-2</v>
      </c>
      <c r="I165">
        <v>-1</v>
      </c>
      <c r="K165" s="1">
        <v>325</v>
      </c>
      <c r="L165" s="1">
        <v>723</v>
      </c>
      <c r="M165" s="1">
        <v>3049</v>
      </c>
      <c r="N165" s="1">
        <v>-30.3</v>
      </c>
      <c r="O165" s="1">
        <v>3.2</v>
      </c>
      <c r="P165" s="1">
        <v>0.9</v>
      </c>
      <c r="Q165" s="1">
        <v>0</v>
      </c>
      <c r="R165" s="1">
        <v>0</v>
      </c>
      <c r="S165" s="1">
        <v>0</v>
      </c>
    </row>
    <row r="166" spans="1:19" x14ac:dyDescent="0.25">
      <c r="A166" s="1">
        <v>350</v>
      </c>
      <c r="B166" s="1">
        <v>574</v>
      </c>
      <c r="C166" s="1">
        <v>1923</v>
      </c>
      <c r="D166" s="1">
        <v>-52.2</v>
      </c>
      <c r="E166" s="1">
        <v>5.0999999999999996</v>
      </c>
      <c r="F166" s="1">
        <v>1.5</v>
      </c>
      <c r="G166">
        <v>-24</v>
      </c>
      <c r="H166">
        <v>-2</v>
      </c>
      <c r="I166">
        <v>-1</v>
      </c>
      <c r="K166" s="1">
        <v>350</v>
      </c>
      <c r="L166" s="1">
        <v>712</v>
      </c>
      <c r="M166" s="1">
        <v>2960</v>
      </c>
      <c r="N166" s="1">
        <v>-40.1</v>
      </c>
      <c r="O166" s="1">
        <v>3.9</v>
      </c>
      <c r="P166" s="1">
        <v>1.1000000000000001</v>
      </c>
      <c r="Q166" s="1">
        <v>0</v>
      </c>
      <c r="R166" s="1">
        <v>0</v>
      </c>
      <c r="S166" s="1">
        <v>0</v>
      </c>
    </row>
    <row r="167" spans="1:19" x14ac:dyDescent="0.25">
      <c r="A167" s="1">
        <v>375</v>
      </c>
      <c r="B167" s="1">
        <v>556</v>
      </c>
      <c r="C167" s="1">
        <v>1803</v>
      </c>
      <c r="D167" s="1">
        <v>-67</v>
      </c>
      <c r="E167" s="1">
        <v>6.1</v>
      </c>
      <c r="F167" s="1">
        <v>1.8</v>
      </c>
      <c r="G167">
        <v>-27</v>
      </c>
      <c r="H167">
        <v>-3</v>
      </c>
      <c r="I167">
        <v>-1</v>
      </c>
      <c r="K167" s="1">
        <v>375</v>
      </c>
      <c r="L167" s="1">
        <v>702</v>
      </c>
      <c r="M167" s="1">
        <v>2874</v>
      </c>
      <c r="N167" s="1">
        <v>-50.9</v>
      </c>
      <c r="O167" s="1">
        <v>4.7</v>
      </c>
      <c r="P167" s="1">
        <v>1.4</v>
      </c>
      <c r="Q167" s="1">
        <v>0</v>
      </c>
      <c r="R167" s="1">
        <v>0</v>
      </c>
      <c r="S167" s="1">
        <v>0</v>
      </c>
    </row>
    <row r="168" spans="1:19" x14ac:dyDescent="0.25">
      <c r="A168" s="1">
        <v>400</v>
      </c>
      <c r="B168" s="1">
        <v>538</v>
      </c>
      <c r="C168" s="1">
        <v>1689</v>
      </c>
      <c r="D168" s="1">
        <v>-84</v>
      </c>
      <c r="E168" s="1">
        <v>7.2</v>
      </c>
      <c r="F168" s="1">
        <v>2.1</v>
      </c>
      <c r="G168">
        <v>-32</v>
      </c>
      <c r="H168">
        <v>-3</v>
      </c>
      <c r="I168">
        <v>-1</v>
      </c>
      <c r="K168" s="1">
        <v>400</v>
      </c>
      <c r="L168" s="1">
        <v>691</v>
      </c>
      <c r="M168" s="1">
        <v>2789</v>
      </c>
      <c r="N168" s="1">
        <v>-62.8</v>
      </c>
      <c r="O168" s="1">
        <v>5.4</v>
      </c>
      <c r="P168" s="1">
        <v>1.6</v>
      </c>
      <c r="Q168" s="1">
        <v>0</v>
      </c>
      <c r="R168" s="1">
        <v>0</v>
      </c>
      <c r="S168" s="1">
        <v>0</v>
      </c>
    </row>
    <row r="169" spans="1:19" x14ac:dyDescent="0.25">
      <c r="A169" s="1">
        <v>425</v>
      </c>
      <c r="B169" s="1">
        <v>521</v>
      </c>
      <c r="C169" s="1">
        <v>1581</v>
      </c>
      <c r="D169" s="1">
        <v>-104</v>
      </c>
      <c r="E169" s="1">
        <v>8.4</v>
      </c>
      <c r="F169" s="1">
        <v>2.4</v>
      </c>
      <c r="G169">
        <v>-36</v>
      </c>
      <c r="H169">
        <v>-3</v>
      </c>
      <c r="I169">
        <v>-1</v>
      </c>
      <c r="K169" s="1">
        <v>425</v>
      </c>
      <c r="L169" s="1">
        <v>681</v>
      </c>
      <c r="M169" s="1">
        <v>2706</v>
      </c>
      <c r="N169" s="1">
        <v>-76.599999999999994</v>
      </c>
      <c r="O169" s="1">
        <v>6.2</v>
      </c>
      <c r="P169" s="1">
        <v>1.8</v>
      </c>
      <c r="Q169" s="1">
        <v>0</v>
      </c>
      <c r="R169" s="1">
        <v>0</v>
      </c>
      <c r="S169" s="1">
        <v>0</v>
      </c>
    </row>
    <row r="170" spans="1:19" x14ac:dyDescent="0.25">
      <c r="A170" s="1">
        <v>450</v>
      </c>
      <c r="B170" s="1">
        <v>504</v>
      </c>
      <c r="C170" s="1">
        <v>1480</v>
      </c>
      <c r="D170" s="1">
        <v>-125.8</v>
      </c>
      <c r="E170" s="1">
        <v>9.6</v>
      </c>
      <c r="F170" s="1">
        <v>2.8</v>
      </c>
      <c r="G170">
        <v>-41</v>
      </c>
      <c r="H170">
        <v>-4</v>
      </c>
      <c r="I170">
        <v>-1</v>
      </c>
      <c r="K170" s="1">
        <v>450</v>
      </c>
      <c r="L170" s="1">
        <v>671</v>
      </c>
      <c r="M170" s="1">
        <v>2624</v>
      </c>
      <c r="N170" s="1">
        <v>-91.3</v>
      </c>
      <c r="O170" s="1">
        <v>7</v>
      </c>
      <c r="P170" s="1">
        <v>2</v>
      </c>
      <c r="Q170" s="1">
        <v>0</v>
      </c>
      <c r="R170" s="1">
        <v>0</v>
      </c>
      <c r="S170" s="1">
        <v>0</v>
      </c>
    </row>
    <row r="171" spans="1:19" x14ac:dyDescent="0.25">
      <c r="A171" s="1">
        <v>475</v>
      </c>
      <c r="B171" s="1">
        <v>487</v>
      </c>
      <c r="C171" s="1">
        <v>1385</v>
      </c>
      <c r="D171" s="1">
        <v>-150.19999999999999</v>
      </c>
      <c r="E171" s="1">
        <v>10.9</v>
      </c>
      <c r="F171" s="1">
        <v>3.2</v>
      </c>
      <c r="G171">
        <v>-47</v>
      </c>
      <c r="H171">
        <v>-4</v>
      </c>
      <c r="I171">
        <v>-1</v>
      </c>
      <c r="K171" s="1">
        <v>475</v>
      </c>
      <c r="L171" s="1">
        <v>661</v>
      </c>
      <c r="M171" s="1">
        <v>2545</v>
      </c>
      <c r="N171" s="1">
        <v>-107.4</v>
      </c>
      <c r="O171" s="1">
        <v>7.8</v>
      </c>
      <c r="P171" s="1">
        <v>2.2999999999999998</v>
      </c>
      <c r="Q171" s="1">
        <v>0</v>
      </c>
      <c r="R171" s="1">
        <v>0</v>
      </c>
      <c r="S171" s="1">
        <v>0</v>
      </c>
    </row>
    <row r="172" spans="1:19" x14ac:dyDescent="0.25">
      <c r="A172" s="1">
        <v>500</v>
      </c>
      <c r="B172" s="1">
        <v>472</v>
      </c>
      <c r="C172" s="1">
        <v>1299</v>
      </c>
      <c r="D172" s="1">
        <v>-177.5</v>
      </c>
      <c r="E172" s="1">
        <v>12.2</v>
      </c>
      <c r="F172" s="1">
        <v>3.6</v>
      </c>
      <c r="G172">
        <v>-52</v>
      </c>
      <c r="H172">
        <v>-4</v>
      </c>
      <c r="I172">
        <v>-1</v>
      </c>
      <c r="K172" s="1">
        <v>500</v>
      </c>
      <c r="L172" s="1">
        <v>651</v>
      </c>
      <c r="M172" s="1">
        <v>2471</v>
      </c>
      <c r="N172" s="1">
        <v>-125</v>
      </c>
      <c r="O172" s="1">
        <v>8.6</v>
      </c>
      <c r="P172" s="1">
        <v>2.5</v>
      </c>
      <c r="Q172" s="1">
        <v>0</v>
      </c>
      <c r="R172" s="1">
        <v>0</v>
      </c>
      <c r="S172" s="1">
        <v>0</v>
      </c>
    </row>
    <row r="174" spans="1:19" x14ac:dyDescent="0.25">
      <c r="A174" t="s">
        <v>89</v>
      </c>
      <c r="K174" t="s">
        <v>76</v>
      </c>
    </row>
    <row r="175" spans="1:19" x14ac:dyDescent="0.25">
      <c r="A175" t="s">
        <v>12</v>
      </c>
      <c r="B175" t="s">
        <v>13</v>
      </c>
      <c r="C175" t="s">
        <v>14</v>
      </c>
      <c r="D175" t="s">
        <v>15</v>
      </c>
      <c r="E175" t="s">
        <v>16</v>
      </c>
      <c r="F175" t="s">
        <v>17</v>
      </c>
      <c r="G175" t="s">
        <v>37</v>
      </c>
      <c r="H175" t="s">
        <v>38</v>
      </c>
      <c r="I175" t="s">
        <v>39</v>
      </c>
      <c r="K175" t="s">
        <v>12</v>
      </c>
      <c r="L175" t="s">
        <v>13</v>
      </c>
      <c r="M175" t="s">
        <v>14</v>
      </c>
      <c r="N175" t="s">
        <v>15</v>
      </c>
      <c r="O175" t="s">
        <v>16</v>
      </c>
      <c r="P175" t="s">
        <v>17</v>
      </c>
      <c r="Q175" t="s">
        <v>37</v>
      </c>
      <c r="R175" t="s">
        <v>38</v>
      </c>
      <c r="S175" t="s">
        <v>39</v>
      </c>
    </row>
    <row r="176" spans="1:19" x14ac:dyDescent="0.25">
      <c r="A176" s="1">
        <v>0</v>
      </c>
      <c r="B176" s="1">
        <v>869</v>
      </c>
      <c r="C176" s="1">
        <v>4402</v>
      </c>
      <c r="D176" s="1">
        <v>-3.8</v>
      </c>
      <c r="E176" s="1">
        <v>0</v>
      </c>
      <c r="F176" s="1">
        <v>0</v>
      </c>
      <c r="G176">
        <v>0</v>
      </c>
      <c r="H176">
        <v>0</v>
      </c>
      <c r="I176">
        <v>0</v>
      </c>
      <c r="K176" s="1">
        <v>0</v>
      </c>
      <c r="L176" s="1">
        <v>869</v>
      </c>
      <c r="M176" s="1">
        <v>4402</v>
      </c>
      <c r="N176" s="1">
        <v>-3.8</v>
      </c>
      <c r="O176" s="1">
        <v>0</v>
      </c>
      <c r="P176" s="1">
        <v>0</v>
      </c>
      <c r="Q176" s="1">
        <v>0</v>
      </c>
      <c r="R176" s="1">
        <v>0</v>
      </c>
      <c r="S176" s="1">
        <v>0</v>
      </c>
    </row>
    <row r="177" spans="1:19" x14ac:dyDescent="0.25">
      <c r="A177" s="1">
        <v>25</v>
      </c>
      <c r="B177" s="1">
        <v>845</v>
      </c>
      <c r="C177" s="1">
        <v>4166</v>
      </c>
      <c r="D177" s="1">
        <v>2.4</v>
      </c>
      <c r="E177" s="1">
        <v>-3.3</v>
      </c>
      <c r="F177" s="1">
        <v>-1</v>
      </c>
      <c r="G177">
        <v>0</v>
      </c>
      <c r="H177">
        <v>0</v>
      </c>
      <c r="I177">
        <v>0</v>
      </c>
      <c r="K177" s="1">
        <v>25</v>
      </c>
      <c r="L177" s="1">
        <v>857</v>
      </c>
      <c r="M177" s="1">
        <v>4283</v>
      </c>
      <c r="N177" s="1">
        <v>1.6</v>
      </c>
      <c r="O177" s="1">
        <v>-2.2000000000000002</v>
      </c>
      <c r="P177" s="1">
        <v>-0.6</v>
      </c>
      <c r="Q177" s="1">
        <v>0</v>
      </c>
      <c r="R177" s="1">
        <v>0</v>
      </c>
      <c r="S177" s="1">
        <v>0</v>
      </c>
    </row>
    <row r="178" spans="1:19" x14ac:dyDescent="0.25">
      <c r="A178" s="1">
        <v>50</v>
      </c>
      <c r="B178" s="1">
        <v>822</v>
      </c>
      <c r="C178" s="1">
        <v>3943</v>
      </c>
      <c r="D178" s="1">
        <v>7.9</v>
      </c>
      <c r="E178" s="1">
        <v>-5.4</v>
      </c>
      <c r="F178" s="1">
        <v>-1.6</v>
      </c>
      <c r="G178">
        <v>0</v>
      </c>
      <c r="H178">
        <v>0</v>
      </c>
      <c r="I178">
        <v>0</v>
      </c>
      <c r="K178" s="1">
        <v>50</v>
      </c>
      <c r="L178" s="1">
        <v>845</v>
      </c>
      <c r="M178" s="1">
        <v>4168</v>
      </c>
      <c r="N178" s="1">
        <v>6.3</v>
      </c>
      <c r="O178" s="1">
        <v>-4.3</v>
      </c>
      <c r="P178" s="1">
        <v>-1.2</v>
      </c>
      <c r="Q178" s="1">
        <v>0</v>
      </c>
      <c r="R178" s="1">
        <v>0</v>
      </c>
      <c r="S178" s="1">
        <v>0</v>
      </c>
    </row>
    <row r="179" spans="1:19" x14ac:dyDescent="0.25">
      <c r="A179" s="1">
        <v>75</v>
      </c>
      <c r="B179" s="1">
        <v>800</v>
      </c>
      <c r="C179" s="1">
        <v>3729</v>
      </c>
      <c r="D179" s="1">
        <v>12.4</v>
      </c>
      <c r="E179" s="1">
        <v>-5.7</v>
      </c>
      <c r="F179" s="1">
        <v>-1.6</v>
      </c>
      <c r="G179">
        <v>-1</v>
      </c>
      <c r="H179">
        <v>0</v>
      </c>
      <c r="I179">
        <v>0</v>
      </c>
      <c r="K179" s="1">
        <v>75</v>
      </c>
      <c r="L179" s="1">
        <v>834</v>
      </c>
      <c r="M179" s="1">
        <v>4055</v>
      </c>
      <c r="N179" s="1">
        <v>10</v>
      </c>
      <c r="O179" s="1">
        <v>-4.5999999999999996</v>
      </c>
      <c r="P179" s="1">
        <v>-1.3</v>
      </c>
      <c r="Q179" s="1">
        <v>0</v>
      </c>
      <c r="R179" s="1">
        <v>0</v>
      </c>
      <c r="S179" s="1">
        <v>0</v>
      </c>
    </row>
    <row r="180" spans="1:19" x14ac:dyDescent="0.25">
      <c r="A180" s="1">
        <v>100</v>
      </c>
      <c r="B180" s="1">
        <v>777</v>
      </c>
      <c r="C180" s="1">
        <v>3524</v>
      </c>
      <c r="D180" s="1">
        <v>15.8</v>
      </c>
      <c r="E180" s="1">
        <v>-5.5</v>
      </c>
      <c r="F180" s="1">
        <v>-1.6</v>
      </c>
      <c r="G180">
        <v>-2</v>
      </c>
      <c r="H180">
        <v>-1</v>
      </c>
      <c r="I180">
        <v>0</v>
      </c>
      <c r="K180" s="1">
        <v>100</v>
      </c>
      <c r="L180" s="1">
        <v>822</v>
      </c>
      <c r="M180" s="1">
        <v>3944</v>
      </c>
      <c r="N180" s="1">
        <v>12.8</v>
      </c>
      <c r="O180" s="1">
        <v>-4.4000000000000004</v>
      </c>
      <c r="P180" s="1">
        <v>-1.3</v>
      </c>
      <c r="Q180" s="1">
        <v>0</v>
      </c>
      <c r="R180" s="1">
        <v>0</v>
      </c>
      <c r="S180" s="1">
        <v>0</v>
      </c>
    </row>
    <row r="181" spans="1:19" x14ac:dyDescent="0.25">
      <c r="A181" s="1">
        <v>125</v>
      </c>
      <c r="B181" s="1">
        <v>755</v>
      </c>
      <c r="C181" s="1">
        <v>3329</v>
      </c>
      <c r="D181" s="1">
        <v>18.399999999999999</v>
      </c>
      <c r="E181" s="1">
        <v>-5</v>
      </c>
      <c r="F181" s="1">
        <v>-1.5</v>
      </c>
      <c r="G181">
        <v>-3</v>
      </c>
      <c r="H181">
        <v>-1</v>
      </c>
      <c r="I181">
        <v>0</v>
      </c>
      <c r="K181" s="1">
        <v>125</v>
      </c>
      <c r="L181" s="1">
        <v>811</v>
      </c>
      <c r="M181" s="1">
        <v>3836</v>
      </c>
      <c r="N181" s="1">
        <v>14.8</v>
      </c>
      <c r="O181" s="1">
        <v>-4.0999999999999996</v>
      </c>
      <c r="P181" s="1">
        <v>-1.2</v>
      </c>
      <c r="Q181" s="1">
        <v>0</v>
      </c>
      <c r="R181" s="1">
        <v>0</v>
      </c>
      <c r="S181" s="1">
        <v>0</v>
      </c>
    </row>
    <row r="182" spans="1:19" x14ac:dyDescent="0.25">
      <c r="A182" s="1">
        <v>150</v>
      </c>
      <c r="B182" s="1">
        <v>734</v>
      </c>
      <c r="C182" s="1">
        <v>3142</v>
      </c>
      <c r="D182" s="1">
        <v>19.7</v>
      </c>
      <c r="E182" s="1">
        <v>-4.5</v>
      </c>
      <c r="F182" s="1">
        <v>-1.3</v>
      </c>
      <c r="G182">
        <v>-4</v>
      </c>
      <c r="H182">
        <v>-1</v>
      </c>
      <c r="I182">
        <v>0</v>
      </c>
      <c r="K182" s="1">
        <v>150</v>
      </c>
      <c r="L182" s="1">
        <v>800</v>
      </c>
      <c r="M182" s="1">
        <v>3730</v>
      </c>
      <c r="N182" s="1">
        <v>15.7</v>
      </c>
      <c r="O182" s="1">
        <v>-3.6</v>
      </c>
      <c r="P182" s="1">
        <v>-1</v>
      </c>
      <c r="Q182" s="1">
        <v>0</v>
      </c>
      <c r="R182" s="1">
        <v>0</v>
      </c>
      <c r="S182" s="1">
        <v>0</v>
      </c>
    </row>
    <row r="183" spans="1:19" x14ac:dyDescent="0.25">
      <c r="A183" s="1">
        <v>175</v>
      </c>
      <c r="B183" s="1">
        <v>713</v>
      </c>
      <c r="C183" s="1">
        <v>2963</v>
      </c>
      <c r="D183" s="1">
        <v>19.899999999999999</v>
      </c>
      <c r="E183" s="1">
        <v>-3.9</v>
      </c>
      <c r="F183" s="1">
        <v>-1.1000000000000001</v>
      </c>
      <c r="G183">
        <v>-5</v>
      </c>
      <c r="H183">
        <v>-1</v>
      </c>
      <c r="I183">
        <v>0</v>
      </c>
      <c r="K183" s="1">
        <v>175</v>
      </c>
      <c r="L183" s="1">
        <v>788</v>
      </c>
      <c r="M183" s="1">
        <v>3626</v>
      </c>
      <c r="N183" s="1">
        <v>15.8</v>
      </c>
      <c r="O183" s="1">
        <v>-3.1</v>
      </c>
      <c r="P183" s="1">
        <v>-0.9</v>
      </c>
      <c r="Q183" s="1">
        <v>0</v>
      </c>
      <c r="R183" s="1">
        <v>0</v>
      </c>
      <c r="S183" s="1">
        <v>0</v>
      </c>
    </row>
    <row r="184" spans="1:19" x14ac:dyDescent="0.25">
      <c r="A184" s="1">
        <v>200</v>
      </c>
      <c r="B184" s="1">
        <v>692</v>
      </c>
      <c r="C184" s="1">
        <v>2792</v>
      </c>
      <c r="D184" s="1">
        <v>18.8</v>
      </c>
      <c r="E184" s="1">
        <v>-3.2</v>
      </c>
      <c r="F184" s="1">
        <v>-0.9</v>
      </c>
      <c r="G184">
        <v>-7</v>
      </c>
      <c r="H184">
        <v>-1</v>
      </c>
      <c r="I184">
        <v>0</v>
      </c>
      <c r="K184" s="1">
        <v>200</v>
      </c>
      <c r="L184" s="1">
        <v>777</v>
      </c>
      <c r="M184" s="1">
        <v>3525</v>
      </c>
      <c r="N184" s="1">
        <v>14.7</v>
      </c>
      <c r="O184" s="1">
        <v>-2.5</v>
      </c>
      <c r="P184" s="1">
        <v>-0.7</v>
      </c>
      <c r="Q184" s="1">
        <v>0</v>
      </c>
      <c r="R184" s="1">
        <v>0</v>
      </c>
      <c r="S184" s="1">
        <v>0</v>
      </c>
    </row>
    <row r="185" spans="1:19" x14ac:dyDescent="0.25">
      <c r="A185" s="1">
        <v>225</v>
      </c>
      <c r="B185" s="1">
        <v>671</v>
      </c>
      <c r="C185" s="1">
        <v>2629</v>
      </c>
      <c r="D185" s="1">
        <v>16.399999999999999</v>
      </c>
      <c r="E185" s="1">
        <v>-2.5</v>
      </c>
      <c r="F185" s="1">
        <v>-0.7</v>
      </c>
      <c r="G185">
        <v>-9</v>
      </c>
      <c r="H185">
        <v>-2</v>
      </c>
      <c r="I185">
        <v>0</v>
      </c>
      <c r="K185" s="1">
        <v>225</v>
      </c>
      <c r="L185" s="1">
        <v>766</v>
      </c>
      <c r="M185" s="1">
        <v>3425</v>
      </c>
      <c r="N185" s="1">
        <v>12.7</v>
      </c>
      <c r="O185" s="1">
        <v>-1.9</v>
      </c>
      <c r="P185" s="1">
        <v>-0.6</v>
      </c>
      <c r="Q185" s="1">
        <v>0</v>
      </c>
      <c r="R185" s="1">
        <v>0</v>
      </c>
      <c r="S185" s="1">
        <v>0</v>
      </c>
    </row>
    <row r="186" spans="1:19" x14ac:dyDescent="0.25">
      <c r="A186" s="1">
        <v>250</v>
      </c>
      <c r="B186" s="1">
        <v>651</v>
      </c>
      <c r="C186" s="1">
        <v>2473</v>
      </c>
      <c r="D186" s="1">
        <v>12.6</v>
      </c>
      <c r="E186" s="1">
        <v>-1.7</v>
      </c>
      <c r="F186" s="1">
        <v>-0.5</v>
      </c>
      <c r="G186">
        <v>-11</v>
      </c>
      <c r="H186">
        <v>-2</v>
      </c>
      <c r="I186">
        <v>0</v>
      </c>
      <c r="K186" s="1">
        <v>250</v>
      </c>
      <c r="L186" s="1">
        <v>755</v>
      </c>
      <c r="M186" s="1">
        <v>3328</v>
      </c>
      <c r="N186" s="1">
        <v>9.6999999999999993</v>
      </c>
      <c r="O186" s="1">
        <v>-1.3</v>
      </c>
      <c r="P186" s="1">
        <v>-0.4</v>
      </c>
      <c r="Q186" s="1">
        <v>0</v>
      </c>
      <c r="R186" s="1">
        <v>0</v>
      </c>
      <c r="S186" s="1">
        <v>0</v>
      </c>
    </row>
    <row r="187" spans="1:19" x14ac:dyDescent="0.25">
      <c r="A187" s="1">
        <v>275</v>
      </c>
      <c r="B187" s="1">
        <v>631</v>
      </c>
      <c r="C187" s="1">
        <v>2325</v>
      </c>
      <c r="D187" s="1">
        <v>7.1</v>
      </c>
      <c r="E187" s="1">
        <v>-0.9</v>
      </c>
      <c r="F187" s="1">
        <v>-0.3</v>
      </c>
      <c r="G187">
        <v>-14</v>
      </c>
      <c r="H187">
        <v>-2</v>
      </c>
      <c r="I187">
        <v>-1</v>
      </c>
      <c r="K187" s="1">
        <v>275</v>
      </c>
      <c r="L187" s="1">
        <v>745</v>
      </c>
      <c r="M187" s="1">
        <v>3233</v>
      </c>
      <c r="N187" s="1">
        <v>5.4</v>
      </c>
      <c r="O187" s="1">
        <v>-0.7</v>
      </c>
      <c r="P187" s="1">
        <v>-0.2</v>
      </c>
      <c r="Q187" s="1">
        <v>0</v>
      </c>
      <c r="R187" s="1">
        <v>0</v>
      </c>
      <c r="S187" s="1">
        <v>0</v>
      </c>
    </row>
    <row r="188" spans="1:19" x14ac:dyDescent="0.25">
      <c r="A188" s="10">
        <v>300</v>
      </c>
      <c r="B188" s="10">
        <v>612</v>
      </c>
      <c r="C188" s="10">
        <v>2184</v>
      </c>
      <c r="D188" s="10">
        <v>0.2</v>
      </c>
      <c r="E188" s="10">
        <v>0</v>
      </c>
      <c r="F188" s="10">
        <v>0</v>
      </c>
      <c r="G188">
        <v>-17</v>
      </c>
      <c r="H188">
        <v>-2</v>
      </c>
      <c r="I188">
        <v>-1</v>
      </c>
      <c r="K188" s="1">
        <v>300</v>
      </c>
      <c r="L188" s="1">
        <v>734</v>
      </c>
      <c r="M188" s="1">
        <v>3140</v>
      </c>
      <c r="N188" s="1">
        <v>0.1</v>
      </c>
      <c r="O188" s="1">
        <v>0</v>
      </c>
      <c r="P188" s="1">
        <v>0</v>
      </c>
      <c r="Q188" s="1">
        <v>0</v>
      </c>
      <c r="R188" s="1">
        <v>0</v>
      </c>
      <c r="S188" s="1">
        <v>0</v>
      </c>
    </row>
    <row r="189" spans="1:19" x14ac:dyDescent="0.25">
      <c r="A189" s="1">
        <v>325</v>
      </c>
      <c r="B189" s="1">
        <v>593</v>
      </c>
      <c r="C189" s="1">
        <v>2050</v>
      </c>
      <c r="D189" s="1">
        <v>-8.5</v>
      </c>
      <c r="E189" s="1">
        <v>0.9</v>
      </c>
      <c r="F189" s="1">
        <v>0.3</v>
      </c>
      <c r="G189">
        <v>-20</v>
      </c>
      <c r="H189">
        <v>-2</v>
      </c>
      <c r="I189">
        <v>-1</v>
      </c>
      <c r="K189" s="1">
        <v>325</v>
      </c>
      <c r="L189" s="1">
        <v>723</v>
      </c>
      <c r="M189" s="1">
        <v>3049</v>
      </c>
      <c r="N189" s="1">
        <v>-6.4</v>
      </c>
      <c r="O189" s="1">
        <v>0.7</v>
      </c>
      <c r="P189" s="1">
        <v>0.2</v>
      </c>
      <c r="Q189" s="1">
        <v>0</v>
      </c>
      <c r="R189" s="1">
        <v>0</v>
      </c>
      <c r="S189" s="1">
        <v>0</v>
      </c>
    </row>
    <row r="190" spans="1:19" x14ac:dyDescent="0.25">
      <c r="A190" s="1">
        <v>350</v>
      </c>
      <c r="B190" s="1">
        <v>574</v>
      </c>
      <c r="C190" s="1">
        <v>1923</v>
      </c>
      <c r="D190" s="1">
        <v>-19.399999999999999</v>
      </c>
      <c r="E190" s="1">
        <v>1.9</v>
      </c>
      <c r="F190" s="1">
        <v>0.6</v>
      </c>
      <c r="G190">
        <v>-24</v>
      </c>
      <c r="H190">
        <v>-2</v>
      </c>
      <c r="I190">
        <v>-1</v>
      </c>
      <c r="K190" s="1">
        <v>350</v>
      </c>
      <c r="L190" s="1">
        <v>712</v>
      </c>
      <c r="M190" s="1">
        <v>2960</v>
      </c>
      <c r="N190" s="1">
        <v>-14.3</v>
      </c>
      <c r="O190" s="1">
        <v>1.4</v>
      </c>
      <c r="P190" s="1">
        <v>0.4</v>
      </c>
      <c r="Q190" s="1">
        <v>0</v>
      </c>
      <c r="R190" s="1">
        <v>0</v>
      </c>
      <c r="S190" s="1">
        <v>0</v>
      </c>
    </row>
    <row r="191" spans="1:19" x14ac:dyDescent="0.25">
      <c r="A191" s="1">
        <v>375</v>
      </c>
      <c r="B191" s="1">
        <v>556</v>
      </c>
      <c r="C191" s="1">
        <v>1803</v>
      </c>
      <c r="D191" s="1">
        <v>-31.9</v>
      </c>
      <c r="E191" s="1">
        <v>2.9</v>
      </c>
      <c r="F191" s="1">
        <v>0.9</v>
      </c>
      <c r="G191">
        <v>-27</v>
      </c>
      <c r="H191">
        <v>-3</v>
      </c>
      <c r="I191">
        <v>-1</v>
      </c>
      <c r="K191" s="1">
        <v>375</v>
      </c>
      <c r="L191" s="1">
        <v>702</v>
      </c>
      <c r="M191" s="1">
        <v>2873</v>
      </c>
      <c r="N191" s="1">
        <v>-23.2</v>
      </c>
      <c r="O191" s="1">
        <v>2.1</v>
      </c>
      <c r="P191" s="1">
        <v>0.6</v>
      </c>
      <c r="Q191" s="1">
        <v>0</v>
      </c>
      <c r="R191" s="1">
        <v>0</v>
      </c>
      <c r="S191" s="1">
        <v>0</v>
      </c>
    </row>
    <row r="192" spans="1:19" x14ac:dyDescent="0.25">
      <c r="A192" s="1">
        <v>400</v>
      </c>
      <c r="B192" s="1">
        <v>538</v>
      </c>
      <c r="C192" s="1">
        <v>1688</v>
      </c>
      <c r="D192" s="1">
        <v>-46.6</v>
      </c>
      <c r="E192" s="1">
        <v>4</v>
      </c>
      <c r="F192" s="1">
        <v>1.2</v>
      </c>
      <c r="G192">
        <v>-32</v>
      </c>
      <c r="H192">
        <v>-3</v>
      </c>
      <c r="I192">
        <v>-1</v>
      </c>
      <c r="K192" s="1">
        <v>400</v>
      </c>
      <c r="L192" s="1">
        <v>691</v>
      </c>
      <c r="M192" s="1">
        <v>2789</v>
      </c>
      <c r="N192" s="1">
        <v>-33.299999999999997</v>
      </c>
      <c r="O192" s="1">
        <v>2.9</v>
      </c>
      <c r="P192" s="1">
        <v>0.8</v>
      </c>
      <c r="Q192" s="1">
        <v>0</v>
      </c>
      <c r="R192" s="1">
        <v>0</v>
      </c>
      <c r="S192" s="1">
        <v>0</v>
      </c>
    </row>
    <row r="193" spans="1:19" x14ac:dyDescent="0.25">
      <c r="A193" s="1">
        <v>425</v>
      </c>
      <c r="B193" s="1">
        <v>521</v>
      </c>
      <c r="C193" s="1">
        <v>1581</v>
      </c>
      <c r="D193" s="1">
        <v>-64.2</v>
      </c>
      <c r="E193" s="1">
        <v>5.2</v>
      </c>
      <c r="F193" s="1">
        <v>1.5</v>
      </c>
      <c r="G193">
        <v>-36</v>
      </c>
      <c r="H193">
        <v>-3</v>
      </c>
      <c r="I193">
        <v>-1</v>
      </c>
      <c r="K193" s="1">
        <v>425</v>
      </c>
      <c r="L193" s="1">
        <v>681</v>
      </c>
      <c r="M193" s="1">
        <v>2706</v>
      </c>
      <c r="N193" s="1">
        <v>-45.2</v>
      </c>
      <c r="O193" s="1">
        <v>3.7</v>
      </c>
      <c r="P193" s="1">
        <v>1.1000000000000001</v>
      </c>
      <c r="Q193" s="1">
        <v>0</v>
      </c>
      <c r="R193" s="1">
        <v>0</v>
      </c>
      <c r="S193" s="1">
        <v>0</v>
      </c>
    </row>
    <row r="194" spans="1:19" x14ac:dyDescent="0.25">
      <c r="A194" s="1">
        <v>450</v>
      </c>
      <c r="B194" s="1">
        <v>504</v>
      </c>
      <c r="C194" s="1">
        <v>1480</v>
      </c>
      <c r="D194" s="1">
        <v>-83.7</v>
      </c>
      <c r="E194" s="1">
        <v>6.4</v>
      </c>
      <c r="F194" s="1">
        <v>1.9</v>
      </c>
      <c r="G194">
        <v>-41</v>
      </c>
      <c r="H194">
        <v>-4</v>
      </c>
      <c r="I194">
        <v>-1</v>
      </c>
      <c r="K194" s="1">
        <v>450</v>
      </c>
      <c r="L194" s="1">
        <v>671</v>
      </c>
      <c r="M194" s="1">
        <v>2624</v>
      </c>
      <c r="N194" s="1">
        <v>-58.1</v>
      </c>
      <c r="O194" s="1">
        <v>4.4000000000000004</v>
      </c>
      <c r="P194" s="1">
        <v>1.3</v>
      </c>
      <c r="Q194" s="1">
        <v>0</v>
      </c>
      <c r="R194" s="1">
        <v>0</v>
      </c>
      <c r="S194" s="1">
        <v>0</v>
      </c>
    </row>
    <row r="195" spans="1:19" x14ac:dyDescent="0.25">
      <c r="A195" s="1">
        <v>475</v>
      </c>
      <c r="B195" s="1">
        <v>487</v>
      </c>
      <c r="C195" s="1">
        <v>1385</v>
      </c>
      <c r="D195" s="1">
        <v>-105.8</v>
      </c>
      <c r="E195" s="1">
        <v>7.7</v>
      </c>
      <c r="F195" s="1">
        <v>2.2000000000000002</v>
      </c>
      <c r="G195">
        <v>-47</v>
      </c>
      <c r="H195">
        <v>-4</v>
      </c>
      <c r="I195">
        <v>-1</v>
      </c>
      <c r="K195" s="1">
        <v>475</v>
      </c>
      <c r="L195" s="1">
        <v>661</v>
      </c>
      <c r="M195" s="1">
        <v>2545</v>
      </c>
      <c r="N195" s="1">
        <v>-72.400000000000006</v>
      </c>
      <c r="O195" s="1">
        <v>5.2</v>
      </c>
      <c r="P195" s="1">
        <v>1.5</v>
      </c>
      <c r="Q195" s="1">
        <v>0</v>
      </c>
      <c r="R195" s="1">
        <v>0</v>
      </c>
      <c r="S195" s="1">
        <v>0</v>
      </c>
    </row>
    <row r="196" spans="1:19" x14ac:dyDescent="0.25">
      <c r="A196" s="1">
        <v>500</v>
      </c>
      <c r="B196" s="1">
        <v>472</v>
      </c>
      <c r="C196" s="1">
        <v>1299</v>
      </c>
      <c r="D196" s="1">
        <v>-130.69999999999999</v>
      </c>
      <c r="E196" s="1">
        <v>9</v>
      </c>
      <c r="F196" s="1">
        <v>2.6</v>
      </c>
      <c r="G196">
        <v>-52</v>
      </c>
      <c r="H196">
        <v>-4</v>
      </c>
      <c r="I196">
        <v>-1</v>
      </c>
      <c r="K196" s="1">
        <v>500</v>
      </c>
      <c r="L196" s="1">
        <v>651</v>
      </c>
      <c r="M196" s="1">
        <v>2471</v>
      </c>
      <c r="N196" s="1">
        <v>-88.1</v>
      </c>
      <c r="O196" s="1">
        <v>6.1</v>
      </c>
      <c r="P196" s="1">
        <v>1.8</v>
      </c>
      <c r="Q196" s="1">
        <v>0</v>
      </c>
      <c r="R196" s="1">
        <v>0</v>
      </c>
      <c r="S196" s="1">
        <v>0</v>
      </c>
    </row>
    <row r="198" spans="1:19" x14ac:dyDescent="0.25">
      <c r="A198" t="s">
        <v>90</v>
      </c>
      <c r="K198" t="s">
        <v>84</v>
      </c>
    </row>
    <row r="199" spans="1:19" x14ac:dyDescent="0.25">
      <c r="A199" t="s">
        <v>12</v>
      </c>
      <c r="B199" t="s">
        <v>13</v>
      </c>
      <c r="C199" t="s">
        <v>14</v>
      </c>
      <c r="D199" t="s">
        <v>15</v>
      </c>
      <c r="E199" t="s">
        <v>16</v>
      </c>
      <c r="F199" t="s">
        <v>17</v>
      </c>
      <c r="G199" t="s">
        <v>37</v>
      </c>
      <c r="H199" t="s">
        <v>38</v>
      </c>
      <c r="I199" t="s">
        <v>39</v>
      </c>
      <c r="K199" t="s">
        <v>12</v>
      </c>
      <c r="L199" t="s">
        <v>13</v>
      </c>
      <c r="M199" t="s">
        <v>14</v>
      </c>
      <c r="N199" t="s">
        <v>15</v>
      </c>
      <c r="O199" t="s">
        <v>16</v>
      </c>
      <c r="P199" t="s">
        <v>17</v>
      </c>
      <c r="Q199" t="s">
        <v>37</v>
      </c>
      <c r="R199" t="s">
        <v>38</v>
      </c>
      <c r="S199" t="s">
        <v>39</v>
      </c>
    </row>
    <row r="200" spans="1:19" x14ac:dyDescent="0.25">
      <c r="A200" s="1">
        <v>0</v>
      </c>
      <c r="B200" s="1">
        <v>869</v>
      </c>
      <c r="C200" s="1">
        <v>4402</v>
      </c>
      <c r="D200" s="1">
        <v>-3.8</v>
      </c>
      <c r="E200" s="1">
        <v>0</v>
      </c>
      <c r="F200" s="1">
        <v>0</v>
      </c>
      <c r="G200">
        <v>0</v>
      </c>
      <c r="H200">
        <v>0</v>
      </c>
      <c r="I200">
        <v>0</v>
      </c>
      <c r="K200" s="1">
        <v>0</v>
      </c>
      <c r="L200" s="1">
        <v>869</v>
      </c>
      <c r="M200" s="1">
        <v>4402</v>
      </c>
      <c r="N200" s="1">
        <v>-3.8</v>
      </c>
      <c r="O200" s="1">
        <v>0</v>
      </c>
      <c r="P200" s="1">
        <v>0</v>
      </c>
      <c r="Q200" s="1">
        <v>0</v>
      </c>
      <c r="R200" s="1">
        <v>0</v>
      </c>
      <c r="S200" s="1">
        <v>0</v>
      </c>
    </row>
    <row r="201" spans="1:19" x14ac:dyDescent="0.25">
      <c r="A201" s="1">
        <v>25</v>
      </c>
      <c r="B201" s="1">
        <v>845</v>
      </c>
      <c r="C201" s="1">
        <v>4166</v>
      </c>
      <c r="D201" s="1">
        <v>5.4</v>
      </c>
      <c r="E201" s="1">
        <v>-7.4</v>
      </c>
      <c r="F201" s="1">
        <v>-2.2000000000000002</v>
      </c>
      <c r="G201">
        <v>0</v>
      </c>
      <c r="H201">
        <v>0</v>
      </c>
      <c r="I201">
        <v>0</v>
      </c>
      <c r="K201" s="1">
        <v>25</v>
      </c>
      <c r="L201" s="1">
        <v>857</v>
      </c>
      <c r="M201" s="1">
        <v>4283</v>
      </c>
      <c r="N201" s="1">
        <v>3.7</v>
      </c>
      <c r="O201" s="1">
        <v>-5.0999999999999996</v>
      </c>
      <c r="P201" s="1">
        <v>-1.5</v>
      </c>
      <c r="Q201" s="1">
        <v>0</v>
      </c>
      <c r="R201" s="1">
        <v>0</v>
      </c>
      <c r="S201" s="1">
        <v>0</v>
      </c>
    </row>
    <row r="202" spans="1:19" x14ac:dyDescent="0.25">
      <c r="A202" s="1">
        <v>50</v>
      </c>
      <c r="B202" s="1">
        <v>822</v>
      </c>
      <c r="C202" s="1">
        <v>3943</v>
      </c>
      <c r="D202" s="1">
        <v>13.9</v>
      </c>
      <c r="E202" s="1">
        <v>-9.5</v>
      </c>
      <c r="F202" s="1">
        <v>-2.8</v>
      </c>
      <c r="G202">
        <v>0</v>
      </c>
      <c r="H202">
        <v>0</v>
      </c>
      <c r="I202">
        <v>0</v>
      </c>
      <c r="K202" s="1">
        <v>50</v>
      </c>
      <c r="L202" s="1">
        <v>845</v>
      </c>
      <c r="M202" s="1">
        <v>4168</v>
      </c>
      <c r="N202" s="1">
        <v>10.5</v>
      </c>
      <c r="O202" s="1">
        <v>-7.2</v>
      </c>
      <c r="P202" s="1">
        <v>-2.1</v>
      </c>
      <c r="Q202" s="1">
        <v>0</v>
      </c>
      <c r="R202" s="1">
        <v>0</v>
      </c>
      <c r="S202" s="1">
        <v>0</v>
      </c>
    </row>
    <row r="203" spans="1:19" x14ac:dyDescent="0.25">
      <c r="A203" s="1">
        <v>75</v>
      </c>
      <c r="B203" s="1">
        <v>800</v>
      </c>
      <c r="C203" s="1">
        <v>3729</v>
      </c>
      <c r="D203" s="1">
        <v>21.2</v>
      </c>
      <c r="E203" s="1">
        <v>-9.6999999999999993</v>
      </c>
      <c r="F203" s="1">
        <v>-2.8</v>
      </c>
      <c r="G203">
        <v>-1</v>
      </c>
      <c r="H203">
        <v>0</v>
      </c>
      <c r="I203">
        <v>0</v>
      </c>
      <c r="K203" s="1">
        <v>75</v>
      </c>
      <c r="L203" s="1">
        <v>834</v>
      </c>
      <c r="M203" s="1">
        <v>4055</v>
      </c>
      <c r="N203" s="1">
        <v>16.3</v>
      </c>
      <c r="O203" s="1">
        <v>-7.5</v>
      </c>
      <c r="P203" s="1">
        <v>-2.2000000000000002</v>
      </c>
      <c r="Q203" s="1">
        <v>0</v>
      </c>
      <c r="R203" s="1">
        <v>0</v>
      </c>
      <c r="S203" s="1">
        <v>0</v>
      </c>
    </row>
    <row r="204" spans="1:19" x14ac:dyDescent="0.25">
      <c r="A204" s="1">
        <v>100</v>
      </c>
      <c r="B204" s="1">
        <v>777</v>
      </c>
      <c r="C204" s="1">
        <v>3524</v>
      </c>
      <c r="D204" s="1">
        <v>27.6</v>
      </c>
      <c r="E204" s="1">
        <v>-9.5</v>
      </c>
      <c r="F204" s="1">
        <v>-2.8</v>
      </c>
      <c r="G204">
        <v>-2</v>
      </c>
      <c r="H204">
        <v>-1</v>
      </c>
      <c r="I204">
        <v>0</v>
      </c>
      <c r="K204" s="1">
        <v>100</v>
      </c>
      <c r="L204" s="1">
        <v>822</v>
      </c>
      <c r="M204" s="1">
        <v>3944</v>
      </c>
      <c r="N204" s="1">
        <v>21.2</v>
      </c>
      <c r="O204" s="1">
        <v>-7.3</v>
      </c>
      <c r="P204" s="1">
        <v>-2.1</v>
      </c>
      <c r="Q204" s="1">
        <v>0</v>
      </c>
      <c r="R204" s="1">
        <v>0</v>
      </c>
      <c r="S204" s="1">
        <v>0</v>
      </c>
    </row>
    <row r="205" spans="1:19" x14ac:dyDescent="0.25">
      <c r="A205" s="1">
        <v>125</v>
      </c>
      <c r="B205" s="1">
        <v>755</v>
      </c>
      <c r="C205" s="1">
        <v>3329</v>
      </c>
      <c r="D205" s="1">
        <v>33.200000000000003</v>
      </c>
      <c r="E205" s="1">
        <v>-9.1</v>
      </c>
      <c r="F205" s="1">
        <v>-2.6</v>
      </c>
      <c r="G205">
        <v>-3</v>
      </c>
      <c r="H205">
        <v>-1</v>
      </c>
      <c r="I205">
        <v>0</v>
      </c>
      <c r="K205" s="1">
        <v>125</v>
      </c>
      <c r="L205" s="1">
        <v>811</v>
      </c>
      <c r="M205" s="1">
        <v>3836</v>
      </c>
      <c r="N205" s="1">
        <v>25.3</v>
      </c>
      <c r="O205" s="1">
        <v>-6.9</v>
      </c>
      <c r="P205" s="1">
        <v>-2</v>
      </c>
      <c r="Q205" s="1">
        <v>0</v>
      </c>
      <c r="R205" s="1">
        <v>0</v>
      </c>
      <c r="S205" s="1">
        <v>0</v>
      </c>
    </row>
    <row r="206" spans="1:19" x14ac:dyDescent="0.25">
      <c r="A206" s="1">
        <v>150</v>
      </c>
      <c r="B206" s="1">
        <v>734</v>
      </c>
      <c r="C206" s="1">
        <v>3141</v>
      </c>
      <c r="D206" s="1">
        <v>37.4</v>
      </c>
      <c r="E206" s="1">
        <v>-8.6</v>
      </c>
      <c r="F206" s="1">
        <v>-2.5</v>
      </c>
      <c r="G206">
        <v>-4</v>
      </c>
      <c r="H206">
        <v>-1</v>
      </c>
      <c r="I206">
        <v>0</v>
      </c>
      <c r="K206" s="1">
        <v>150</v>
      </c>
      <c r="L206" s="1">
        <v>800</v>
      </c>
      <c r="M206" s="1">
        <v>3730</v>
      </c>
      <c r="N206" s="1">
        <v>28.3</v>
      </c>
      <c r="O206" s="1">
        <v>-6.5</v>
      </c>
      <c r="P206" s="1">
        <v>-1.9</v>
      </c>
      <c r="Q206" s="1">
        <v>0</v>
      </c>
      <c r="R206" s="1">
        <v>0</v>
      </c>
      <c r="S206" s="1">
        <v>0</v>
      </c>
    </row>
    <row r="207" spans="1:19" x14ac:dyDescent="0.25">
      <c r="A207" s="1">
        <v>175</v>
      </c>
      <c r="B207" s="1">
        <v>713</v>
      </c>
      <c r="C207" s="1">
        <v>2963</v>
      </c>
      <c r="D207" s="1">
        <v>40.5</v>
      </c>
      <c r="E207" s="1">
        <v>-8</v>
      </c>
      <c r="F207" s="1">
        <v>-2.2999999999999998</v>
      </c>
      <c r="G207">
        <v>-5</v>
      </c>
      <c r="H207">
        <v>-1</v>
      </c>
      <c r="I207">
        <v>0</v>
      </c>
      <c r="K207" s="1">
        <v>175</v>
      </c>
      <c r="L207" s="1">
        <v>788</v>
      </c>
      <c r="M207" s="1">
        <v>3626</v>
      </c>
      <c r="N207" s="1">
        <v>30.4</v>
      </c>
      <c r="O207" s="1">
        <v>-6</v>
      </c>
      <c r="P207" s="1">
        <v>-1.7</v>
      </c>
      <c r="Q207" s="1">
        <v>0</v>
      </c>
      <c r="R207" s="1">
        <v>0</v>
      </c>
      <c r="S207" s="1">
        <v>0</v>
      </c>
    </row>
    <row r="208" spans="1:19" x14ac:dyDescent="0.25">
      <c r="A208" s="1">
        <v>200</v>
      </c>
      <c r="B208" s="1">
        <v>692</v>
      </c>
      <c r="C208" s="1">
        <v>2792</v>
      </c>
      <c r="D208" s="1">
        <v>42.5</v>
      </c>
      <c r="E208" s="1">
        <v>-7.3</v>
      </c>
      <c r="F208" s="1">
        <v>-2.1</v>
      </c>
      <c r="G208">
        <v>-7</v>
      </c>
      <c r="H208">
        <v>-1</v>
      </c>
      <c r="I208">
        <v>0</v>
      </c>
      <c r="K208" s="1">
        <v>200</v>
      </c>
      <c r="L208" s="1">
        <v>777</v>
      </c>
      <c r="M208" s="1">
        <v>3525</v>
      </c>
      <c r="N208" s="1">
        <v>31.6</v>
      </c>
      <c r="O208" s="1">
        <v>-5.4</v>
      </c>
      <c r="P208" s="1">
        <v>-1.6</v>
      </c>
      <c r="Q208" s="1">
        <v>0</v>
      </c>
      <c r="R208" s="1">
        <v>0</v>
      </c>
      <c r="S208" s="1">
        <v>0</v>
      </c>
    </row>
    <row r="209" spans="1:19" x14ac:dyDescent="0.25">
      <c r="A209" s="1">
        <v>225</v>
      </c>
      <c r="B209" s="1">
        <v>671</v>
      </c>
      <c r="C209" s="1">
        <v>2629</v>
      </c>
      <c r="D209" s="1">
        <v>43</v>
      </c>
      <c r="E209" s="1">
        <v>-6.6</v>
      </c>
      <c r="F209" s="1">
        <v>-1.9</v>
      </c>
      <c r="G209">
        <v>-9</v>
      </c>
      <c r="H209">
        <v>-2</v>
      </c>
      <c r="I209">
        <v>0</v>
      </c>
      <c r="K209" s="1">
        <v>225</v>
      </c>
      <c r="L209" s="1">
        <v>766</v>
      </c>
      <c r="M209" s="1">
        <v>3425</v>
      </c>
      <c r="N209" s="1">
        <v>31.6</v>
      </c>
      <c r="O209" s="1">
        <v>-4.8</v>
      </c>
      <c r="P209" s="1">
        <v>-1.4</v>
      </c>
      <c r="Q209" s="1">
        <v>0</v>
      </c>
      <c r="R209" s="1">
        <v>0</v>
      </c>
      <c r="S209" s="1">
        <v>0</v>
      </c>
    </row>
    <row r="210" spans="1:19" x14ac:dyDescent="0.25">
      <c r="A210" s="1">
        <v>250</v>
      </c>
      <c r="B210" s="1">
        <v>651</v>
      </c>
      <c r="C210" s="1">
        <v>2473</v>
      </c>
      <c r="D210" s="1">
        <v>42.1</v>
      </c>
      <c r="E210" s="1">
        <v>-5.8</v>
      </c>
      <c r="F210" s="1">
        <v>-1.7</v>
      </c>
      <c r="G210">
        <v>-11</v>
      </c>
      <c r="H210">
        <v>-2</v>
      </c>
      <c r="I210">
        <v>0</v>
      </c>
      <c r="K210" s="1">
        <v>250</v>
      </c>
      <c r="L210" s="1">
        <v>755</v>
      </c>
      <c r="M210" s="1">
        <v>3328</v>
      </c>
      <c r="N210" s="1">
        <v>30.6</v>
      </c>
      <c r="O210" s="1">
        <v>-4.2</v>
      </c>
      <c r="P210" s="1">
        <v>-1.2</v>
      </c>
      <c r="Q210" s="1">
        <v>0</v>
      </c>
      <c r="R210" s="1">
        <v>0</v>
      </c>
      <c r="S210" s="1">
        <v>0</v>
      </c>
    </row>
    <row r="211" spans="1:19" x14ac:dyDescent="0.25">
      <c r="A211" s="1">
        <v>275</v>
      </c>
      <c r="B211" s="1">
        <v>631</v>
      </c>
      <c r="C211" s="1">
        <v>2325</v>
      </c>
      <c r="D211" s="1">
        <v>39.700000000000003</v>
      </c>
      <c r="E211" s="1">
        <v>-5</v>
      </c>
      <c r="F211" s="1">
        <v>-1.4</v>
      </c>
      <c r="G211">
        <v>-14</v>
      </c>
      <c r="H211">
        <v>-2</v>
      </c>
      <c r="I211">
        <v>-1</v>
      </c>
      <c r="K211" s="1">
        <v>275</v>
      </c>
      <c r="L211" s="1">
        <v>745</v>
      </c>
      <c r="M211" s="1">
        <v>3233</v>
      </c>
      <c r="N211" s="1">
        <v>28.5</v>
      </c>
      <c r="O211" s="1">
        <v>-3.6</v>
      </c>
      <c r="P211" s="1">
        <v>-1</v>
      </c>
      <c r="Q211" s="1">
        <v>0</v>
      </c>
      <c r="R211" s="1">
        <v>0</v>
      </c>
      <c r="S211" s="1">
        <v>0</v>
      </c>
    </row>
    <row r="212" spans="1:19" x14ac:dyDescent="0.25">
      <c r="A212" s="1">
        <v>300</v>
      </c>
      <c r="B212" s="1">
        <v>612</v>
      </c>
      <c r="C212" s="1">
        <v>2184</v>
      </c>
      <c r="D212" s="1">
        <v>35.6</v>
      </c>
      <c r="E212" s="1">
        <v>-4.0999999999999996</v>
      </c>
      <c r="F212" s="1">
        <v>-1.2</v>
      </c>
      <c r="G212">
        <v>-17</v>
      </c>
      <c r="H212">
        <v>-2</v>
      </c>
      <c r="I212">
        <v>-1</v>
      </c>
      <c r="K212" s="1">
        <v>300</v>
      </c>
      <c r="L212" s="1">
        <v>734</v>
      </c>
      <c r="M212" s="1">
        <v>3140</v>
      </c>
      <c r="N212" s="1">
        <v>25.3</v>
      </c>
      <c r="O212" s="1">
        <v>-2.9</v>
      </c>
      <c r="P212" s="1">
        <v>-0.8</v>
      </c>
      <c r="Q212" s="1">
        <v>0</v>
      </c>
      <c r="R212" s="1">
        <v>0</v>
      </c>
      <c r="S212" s="1">
        <v>0</v>
      </c>
    </row>
    <row r="213" spans="1:19" x14ac:dyDescent="0.25">
      <c r="A213" s="1">
        <v>325</v>
      </c>
      <c r="B213" s="1">
        <v>593</v>
      </c>
      <c r="C213" s="1">
        <v>2050</v>
      </c>
      <c r="D213" s="1">
        <v>29.9</v>
      </c>
      <c r="E213" s="1">
        <v>-3.2</v>
      </c>
      <c r="F213" s="1">
        <v>-0.9</v>
      </c>
      <c r="G213">
        <v>-20</v>
      </c>
      <c r="H213">
        <v>-2</v>
      </c>
      <c r="I213">
        <v>-1</v>
      </c>
      <c r="K213" s="1">
        <v>325</v>
      </c>
      <c r="L213" s="1">
        <v>723</v>
      </c>
      <c r="M213" s="1">
        <v>3049</v>
      </c>
      <c r="N213" s="1">
        <v>20.9</v>
      </c>
      <c r="O213" s="1">
        <v>-2.2000000000000002</v>
      </c>
      <c r="P213" s="1">
        <v>-0.6</v>
      </c>
      <c r="Q213" s="1">
        <v>0</v>
      </c>
      <c r="R213" s="1">
        <v>0</v>
      </c>
      <c r="S213" s="1">
        <v>0</v>
      </c>
    </row>
    <row r="214" spans="1:19" x14ac:dyDescent="0.25">
      <c r="A214" s="1">
        <v>350</v>
      </c>
      <c r="B214" s="1">
        <v>574</v>
      </c>
      <c r="C214" s="1">
        <v>1923</v>
      </c>
      <c r="D214" s="1">
        <v>22</v>
      </c>
      <c r="E214" s="1">
        <v>-2.2000000000000002</v>
      </c>
      <c r="F214" s="1">
        <v>-0.6</v>
      </c>
      <c r="G214">
        <v>-24</v>
      </c>
      <c r="H214">
        <v>-2</v>
      </c>
      <c r="I214">
        <v>-1</v>
      </c>
      <c r="K214" s="1">
        <v>350</v>
      </c>
      <c r="L214" s="1">
        <v>712</v>
      </c>
      <c r="M214" s="1">
        <v>2960</v>
      </c>
      <c r="N214" s="1">
        <v>15.1</v>
      </c>
      <c r="O214" s="1">
        <v>-1.5</v>
      </c>
      <c r="P214" s="1">
        <v>-0.4</v>
      </c>
      <c r="Q214" s="1">
        <v>0</v>
      </c>
      <c r="R214" s="1">
        <v>0</v>
      </c>
      <c r="S214" s="1">
        <v>0</v>
      </c>
    </row>
    <row r="215" spans="1:19" x14ac:dyDescent="0.25">
      <c r="A215" s="1">
        <v>375</v>
      </c>
      <c r="B215" s="1">
        <v>556</v>
      </c>
      <c r="C215" s="1">
        <v>1802</v>
      </c>
      <c r="D215" s="1">
        <v>12.4</v>
      </c>
      <c r="E215" s="1">
        <v>-1.1000000000000001</v>
      </c>
      <c r="F215" s="1">
        <v>-0.3</v>
      </c>
      <c r="G215">
        <v>-27</v>
      </c>
      <c r="H215">
        <v>-3</v>
      </c>
      <c r="I215">
        <v>-1</v>
      </c>
      <c r="K215" s="1">
        <v>375</v>
      </c>
      <c r="L215" s="1">
        <v>702</v>
      </c>
      <c r="M215" s="1">
        <v>2873</v>
      </c>
      <c r="N215" s="1">
        <v>8.3000000000000007</v>
      </c>
      <c r="O215" s="1">
        <v>-0.8</v>
      </c>
      <c r="P215" s="1">
        <v>-0.2</v>
      </c>
      <c r="Q215" s="1">
        <v>0</v>
      </c>
      <c r="R215" s="1">
        <v>0</v>
      </c>
      <c r="S215" s="1">
        <v>0</v>
      </c>
    </row>
    <row r="216" spans="1:19" x14ac:dyDescent="0.25">
      <c r="A216" s="10">
        <v>400</v>
      </c>
      <c r="B216" s="10">
        <v>538</v>
      </c>
      <c r="C216" s="10">
        <v>1688</v>
      </c>
      <c r="D216" s="10">
        <v>0.7</v>
      </c>
      <c r="E216" s="10">
        <v>-0.1</v>
      </c>
      <c r="F216" s="10">
        <v>0</v>
      </c>
      <c r="G216">
        <v>-32</v>
      </c>
      <c r="H216">
        <v>-3</v>
      </c>
      <c r="I216">
        <v>-1</v>
      </c>
      <c r="K216" s="1">
        <v>400</v>
      </c>
      <c r="L216" s="1">
        <v>691</v>
      </c>
      <c r="M216" s="1">
        <v>2788</v>
      </c>
      <c r="N216" s="1">
        <v>0.2</v>
      </c>
      <c r="O216" s="1">
        <v>0</v>
      </c>
      <c r="P216" s="1">
        <v>0</v>
      </c>
      <c r="Q216" s="1">
        <v>0</v>
      </c>
      <c r="R216" s="1">
        <v>0</v>
      </c>
      <c r="S216" s="1">
        <v>0</v>
      </c>
    </row>
    <row r="217" spans="1:19" x14ac:dyDescent="0.25">
      <c r="A217" s="1">
        <v>425</v>
      </c>
      <c r="B217" s="1">
        <v>521</v>
      </c>
      <c r="C217" s="1">
        <v>1581</v>
      </c>
      <c r="D217" s="1">
        <v>-13.9</v>
      </c>
      <c r="E217" s="1">
        <v>1.1000000000000001</v>
      </c>
      <c r="F217" s="1">
        <v>0.3</v>
      </c>
      <c r="G217">
        <v>-36</v>
      </c>
      <c r="H217">
        <v>-3</v>
      </c>
      <c r="I217">
        <v>-1</v>
      </c>
      <c r="K217" s="1">
        <v>425</v>
      </c>
      <c r="L217" s="1">
        <v>681</v>
      </c>
      <c r="M217" s="1">
        <v>2705</v>
      </c>
      <c r="N217" s="1">
        <v>-9.6</v>
      </c>
      <c r="O217" s="1">
        <v>0.8</v>
      </c>
      <c r="P217" s="1">
        <v>0.2</v>
      </c>
      <c r="Q217" s="1">
        <v>0</v>
      </c>
      <c r="R217" s="1">
        <v>0</v>
      </c>
      <c r="S217" s="1">
        <v>0</v>
      </c>
    </row>
    <row r="218" spans="1:19" x14ac:dyDescent="0.25">
      <c r="A218" s="1">
        <v>450</v>
      </c>
      <c r="B218" s="1">
        <v>504</v>
      </c>
      <c r="C218" s="1">
        <v>1480</v>
      </c>
      <c r="D218" s="1">
        <v>-30.5</v>
      </c>
      <c r="E218" s="1">
        <v>2.2999999999999998</v>
      </c>
      <c r="F218" s="1">
        <v>0.7</v>
      </c>
      <c r="G218">
        <v>-41</v>
      </c>
      <c r="H218">
        <v>-4</v>
      </c>
      <c r="I218">
        <v>-1</v>
      </c>
      <c r="K218" s="1">
        <v>450</v>
      </c>
      <c r="L218" s="1">
        <v>671</v>
      </c>
      <c r="M218" s="1">
        <v>2624</v>
      </c>
      <c r="N218" s="1">
        <v>-20.399999999999999</v>
      </c>
      <c r="O218" s="1">
        <v>1.6</v>
      </c>
      <c r="P218" s="1">
        <v>0.5</v>
      </c>
      <c r="Q218" s="1">
        <v>0</v>
      </c>
      <c r="R218" s="1">
        <v>0</v>
      </c>
      <c r="S218" s="1">
        <v>0</v>
      </c>
    </row>
    <row r="219" spans="1:19" x14ac:dyDescent="0.25">
      <c r="A219" s="1">
        <v>475</v>
      </c>
      <c r="B219" s="1">
        <v>487</v>
      </c>
      <c r="C219" s="1">
        <v>1385</v>
      </c>
      <c r="D219" s="1">
        <v>-49.7</v>
      </c>
      <c r="E219" s="1">
        <v>3.6</v>
      </c>
      <c r="F219" s="1">
        <v>1</v>
      </c>
      <c r="G219">
        <v>-47</v>
      </c>
      <c r="H219">
        <v>-4</v>
      </c>
      <c r="I219">
        <v>-1</v>
      </c>
      <c r="K219" s="1">
        <v>475</v>
      </c>
      <c r="L219" s="1">
        <v>661</v>
      </c>
      <c r="M219" s="1">
        <v>2545</v>
      </c>
      <c r="N219" s="1">
        <v>-32.6</v>
      </c>
      <c r="O219" s="1">
        <v>2.4</v>
      </c>
      <c r="P219" s="1">
        <v>0.7</v>
      </c>
      <c r="Q219" s="1">
        <v>0</v>
      </c>
      <c r="R219" s="1">
        <v>0</v>
      </c>
      <c r="S219" s="1">
        <v>0</v>
      </c>
    </row>
    <row r="220" spans="1:19" x14ac:dyDescent="0.25">
      <c r="A220" s="1">
        <v>500</v>
      </c>
      <c r="B220" s="1">
        <v>472</v>
      </c>
      <c r="C220" s="1">
        <v>1299</v>
      </c>
      <c r="D220" s="1">
        <v>-71.7</v>
      </c>
      <c r="E220" s="1">
        <v>4.9000000000000004</v>
      </c>
      <c r="F220" s="1">
        <v>1.4</v>
      </c>
      <c r="G220">
        <v>-52</v>
      </c>
      <c r="H220">
        <v>-4</v>
      </c>
      <c r="I220">
        <v>-1</v>
      </c>
      <c r="K220" s="1">
        <v>500</v>
      </c>
      <c r="L220" s="1">
        <v>651</v>
      </c>
      <c r="M220" s="1">
        <v>2471</v>
      </c>
      <c r="N220" s="1">
        <v>-46.2</v>
      </c>
      <c r="O220" s="1">
        <v>3.2</v>
      </c>
      <c r="P220" s="1">
        <v>0.9</v>
      </c>
      <c r="Q220" s="1">
        <v>0</v>
      </c>
      <c r="R220" s="1">
        <v>0</v>
      </c>
      <c r="S220" s="1">
        <v>0</v>
      </c>
    </row>
    <row r="222" spans="1:19" x14ac:dyDescent="0.25">
      <c r="A222" t="s">
        <v>91</v>
      </c>
      <c r="K222" t="s">
        <v>77</v>
      </c>
    </row>
    <row r="223" spans="1:19" x14ac:dyDescent="0.25">
      <c r="A223" t="s">
        <v>12</v>
      </c>
      <c r="B223" t="s">
        <v>13</v>
      </c>
      <c r="C223" t="s">
        <v>14</v>
      </c>
      <c r="D223" t="s">
        <v>15</v>
      </c>
      <c r="E223" t="s">
        <v>16</v>
      </c>
      <c r="F223" t="s">
        <v>17</v>
      </c>
      <c r="G223" t="s">
        <v>37</v>
      </c>
      <c r="H223" t="s">
        <v>38</v>
      </c>
      <c r="I223" t="s">
        <v>39</v>
      </c>
      <c r="K223" t="s">
        <v>12</v>
      </c>
      <c r="L223" t="s">
        <v>13</v>
      </c>
      <c r="M223" t="s">
        <v>14</v>
      </c>
      <c r="N223" t="s">
        <v>15</v>
      </c>
      <c r="O223" t="s">
        <v>16</v>
      </c>
      <c r="P223" t="s">
        <v>17</v>
      </c>
      <c r="Q223" t="s">
        <v>37</v>
      </c>
      <c r="R223" t="s">
        <v>38</v>
      </c>
      <c r="S223" t="s">
        <v>39</v>
      </c>
    </row>
    <row r="224" spans="1:19" x14ac:dyDescent="0.25">
      <c r="A224" s="1">
        <v>0</v>
      </c>
      <c r="B224" s="1">
        <v>869</v>
      </c>
      <c r="C224" s="1">
        <v>4402</v>
      </c>
      <c r="D224" s="1">
        <v>-3.8</v>
      </c>
      <c r="E224" s="1">
        <v>0</v>
      </c>
      <c r="F224" s="1">
        <v>0</v>
      </c>
      <c r="G224" s="2">
        <v>0</v>
      </c>
      <c r="H224" s="2">
        <v>0</v>
      </c>
      <c r="I224" s="2">
        <v>0</v>
      </c>
      <c r="K224" s="1">
        <v>0</v>
      </c>
      <c r="L224" s="1">
        <v>869</v>
      </c>
      <c r="M224" s="1">
        <v>4402</v>
      </c>
      <c r="N224" s="1">
        <v>-3.8</v>
      </c>
      <c r="O224" s="1">
        <v>0</v>
      </c>
      <c r="P224" s="1">
        <v>0</v>
      </c>
      <c r="Q224" s="1">
        <v>0</v>
      </c>
      <c r="R224" s="1">
        <v>0</v>
      </c>
      <c r="S224" s="1">
        <v>0</v>
      </c>
    </row>
    <row r="225" spans="1:19" x14ac:dyDescent="0.25">
      <c r="A225" s="1">
        <v>25</v>
      </c>
      <c r="B225" s="1">
        <v>845</v>
      </c>
      <c r="C225" s="1">
        <v>4166</v>
      </c>
      <c r="D225" s="1">
        <v>9</v>
      </c>
      <c r="E225" s="1">
        <v>-12.5</v>
      </c>
      <c r="F225" s="1">
        <v>-3.6</v>
      </c>
      <c r="G225" s="2">
        <v>0</v>
      </c>
      <c r="H225" s="2">
        <v>0</v>
      </c>
      <c r="I225" s="2">
        <v>0</v>
      </c>
      <c r="K225" s="1">
        <v>25</v>
      </c>
      <c r="L225" s="1">
        <v>857</v>
      </c>
      <c r="M225" s="1">
        <v>4283</v>
      </c>
      <c r="N225" s="1">
        <v>6</v>
      </c>
      <c r="O225" s="1">
        <v>-8.3000000000000007</v>
      </c>
      <c r="P225" s="1">
        <v>-2.4</v>
      </c>
      <c r="Q225" s="1">
        <v>0</v>
      </c>
      <c r="R225" s="1">
        <v>0</v>
      </c>
      <c r="S225" s="1">
        <v>0</v>
      </c>
    </row>
    <row r="226" spans="1:19" x14ac:dyDescent="0.25">
      <c r="A226" s="1">
        <v>50</v>
      </c>
      <c r="B226" s="1">
        <v>822</v>
      </c>
      <c r="C226" s="1">
        <v>3943</v>
      </c>
      <c r="D226" s="1">
        <v>21.3</v>
      </c>
      <c r="E226" s="1">
        <v>-14.5</v>
      </c>
      <c r="F226" s="1">
        <v>-4.2</v>
      </c>
      <c r="G226" s="2">
        <v>0</v>
      </c>
      <c r="H226" s="2">
        <v>0</v>
      </c>
      <c r="I226" s="2">
        <v>0</v>
      </c>
      <c r="K226" s="1">
        <v>50</v>
      </c>
      <c r="L226" s="1">
        <v>845</v>
      </c>
      <c r="M226" s="1">
        <v>4168</v>
      </c>
      <c r="N226" s="1">
        <v>15.2</v>
      </c>
      <c r="O226" s="1">
        <v>-10.4</v>
      </c>
      <c r="P226" s="1">
        <v>-3</v>
      </c>
      <c r="Q226" s="1">
        <v>0</v>
      </c>
      <c r="R226" s="1">
        <v>0</v>
      </c>
      <c r="S226" s="1">
        <v>0</v>
      </c>
    </row>
    <row r="227" spans="1:19" x14ac:dyDescent="0.25">
      <c r="A227" s="1">
        <v>75</v>
      </c>
      <c r="B227" s="1">
        <v>800</v>
      </c>
      <c r="C227" s="1">
        <v>3729</v>
      </c>
      <c r="D227" s="1">
        <v>32.299999999999997</v>
      </c>
      <c r="E227" s="1">
        <v>-14.8</v>
      </c>
      <c r="F227" s="1">
        <v>-4.3</v>
      </c>
      <c r="G227" s="2">
        <v>-1</v>
      </c>
      <c r="H227" s="2">
        <v>0</v>
      </c>
      <c r="I227" s="2">
        <v>0</v>
      </c>
      <c r="K227" s="1">
        <v>75</v>
      </c>
      <c r="L227" s="1">
        <v>834</v>
      </c>
      <c r="M227" s="1">
        <v>4055</v>
      </c>
      <c r="N227" s="1">
        <v>23.3</v>
      </c>
      <c r="O227" s="1">
        <v>-10.7</v>
      </c>
      <c r="P227" s="1">
        <v>-3.1</v>
      </c>
      <c r="Q227" s="1">
        <v>0</v>
      </c>
      <c r="R227" s="1">
        <v>0</v>
      </c>
      <c r="S227" s="1">
        <v>0</v>
      </c>
    </row>
    <row r="228" spans="1:19" x14ac:dyDescent="0.25">
      <c r="A228" s="1">
        <v>100</v>
      </c>
      <c r="B228" s="1">
        <v>777</v>
      </c>
      <c r="C228" s="1">
        <v>3524</v>
      </c>
      <c r="D228" s="1">
        <v>42.3</v>
      </c>
      <c r="E228" s="1">
        <v>-14.6</v>
      </c>
      <c r="F228" s="1">
        <v>-4.2</v>
      </c>
      <c r="G228" s="2">
        <v>-2</v>
      </c>
      <c r="H228" s="2">
        <v>-1</v>
      </c>
      <c r="I228" s="2">
        <v>0</v>
      </c>
      <c r="K228" s="1">
        <v>100</v>
      </c>
      <c r="L228" s="1">
        <v>822</v>
      </c>
      <c r="M228" s="1">
        <v>3944</v>
      </c>
      <c r="N228" s="1">
        <v>30.5</v>
      </c>
      <c r="O228" s="1">
        <v>-10.5</v>
      </c>
      <c r="P228" s="1">
        <v>-3.1</v>
      </c>
      <c r="Q228" s="1">
        <v>0</v>
      </c>
      <c r="R228" s="1">
        <v>0</v>
      </c>
      <c r="S228" s="1">
        <v>0</v>
      </c>
    </row>
    <row r="229" spans="1:19" x14ac:dyDescent="0.25">
      <c r="A229" s="1">
        <v>125</v>
      </c>
      <c r="B229" s="1">
        <v>755</v>
      </c>
      <c r="C229" s="1">
        <v>3329</v>
      </c>
      <c r="D229" s="1">
        <v>51.6</v>
      </c>
      <c r="E229" s="1">
        <v>-14.1</v>
      </c>
      <c r="F229" s="1">
        <v>-4.0999999999999996</v>
      </c>
      <c r="G229" s="2">
        <v>-3</v>
      </c>
      <c r="H229" s="2">
        <v>-1</v>
      </c>
      <c r="I229" s="2">
        <v>0</v>
      </c>
      <c r="K229" s="1">
        <v>125</v>
      </c>
      <c r="L229" s="1">
        <v>811</v>
      </c>
      <c r="M229" s="1">
        <v>3836</v>
      </c>
      <c r="N229" s="1">
        <v>37</v>
      </c>
      <c r="O229" s="1">
        <v>-10.1</v>
      </c>
      <c r="P229" s="1">
        <v>-2.9</v>
      </c>
      <c r="Q229" s="1">
        <v>0</v>
      </c>
      <c r="R229" s="1">
        <v>0</v>
      </c>
      <c r="S229" s="1">
        <v>0</v>
      </c>
    </row>
    <row r="230" spans="1:19" x14ac:dyDescent="0.25">
      <c r="A230" s="1">
        <v>150</v>
      </c>
      <c r="B230" s="1">
        <v>734</v>
      </c>
      <c r="C230" s="1">
        <v>3141</v>
      </c>
      <c r="D230" s="1">
        <v>59.5</v>
      </c>
      <c r="E230" s="1">
        <v>-13.6</v>
      </c>
      <c r="F230" s="1">
        <v>-4</v>
      </c>
      <c r="G230" s="2">
        <v>-4</v>
      </c>
      <c r="H230" s="2">
        <v>-1</v>
      </c>
      <c r="I230" s="2">
        <v>0</v>
      </c>
      <c r="K230" s="1">
        <v>150</v>
      </c>
      <c r="L230" s="1">
        <v>800</v>
      </c>
      <c r="M230" s="1">
        <v>3730</v>
      </c>
      <c r="N230" s="1">
        <v>42.3</v>
      </c>
      <c r="O230" s="1">
        <v>-9.6999999999999993</v>
      </c>
      <c r="P230" s="1">
        <v>-2.8</v>
      </c>
      <c r="Q230" s="1">
        <v>0</v>
      </c>
      <c r="R230" s="1">
        <v>0</v>
      </c>
      <c r="S230" s="1">
        <v>0</v>
      </c>
    </row>
    <row r="231" spans="1:19" x14ac:dyDescent="0.25">
      <c r="A231" s="1">
        <v>175</v>
      </c>
      <c r="B231" s="1">
        <v>713</v>
      </c>
      <c r="C231" s="1">
        <v>2963</v>
      </c>
      <c r="D231" s="1">
        <v>66.2</v>
      </c>
      <c r="E231" s="1">
        <v>-13</v>
      </c>
      <c r="F231" s="1">
        <v>-3.8</v>
      </c>
      <c r="G231" s="2">
        <v>-5</v>
      </c>
      <c r="H231" s="2">
        <v>-1</v>
      </c>
      <c r="I231" s="2">
        <v>0</v>
      </c>
      <c r="K231" s="1">
        <v>175</v>
      </c>
      <c r="L231" s="1">
        <v>788</v>
      </c>
      <c r="M231" s="1">
        <v>3626</v>
      </c>
      <c r="N231" s="1">
        <v>46.7</v>
      </c>
      <c r="O231" s="1">
        <v>-9.1999999999999993</v>
      </c>
      <c r="P231" s="1">
        <v>-2.7</v>
      </c>
      <c r="Q231" s="1">
        <v>0</v>
      </c>
      <c r="R231" s="1">
        <v>0</v>
      </c>
      <c r="S231" s="1">
        <v>0</v>
      </c>
    </row>
    <row r="232" spans="1:19" x14ac:dyDescent="0.25">
      <c r="A232" s="1">
        <v>200</v>
      </c>
      <c r="B232" s="1">
        <v>692</v>
      </c>
      <c r="C232" s="1">
        <v>2792</v>
      </c>
      <c r="D232" s="1">
        <v>71.900000000000006</v>
      </c>
      <c r="E232" s="1">
        <v>-12.3</v>
      </c>
      <c r="F232" s="1">
        <v>-3.6</v>
      </c>
      <c r="G232" s="2">
        <v>-7</v>
      </c>
      <c r="H232" s="2">
        <v>-1</v>
      </c>
      <c r="I232" s="2">
        <v>0</v>
      </c>
      <c r="K232" s="1">
        <v>200</v>
      </c>
      <c r="L232" s="1">
        <v>777</v>
      </c>
      <c r="M232" s="1">
        <v>3525</v>
      </c>
      <c r="N232" s="1">
        <v>50.2</v>
      </c>
      <c r="O232" s="1">
        <v>-8.6</v>
      </c>
      <c r="P232" s="1">
        <v>-2.5</v>
      </c>
      <c r="Q232" s="1">
        <v>0</v>
      </c>
      <c r="R232" s="1">
        <v>0</v>
      </c>
      <c r="S232" s="1">
        <v>0</v>
      </c>
    </row>
    <row r="233" spans="1:19" x14ac:dyDescent="0.25">
      <c r="A233" s="1">
        <v>225</v>
      </c>
      <c r="B233" s="1">
        <v>671</v>
      </c>
      <c r="C233" s="1">
        <v>2629</v>
      </c>
      <c r="D233" s="1">
        <v>76.099999999999994</v>
      </c>
      <c r="E233" s="1">
        <v>-11.6</v>
      </c>
      <c r="F233" s="1">
        <v>-3.4</v>
      </c>
      <c r="G233" s="2">
        <v>-9</v>
      </c>
      <c r="H233" s="2">
        <v>-2</v>
      </c>
      <c r="I233" s="2">
        <v>0</v>
      </c>
      <c r="K233" s="1">
        <v>225</v>
      </c>
      <c r="L233" s="1">
        <v>766</v>
      </c>
      <c r="M233" s="1">
        <v>3425</v>
      </c>
      <c r="N233" s="1">
        <v>52.6</v>
      </c>
      <c r="O233" s="1">
        <v>-8</v>
      </c>
      <c r="P233" s="1">
        <v>-2.2999999999999998</v>
      </c>
      <c r="Q233" s="1">
        <v>0</v>
      </c>
      <c r="R233" s="1">
        <v>0</v>
      </c>
      <c r="S233" s="1">
        <v>0</v>
      </c>
    </row>
    <row r="234" spans="1:19" x14ac:dyDescent="0.25">
      <c r="A234" s="1">
        <v>250</v>
      </c>
      <c r="B234" s="1">
        <v>651</v>
      </c>
      <c r="C234" s="1">
        <v>2473</v>
      </c>
      <c r="D234" s="1">
        <v>78.8</v>
      </c>
      <c r="E234" s="1">
        <v>-10.9</v>
      </c>
      <c r="F234" s="1">
        <v>-3.2</v>
      </c>
      <c r="G234" s="2">
        <v>-11</v>
      </c>
      <c r="H234" s="2">
        <v>-2</v>
      </c>
      <c r="I234" s="2">
        <v>0</v>
      </c>
      <c r="K234" s="1">
        <v>250</v>
      </c>
      <c r="L234" s="1">
        <v>755</v>
      </c>
      <c r="M234" s="1">
        <v>3328</v>
      </c>
      <c r="N234" s="1">
        <v>53.9</v>
      </c>
      <c r="O234" s="1">
        <v>-7.4</v>
      </c>
      <c r="P234" s="1">
        <v>-2.2000000000000002</v>
      </c>
      <c r="Q234" s="1">
        <v>0</v>
      </c>
      <c r="R234" s="1">
        <v>0</v>
      </c>
      <c r="S234" s="1">
        <v>0</v>
      </c>
    </row>
    <row r="235" spans="1:19" x14ac:dyDescent="0.25">
      <c r="A235" s="1">
        <v>275</v>
      </c>
      <c r="B235" s="1">
        <v>631</v>
      </c>
      <c r="C235" s="1">
        <v>2325</v>
      </c>
      <c r="D235" s="1">
        <v>80.099999999999994</v>
      </c>
      <c r="E235" s="1">
        <v>-10</v>
      </c>
      <c r="F235" s="1">
        <v>-2.9</v>
      </c>
      <c r="G235" s="2">
        <v>-14</v>
      </c>
      <c r="H235" s="2">
        <v>-2</v>
      </c>
      <c r="I235" s="2">
        <v>-1</v>
      </c>
      <c r="K235" s="1">
        <v>275</v>
      </c>
      <c r="L235" s="1">
        <v>745</v>
      </c>
      <c r="M235" s="1">
        <v>3233</v>
      </c>
      <c r="N235" s="1">
        <v>54.1</v>
      </c>
      <c r="O235" s="1">
        <v>-6.8</v>
      </c>
      <c r="P235" s="1">
        <v>-2</v>
      </c>
      <c r="Q235" s="1">
        <v>0</v>
      </c>
      <c r="R235" s="1">
        <v>0</v>
      </c>
      <c r="S235" s="1">
        <v>0</v>
      </c>
    </row>
    <row r="236" spans="1:19" x14ac:dyDescent="0.25">
      <c r="A236" s="1">
        <v>300</v>
      </c>
      <c r="B236" s="1">
        <v>612</v>
      </c>
      <c r="C236" s="1">
        <v>2184</v>
      </c>
      <c r="D236" s="1">
        <v>79.7</v>
      </c>
      <c r="E236" s="1">
        <v>-9.1</v>
      </c>
      <c r="F236" s="1">
        <v>-2.7</v>
      </c>
      <c r="G236" s="2">
        <v>-17</v>
      </c>
      <c r="H236" s="2">
        <v>-2</v>
      </c>
      <c r="I236" s="2">
        <v>-1</v>
      </c>
      <c r="K236" s="1">
        <v>300</v>
      </c>
      <c r="L236" s="1">
        <v>734</v>
      </c>
      <c r="M236" s="1">
        <v>3140</v>
      </c>
      <c r="N236" s="1">
        <v>53.2</v>
      </c>
      <c r="O236" s="1">
        <v>-6.1</v>
      </c>
      <c r="P236" s="1">
        <v>-1.8</v>
      </c>
      <c r="Q236" s="1">
        <v>0</v>
      </c>
      <c r="R236" s="1">
        <v>0</v>
      </c>
      <c r="S236" s="1">
        <v>0</v>
      </c>
    </row>
    <row r="237" spans="1:19" x14ac:dyDescent="0.25">
      <c r="A237" s="1">
        <v>325</v>
      </c>
      <c r="B237" s="1">
        <v>593</v>
      </c>
      <c r="C237" s="1">
        <v>2050</v>
      </c>
      <c r="D237" s="1">
        <v>77.599999999999994</v>
      </c>
      <c r="E237" s="1">
        <v>-8.1999999999999993</v>
      </c>
      <c r="F237" s="1">
        <v>-2.4</v>
      </c>
      <c r="G237" s="2">
        <v>-20</v>
      </c>
      <c r="H237" s="2">
        <v>-2</v>
      </c>
      <c r="I237" s="2">
        <v>-1</v>
      </c>
      <c r="K237" s="1">
        <v>325</v>
      </c>
      <c r="L237" s="1">
        <v>723</v>
      </c>
      <c r="M237" s="1">
        <v>3049</v>
      </c>
      <c r="N237" s="1">
        <v>51.2</v>
      </c>
      <c r="O237" s="1">
        <v>-5.4</v>
      </c>
      <c r="P237" s="1">
        <v>-1.6</v>
      </c>
      <c r="Q237" s="1">
        <v>0</v>
      </c>
      <c r="R237" s="1">
        <v>0</v>
      </c>
      <c r="S237" s="1">
        <v>0</v>
      </c>
    </row>
    <row r="238" spans="1:19" x14ac:dyDescent="0.25">
      <c r="A238" s="1">
        <v>350</v>
      </c>
      <c r="B238" s="1">
        <v>574</v>
      </c>
      <c r="C238" s="1">
        <v>1923</v>
      </c>
      <c r="D238" s="1">
        <v>73.5</v>
      </c>
      <c r="E238" s="1">
        <v>-7.2</v>
      </c>
      <c r="F238" s="1">
        <v>-2.1</v>
      </c>
      <c r="G238" s="2">
        <v>-24</v>
      </c>
      <c r="H238" s="2">
        <v>-2</v>
      </c>
      <c r="I238" s="2">
        <v>-1</v>
      </c>
      <c r="K238" s="1">
        <v>350</v>
      </c>
      <c r="L238" s="1">
        <v>712</v>
      </c>
      <c r="M238" s="1">
        <v>2960</v>
      </c>
      <c r="N238" s="1">
        <v>47.8</v>
      </c>
      <c r="O238" s="1">
        <v>-4.7</v>
      </c>
      <c r="P238" s="1">
        <v>-1.4</v>
      </c>
      <c r="Q238" s="1">
        <v>0</v>
      </c>
      <c r="R238" s="1">
        <v>0</v>
      </c>
      <c r="S238" s="1">
        <v>0</v>
      </c>
    </row>
    <row r="239" spans="1:19" x14ac:dyDescent="0.25">
      <c r="A239" s="1">
        <v>375</v>
      </c>
      <c r="B239" s="1">
        <v>556</v>
      </c>
      <c r="C239" s="1">
        <v>1802</v>
      </c>
      <c r="D239" s="1">
        <v>67.5</v>
      </c>
      <c r="E239" s="1">
        <v>-6.2</v>
      </c>
      <c r="F239" s="1">
        <v>-1.8</v>
      </c>
      <c r="G239" s="2">
        <v>-27</v>
      </c>
      <c r="H239" s="2">
        <v>-3</v>
      </c>
      <c r="I239" s="2">
        <v>-1</v>
      </c>
      <c r="K239" s="1">
        <v>375</v>
      </c>
      <c r="L239" s="1">
        <v>702</v>
      </c>
      <c r="M239" s="1">
        <v>2873</v>
      </c>
      <c r="N239" s="1">
        <v>43.3</v>
      </c>
      <c r="O239" s="1">
        <v>-4</v>
      </c>
      <c r="P239" s="1">
        <v>-1.2</v>
      </c>
      <c r="Q239" s="1">
        <v>0</v>
      </c>
      <c r="R239" s="1">
        <v>0</v>
      </c>
      <c r="S239" s="1">
        <v>0</v>
      </c>
    </row>
    <row r="240" spans="1:19" x14ac:dyDescent="0.25">
      <c r="A240" s="1">
        <v>400</v>
      </c>
      <c r="B240" s="1">
        <v>538</v>
      </c>
      <c r="C240" s="1">
        <v>1688</v>
      </c>
      <c r="D240" s="1">
        <v>59.4</v>
      </c>
      <c r="E240" s="1">
        <v>-5.0999999999999996</v>
      </c>
      <c r="F240" s="1">
        <v>-1.5</v>
      </c>
      <c r="G240" s="2">
        <v>-32</v>
      </c>
      <c r="H240" s="2">
        <v>-3</v>
      </c>
      <c r="I240" s="2">
        <v>-1</v>
      </c>
      <c r="K240" s="1">
        <v>400</v>
      </c>
      <c r="L240" s="1">
        <v>691</v>
      </c>
      <c r="M240" s="1">
        <v>2788</v>
      </c>
      <c r="N240" s="1">
        <v>37.5</v>
      </c>
      <c r="O240" s="1">
        <v>-3.2</v>
      </c>
      <c r="P240" s="1">
        <v>-0.9</v>
      </c>
      <c r="Q240" s="1">
        <v>0</v>
      </c>
      <c r="R240" s="1">
        <v>0</v>
      </c>
      <c r="S240" s="1">
        <v>0</v>
      </c>
    </row>
    <row r="241" spans="1:19" x14ac:dyDescent="0.25">
      <c r="A241" s="1">
        <v>425</v>
      </c>
      <c r="B241" s="1">
        <v>521</v>
      </c>
      <c r="C241" s="1">
        <v>1581</v>
      </c>
      <c r="D241" s="1">
        <v>48.5</v>
      </c>
      <c r="E241" s="1">
        <v>-3.9</v>
      </c>
      <c r="F241" s="1">
        <v>-1.1000000000000001</v>
      </c>
      <c r="G241" s="2">
        <v>-36</v>
      </c>
      <c r="H241" s="2">
        <v>-3</v>
      </c>
      <c r="I241" s="2">
        <v>-1</v>
      </c>
      <c r="K241" s="1">
        <v>425</v>
      </c>
      <c r="L241" s="1">
        <v>681</v>
      </c>
      <c r="M241" s="1">
        <v>2705</v>
      </c>
      <c r="N241" s="1">
        <v>30.1</v>
      </c>
      <c r="O241" s="1">
        <v>-2.4</v>
      </c>
      <c r="P241" s="1">
        <v>-0.7</v>
      </c>
      <c r="Q241" s="1">
        <v>0</v>
      </c>
      <c r="R241" s="1">
        <v>0</v>
      </c>
      <c r="S241" s="1">
        <v>0</v>
      </c>
    </row>
    <row r="242" spans="1:19" x14ac:dyDescent="0.25">
      <c r="A242" s="1">
        <v>450</v>
      </c>
      <c r="B242" s="1">
        <v>504</v>
      </c>
      <c r="C242" s="1">
        <v>1480</v>
      </c>
      <c r="D242" s="1">
        <v>35.6</v>
      </c>
      <c r="E242" s="1">
        <v>-2.7</v>
      </c>
      <c r="F242" s="1">
        <v>-0.8</v>
      </c>
      <c r="G242" s="2">
        <v>-41</v>
      </c>
      <c r="H242" s="2">
        <v>-4</v>
      </c>
      <c r="I242" s="2">
        <v>-1</v>
      </c>
      <c r="K242" s="1">
        <v>450</v>
      </c>
      <c r="L242" s="1">
        <v>671</v>
      </c>
      <c r="M242" s="1">
        <v>2624</v>
      </c>
      <c r="N242" s="1">
        <v>21.6</v>
      </c>
      <c r="O242" s="1">
        <v>-1.6</v>
      </c>
      <c r="P242" s="1">
        <v>-0.5</v>
      </c>
      <c r="Q242" s="1">
        <v>0</v>
      </c>
      <c r="R242" s="1">
        <v>0</v>
      </c>
      <c r="S242" s="1">
        <v>0</v>
      </c>
    </row>
    <row r="243" spans="1:19" x14ac:dyDescent="0.25">
      <c r="A243" s="1">
        <v>475</v>
      </c>
      <c r="B243" s="1">
        <v>487</v>
      </c>
      <c r="C243" s="1">
        <v>1384</v>
      </c>
      <c r="D243" s="1">
        <v>20</v>
      </c>
      <c r="E243" s="1">
        <v>-1.5</v>
      </c>
      <c r="F243" s="1">
        <v>-0.4</v>
      </c>
      <c r="G243" s="2">
        <v>-47</v>
      </c>
      <c r="H243" s="2">
        <v>-4</v>
      </c>
      <c r="I243" s="2">
        <v>-1</v>
      </c>
      <c r="K243" s="1">
        <v>475</v>
      </c>
      <c r="L243" s="1">
        <v>661</v>
      </c>
      <c r="M243" s="1">
        <v>2545</v>
      </c>
      <c r="N243" s="1">
        <v>11.7</v>
      </c>
      <c r="O243" s="1">
        <v>-0.8</v>
      </c>
      <c r="P243" s="1">
        <v>-0.2</v>
      </c>
      <c r="Q243" s="1">
        <v>0</v>
      </c>
      <c r="R243" s="1">
        <v>0</v>
      </c>
      <c r="S243" s="1">
        <v>0</v>
      </c>
    </row>
    <row r="244" spans="1:19" x14ac:dyDescent="0.25">
      <c r="A244" s="1">
        <v>500</v>
      </c>
      <c r="B244" s="1">
        <v>472</v>
      </c>
      <c r="C244" s="1">
        <v>1299</v>
      </c>
      <c r="D244" s="1">
        <v>1.6</v>
      </c>
      <c r="E244" s="1">
        <v>-0.1</v>
      </c>
      <c r="F244" s="1">
        <v>0</v>
      </c>
      <c r="G244" s="2">
        <v>-52</v>
      </c>
      <c r="H244" s="2">
        <v>-4</v>
      </c>
      <c r="I244" s="2">
        <v>-1</v>
      </c>
      <c r="K244" s="1">
        <v>500</v>
      </c>
      <c r="L244" s="1">
        <v>651</v>
      </c>
      <c r="M244" s="1">
        <v>2471</v>
      </c>
      <c r="N244" s="1">
        <v>0.4</v>
      </c>
      <c r="O244" s="1">
        <v>0</v>
      </c>
      <c r="P244" s="1">
        <v>0</v>
      </c>
      <c r="Q244" s="1">
        <v>0</v>
      </c>
      <c r="R244" s="1">
        <v>0</v>
      </c>
      <c r="S244" s="1">
        <v>0</v>
      </c>
    </row>
    <row r="246" spans="1:19" ht="45" x14ac:dyDescent="0.25">
      <c r="A246" s="26" t="s">
        <v>42</v>
      </c>
      <c r="B246" s="27" t="s">
        <v>92</v>
      </c>
      <c r="C246" s="27" t="s">
        <v>93</v>
      </c>
      <c r="D246" s="27" t="s">
        <v>94</v>
      </c>
      <c r="E246" s="27" t="s">
        <v>95</v>
      </c>
      <c r="F246" s="27" t="s">
        <v>96</v>
      </c>
      <c r="G246" s="27" t="s">
        <v>97</v>
      </c>
      <c r="H246" s="27" t="s">
        <v>98</v>
      </c>
      <c r="I246" s="28" t="s">
        <v>43</v>
      </c>
      <c r="J246" s="28" t="s">
        <v>99</v>
      </c>
      <c r="K246" s="28" t="s">
        <v>100</v>
      </c>
    </row>
    <row r="247" spans="1:19" x14ac:dyDescent="0.25">
      <c r="A247" t="s">
        <v>44</v>
      </c>
      <c r="B247" s="22" cm="1">
        <f t="array" ref="B247">INDEX(LINEST(J$22:J$35,$A$22:$A$35^{1,2,3}), 1,4)</f>
        <v>-5.1816021778226933</v>
      </c>
      <c r="C247" s="22" cm="1">
        <f t="array" ref="C247">INDEX(LINEST(K$22:K$35,$A$22:$A$35^{1,2,3}), 1,4)</f>
        <v>-4.592862903367692</v>
      </c>
      <c r="D247" s="23" cm="1">
        <f t="array" ref="D247">INDEX(LINEST(L$22:L$35,$A$22:$A$35^{1,2,3}), 1,4)</f>
        <v>-5.3141258171463264</v>
      </c>
      <c r="E247" s="23" cm="1">
        <f t="array" ref="E247">INDEX(LINEST(M$22:M$35,$A$22:$A$35^{1,2,3}), 1,4)</f>
        <v>-4.1034495423320934</v>
      </c>
      <c r="F247" s="23" cm="1">
        <f t="array" ref="F247">INDEX(LINEST(N$22:N$35,$A$22:$A$35^{1,2,3}), 1,4)</f>
        <v>-5.2392614258580608</v>
      </c>
      <c r="G247" s="23" cm="1">
        <f t="array" ref="G247">INDEX(LINEST(O$22:O$35,$A$22:$A$35^{1,2,3}), 1,4)</f>
        <v>-5.0672055311328528</v>
      </c>
      <c r="H247" s="23" cm="1">
        <f t="array" ref="H247">INDEX(LINEST(P$22:P$35,$A$22:$A$35^{1,2,3}), 1,4)</f>
        <v>-4.4318894072340456</v>
      </c>
      <c r="I247" s="23" cm="1">
        <f t="array" ref="I247">INDEX(LINEST(B$22:B$35,$A$22:$A$35^{1,2,3}), 1,4)</f>
        <v>4411.8416792245735</v>
      </c>
      <c r="J247" s="23" cm="1">
        <f t="array" ref="J247">INDEX(LINEST($C$80:$C$100,$A$80:$A$100^{1,2,3}), 1,4)</f>
        <v>4399.2975719932265</v>
      </c>
      <c r="K247" s="23" cm="1">
        <f t="array" ref="K247">INDEX(LINEST($M$80:$M$100,$K$80:$K$100^{1,2,3}), 1,4)</f>
        <v>4401.3193111236578</v>
      </c>
    </row>
    <row r="248" spans="1:19" x14ac:dyDescent="0.25">
      <c r="A248" t="s">
        <v>45</v>
      </c>
      <c r="B248" s="23" cm="1">
        <f t="array" ref="B248">INDEX(LINEST(J$22:J$35,$A$22:$A$35^{1,2,3}), 1,3)</f>
        <v>0.14824909426545949</v>
      </c>
      <c r="C248" s="22" cm="1">
        <f t="array" ref="C248">INDEX(LINEST(K$22:K$35,$A$22:$A$35^{1,2,3}), 1,3)</f>
        <v>9.4243584697707092E-2</v>
      </c>
      <c r="D248" s="23" cm="1">
        <f t="array" ref="D248">INDEX(LINEST(L$22:L$35,$A$22:$A$35^{1,2,3}), 1,3)</f>
        <v>0.14932219495590882</v>
      </c>
      <c r="E248" s="23" cm="1">
        <f t="array" ref="E248">INDEX(LINEST(M$22:M$35,$A$22:$A$35^{1,2,3}), 1,3)</f>
        <v>0.13941554178240489</v>
      </c>
      <c r="F248" s="23" cm="1">
        <f t="array" ref="F248">INDEX(LINEST(N$22:N$35,$A$22:$A$35^{1,2,3}), 1,3)</f>
        <v>0.22826393881575271</v>
      </c>
      <c r="G248" s="23" cm="1">
        <f t="array" ref="G248">INDEX(LINEST(O$22:O$35,$A$22:$A$35^{1,2,3}), 1,3)</f>
        <v>0.30814099581104121</v>
      </c>
      <c r="H248" s="23" cm="1">
        <f t="array" ref="H248">INDEX(LINEST(P$22:P$35,$A$22:$A$35^{1,2,3}), 1,3)</f>
        <v>0.38319651676097966</v>
      </c>
      <c r="I248" s="23" cm="1">
        <f t="array" ref="I248">INDEX(LINEST(B$22:B$35,$A$22:$A$35^{1,2,3}), 1,3)</f>
        <v>-4.525895479821533</v>
      </c>
      <c r="J248" s="23" cm="1">
        <f t="array" ref="J248">INDEX(LINEST($C$80:$C$100,$A$80:$A$100^{1,2,3}), 1,3)</f>
        <v>-9.4788065684633427</v>
      </c>
      <c r="K248" s="23" cm="1">
        <f t="array" ref="K248">INDEX(LINEST($M$80:$M$100,$K$80:$K$100^{1,2,3}), 1,3)</f>
        <v>-4.7600668007304039</v>
      </c>
    </row>
    <row r="249" spans="1:19" x14ac:dyDescent="0.25">
      <c r="A249" t="s">
        <v>46</v>
      </c>
      <c r="B249" s="23" cm="1">
        <f t="array" ref="B249">INDEX(LINEST(J$22:J$35,$A$22:$A$35^{1,2,3}), 1,2)</f>
        <v>-4.6712164376154497E-4</v>
      </c>
      <c r="C249" s="23" cm="1">
        <f t="array" ref="C249">INDEX(LINEST(K$22:K$35,$A$22:$A$35^{1,2,3}), 1,2)</f>
        <v>-4.2032792745535244E-4</v>
      </c>
      <c r="D249" s="23" cm="1">
        <f t="array" ref="D249">INDEX(LINEST(L$22:L$35,$A$22:$A$35^{1,2,3}), 1,2)</f>
        <v>-7.0956314933936409E-4</v>
      </c>
      <c r="E249" s="23" cm="1">
        <f t="array" ref="E249">INDEX(LINEST(M$22:M$35,$A$22:$A$35^{1,2,3}), 1,2)</f>
        <v>-4.9107003260879536E-4</v>
      </c>
      <c r="F249" s="23" cm="1">
        <f t="array" ref="F249">INDEX(LINEST(N$22:N$35,$A$22:$A$35^{1,2,3}), 1,2)</f>
        <v>-5.5826921953773556E-4</v>
      </c>
      <c r="G249" s="23" cm="1">
        <f t="array" ref="G249">INDEX(LINEST(O$22:O$35,$A$22:$A$35^{1,2,3}), 1,2)</f>
        <v>-4.6665490380129064E-4</v>
      </c>
      <c r="H249" s="23" cm="1">
        <f t="array" ref="H249">INDEX(LINEST(P$22:P$35,$A$22:$A$35^{1,2,3}), 1,2)</f>
        <v>-3.7781229866453651E-4</v>
      </c>
      <c r="I249" s="23" cm="1">
        <f t="array" ref="I249">INDEX(LINEST(B$22:B$35,$A$22:$A$35^{1,2,3}), 1,2)</f>
        <v>1.0140951247023554E-3</v>
      </c>
      <c r="J249" s="23" cm="1">
        <f t="array" ref="J249">INDEX(LINEST($C$80:$C$100,$A$80:$A$100^{1,2,3}), 1,2)</f>
        <v>7.622090800122926E-3</v>
      </c>
      <c r="K249" s="23" cm="1">
        <f t="array" ref="K249">INDEX(LINEST($M$80:$M$100,$K$80:$K$100^{1,2,3}), 1,2)</f>
        <v>1.9373730769611298E-3</v>
      </c>
    </row>
    <row r="250" spans="1:19" x14ac:dyDescent="0.25">
      <c r="A250" t="s">
        <v>47</v>
      </c>
      <c r="B250" s="22" cm="1">
        <f t="array" ref="B250">INDEX(LINEST(J$22:J$35,$A$22:$A$35^{1,2,3}), 1)</f>
        <v>-8.2952487203336597E-7</v>
      </c>
      <c r="C250" s="22" cm="1">
        <f t="array" ref="C250">INDEX(LINEST(K$22:K$35,$A$22:$A$35^{1,2,3}), 1)</f>
        <v>-7.0479399890333104E-7</v>
      </c>
      <c r="D250" s="23" cm="1">
        <f t="array" ref="D250">INDEX(LINEST(L$22:L$35,$A$22:$A$35^{1,2,3}), 1)</f>
        <v>-2.3825620937557502E-7</v>
      </c>
      <c r="E250" s="23" cm="1">
        <f t="array" ref="E250">INDEX(LINEST(M$22:M$35,$A$22:$A$35^{1,2,3}), 1)</f>
        <v>-5.3728758779568401E-7</v>
      </c>
      <c r="F250" s="23" cm="1">
        <f t="array" ref="F250">INDEX(LINEST(N$22:N$35,$A$22:$A$35^{1,2,3}), 1)</f>
        <v>-4.4857394891567907E-7</v>
      </c>
      <c r="G250" s="23" cm="1">
        <f t="array" ref="G250">INDEX(LINEST(O$22:O$35,$A$22:$A$35^{1,2,3}), 1)</f>
        <v>-6.7832958548680242E-7</v>
      </c>
      <c r="H250" s="23" cm="1">
        <f t="array" ref="H250">INDEX(LINEST(P$22:P$35,$A$22:$A$35^{1,2,3}), 1)</f>
        <v>-7.4641738830316361E-7</v>
      </c>
      <c r="I250" s="23" cm="1">
        <f t="array" ref="I250">INDEX(LINEST(B$22:B$35,$A$22:$A$35^{1,2,3}), 1)</f>
        <v>8.0970565912013801E-7</v>
      </c>
      <c r="J250" s="23" cm="1">
        <f t="array" ref="J250">INDEX(LINEST($C$80:$C$100,$A$80:$A$100^{1,2,3}), 1)</f>
        <v>-2.1516769525923906E-6</v>
      </c>
      <c r="K250" s="23" cm="1">
        <f t="array" ref="K250">INDEX(LINEST($M$80:$M$100,$K$80:$K$100^{1,2,3}), 1)</f>
        <v>-2.8809837505485012E-7</v>
      </c>
    </row>
    <row r="251" spans="1:19" x14ac:dyDescent="0.25">
      <c r="A251" t="s">
        <v>48</v>
      </c>
      <c r="B251" s="22"/>
      <c r="C251" s="22"/>
      <c r="D251" s="23"/>
      <c r="E251" s="23"/>
      <c r="F251" s="23"/>
      <c r="G251" s="23"/>
      <c r="H251" s="23"/>
      <c r="I251" s="23"/>
    </row>
    <row r="252" spans="1:19" x14ac:dyDescent="0.25">
      <c r="A252" t="s">
        <v>49</v>
      </c>
      <c r="B252" s="22"/>
      <c r="C252" s="22"/>
      <c r="D252" s="23"/>
      <c r="E252" s="23"/>
      <c r="F252" s="23"/>
      <c r="G252" s="23"/>
      <c r="H252" s="23"/>
      <c r="I252" s="23"/>
    </row>
    <row r="253" spans="1:19" x14ac:dyDescent="0.25">
      <c r="A253" t="s">
        <v>50</v>
      </c>
      <c r="B253" s="22"/>
      <c r="C253" s="22"/>
      <c r="D253" s="23"/>
      <c r="E253" s="23"/>
      <c r="F253" s="23"/>
      <c r="G253" s="23"/>
      <c r="H253" s="23"/>
      <c r="I253" s="23"/>
    </row>
    <row r="254" spans="1:19" x14ac:dyDescent="0.25">
      <c r="B254" s="22"/>
      <c r="C254" s="22"/>
      <c r="D254" s="22"/>
      <c r="E254" s="22"/>
      <c r="F254" s="22"/>
      <c r="G254" s="22"/>
      <c r="H254" s="22"/>
      <c r="I254" s="22"/>
    </row>
    <row r="255" spans="1:19" x14ac:dyDescent="0.25">
      <c r="A255" s="29"/>
      <c r="B255" s="49"/>
      <c r="C255" s="49"/>
      <c r="D255" s="49"/>
      <c r="E255" s="49"/>
      <c r="F255" s="49"/>
      <c r="G255" s="49"/>
      <c r="H255" s="49"/>
    </row>
    <row r="256" spans="1:19" x14ac:dyDescent="0.25">
      <c r="A256" s="30" t="s">
        <v>4</v>
      </c>
      <c r="B256" s="46" t="s">
        <v>52</v>
      </c>
      <c r="C256" s="46"/>
      <c r="D256" s="46"/>
      <c r="E256" s="46"/>
      <c r="F256" s="46"/>
      <c r="G256" s="46"/>
      <c r="H256" s="46"/>
      <c r="I256" s="46" t="s">
        <v>53</v>
      </c>
      <c r="J256" s="46"/>
      <c r="K256" s="50"/>
    </row>
    <row r="257" spans="1:11" x14ac:dyDescent="0.25">
      <c r="A257" s="1">
        <v>0</v>
      </c>
      <c r="B257" s="2" cm="1">
        <f t="array" ref="B257">TrajectoryToComeUp(B$247:B$250,$A257)</f>
        <v>0</v>
      </c>
      <c r="C257" s="2" cm="1">
        <f t="array" ref="C257">TrajectoryToComeUp(C$247:C$250,$A257)</f>
        <v>0</v>
      </c>
      <c r="D257" s="2" cm="1">
        <f t="array" ref="D257">TrajectoryToComeUp(D$247:D$250,$A257)</f>
        <v>0</v>
      </c>
      <c r="E257" s="2" cm="1">
        <f t="array" ref="E257">TrajectoryToComeUp(E$247:E$250,$A257)</f>
        <v>0</v>
      </c>
      <c r="F257" s="2" cm="1">
        <f t="array" ref="F257">TrajectoryToComeUp(F$247:F$250,$A257)</f>
        <v>0</v>
      </c>
      <c r="G257" s="2" cm="1">
        <f t="array" ref="G257">TrajectoryToComeUp(G$247:G$250,$A257)</f>
        <v>0</v>
      </c>
      <c r="H257" s="2" cm="1">
        <f t="array" ref="H257">TrajectoryToComeUp(H$247:H$250,$A257)</f>
        <v>0</v>
      </c>
      <c r="I257" s="2" cm="1">
        <f t="array" ref="I257">EvaluatePolynomial(I$247:I$250,$A257)</f>
        <v>4411.8416792245735</v>
      </c>
      <c r="J257" s="2" cm="1">
        <f t="array" ref="J257">EvaluatePolynomial(J$247:J$250,$A257)</f>
        <v>4399.2975719932265</v>
      </c>
      <c r="K257" s="1" cm="1">
        <f t="array" ref="K257">EvaluatePolynomial(K$247:K$250,$A257)</f>
        <v>4401.3193111236578</v>
      </c>
    </row>
    <row r="258" spans="1:11" x14ac:dyDescent="0.25">
      <c r="A258" s="1">
        <v>25</v>
      </c>
      <c r="B258" s="2" cm="1">
        <f t="array" ref="B258">TrajectoryToComeUp(B$247:B$250,$A258)</f>
        <v>0.71211486986507744</v>
      </c>
      <c r="C258" s="2" cm="1">
        <f t="array" ref="C258">TrajectoryToComeUp(C$247:C$250,$A258)</f>
        <v>1.0041962587269899</v>
      </c>
      <c r="D258" s="24" cm="1">
        <f t="array" ref="D258">TrajectoryToComeUp(D$247:D$250,$A258)</f>
        <v>0.81130826594288097</v>
      </c>
      <c r="E258" s="24" cm="1">
        <f t="array" ref="E258">TrajectoryToComeUp(E$247:E$250,$A258)</f>
        <v>0.37334995468471033</v>
      </c>
      <c r="F258" s="24" cm="1">
        <f t="array" ref="F258">TrajectoryToComeUp(F$247:F$250,$A258)</f>
        <v>-4.4563925749145833E-2</v>
      </c>
      <c r="G258" s="24" cm="1">
        <f t="array" ref="G258">TrajectoryToComeUp(G$247:G$250,$A258)</f>
        <v>-0.93362445979765563</v>
      </c>
      <c r="H258" s="24" cm="1">
        <f t="array" ref="H258">TrajectoryToComeUp(H$247:H$250,$A258)</f>
        <v>-1.9600912213731494</v>
      </c>
      <c r="I258" s="2" cm="1">
        <f t="array" ref="I258">EvaluatePolynomial(I$247:I$250,$A258)</f>
        <v>4299.3407533328982</v>
      </c>
      <c r="J258" s="2" cm="1">
        <f t="array" ref="J258">EvaluatePolynomial(J$247:J$250,$A258)</f>
        <v>4167.0575945793353</v>
      </c>
      <c r="K258" s="1" cm="1">
        <f t="array" ref="K258">EvaluatePolynomial(K$247:K$250,$A258)</f>
        <v>4283.5239977413885</v>
      </c>
    </row>
    <row r="259" spans="1:11" x14ac:dyDescent="0.25">
      <c r="A259" s="1">
        <v>50</v>
      </c>
      <c r="B259" s="2" cm="1">
        <f t="array" ref="B259">TrajectoryToComeUp(B$247:B$250,$A259)</f>
        <v>-0.19187156340844957</v>
      </c>
      <c r="C259" s="2" cm="1">
        <f t="array" ref="C259">TrajectoryToComeUp(C$247:C$250,$A259)</f>
        <v>0.20392054739672702</v>
      </c>
      <c r="D259" s="24" cm="1">
        <f t="array" ref="D259">TrajectoryToComeUp(D$247:D$250,$A259)</f>
        <v>-6.965880622575138E-2</v>
      </c>
      <c r="E259" s="24" cm="1">
        <f t="array" ref="E259">TrajectoryToComeUp(E$247:E$250,$A259)</f>
        <v>-0.31449830335834045</v>
      </c>
      <c r="F259" s="24" cm="1">
        <f t="array" ref="F259">TrajectoryToComeUp(F$247:F$250,$A259)</f>
        <v>-0.9444381444941552</v>
      </c>
      <c r="G259" s="24" cm="1">
        <f t="array" ref="G259">TrajectoryToComeUp(G$247:G$250,$A259)</f>
        <v>-1.8176831603460262</v>
      </c>
      <c r="H259" s="24" cm="1">
        <f t="array" ref="H259">TrajectoryToComeUp(H$247:H$250,$A259)</f>
        <v>-2.7380207021231402</v>
      </c>
      <c r="I259" s="2" cm="1">
        <f t="array" ref="I259">EvaluatePolynomial(I$247:I$250,$A259)</f>
        <v>4188.1833562526426</v>
      </c>
      <c r="J259" s="2" cm="1">
        <f t="array" ref="J259">EvaluatePolynomial(J$247:J$250,$A259)</f>
        <v>3944.1435109512927</v>
      </c>
      <c r="K259" s="1" cm="1">
        <f t="array" ref="K259">EvaluatePolynomial(K$247:K$250,$A259)</f>
        <v>4168.1233914826589</v>
      </c>
    </row>
    <row r="260" spans="1:11" x14ac:dyDescent="0.25">
      <c r="A260" s="1">
        <v>75</v>
      </c>
      <c r="B260" s="2" cm="1">
        <f t="array" ref="B260">TrajectoryToComeUp(B$247:B$250,$A260)</f>
        <v>-0.39460864540520024</v>
      </c>
      <c r="C260" s="2" cm="1">
        <f t="array" ref="C260">TrajectoryToComeUp(C$247:C$250,$A260)</f>
        <v>2.483648150178137E-2</v>
      </c>
      <c r="D260" s="24" cm="1">
        <f t="array" ref="D260">TrajectoryToComeUp(D$247:D$250,$A260)</f>
        <v>-0.23909756682434549</v>
      </c>
      <c r="E260" s="24" cm="1">
        <f t="array" ref="E260">TrajectoryToComeUp(E$247:E$250,$A260)</f>
        <v>-0.44850386090966604</v>
      </c>
      <c r="F260" s="24" cm="1">
        <f t="array" ref="F260">TrajectoryToComeUp(F$247:F$250,$A260)</f>
        <v>-1.1401369987633103</v>
      </c>
      <c r="G260" s="24" cm="1">
        <f t="array" ref="G260">TrajectoryToComeUp(G$247:G$250,$A260)</f>
        <v>-2.0176353369247644</v>
      </c>
      <c r="H260" s="24" cm="1">
        <f t="array" ref="H260">TrajectoryToComeUp(H$247:H$250,$A260)</f>
        <v>-2.9157013778881353</v>
      </c>
      <c r="I260" s="2" cm="1">
        <f t="array" ref="I260">EvaluatePolynomial(I$247:I$250,$A260)</f>
        <v>4078.4453978893507</v>
      </c>
      <c r="J260" s="2" cm="1">
        <f t="array" ref="J260">EvaluatePolynomial(J$247:J$250,$A260)</f>
        <v>3730.3536013947923</v>
      </c>
      <c r="K260" s="1" cm="1">
        <f t="array" ref="K260">EvaluatePolynomial(K$247:K$250,$A260)</f>
        <v>4055.0904831248076</v>
      </c>
    </row>
    <row r="261" spans="1:11" x14ac:dyDescent="0.25">
      <c r="A261" s="1">
        <v>100</v>
      </c>
      <c r="B261" s="2" cm="1">
        <f t="array" ref="B261">TrajectoryToComeUp(B$247:B$250,$A261)</f>
        <v>-0.41425659390744396</v>
      </c>
      <c r="C261" s="2" cm="1">
        <f t="array" ref="C261">TrajectoryToComeUp(C$247:C$250,$A261)</f>
        <v>7.6577707053837492E-3</v>
      </c>
      <c r="D261" s="24" cm="1">
        <f t="array" ref="D261">TrajectoryToComeUp(D$247:D$250,$A261)</f>
        <v>-0.22842059756753386</v>
      </c>
      <c r="E261" s="24" cm="1">
        <f t="array" ref="E261">TrajectoryToComeUp(E$247:E$250,$A261)</f>
        <v>-0.43901167220247583</v>
      </c>
      <c r="F261" s="24" cm="1">
        <f t="array" ref="F261">TrajectoryToComeUp(F$247:F$250,$A261)</f>
        <v>-1.1555866311424174</v>
      </c>
      <c r="G261" s="24" cm="1">
        <f t="array" ref="G261">TrajectoryToComeUp(G$247:G$250,$A261)</f>
        <v>-2.0402015426471558</v>
      </c>
      <c r="H261" s="24" cm="1">
        <f t="array" ref="H261">TrajectoryToComeUp(H$247:H$250,$A261)</f>
        <v>-2.9363221893915394</v>
      </c>
      <c r="I261" s="2" cm="1">
        <f t="array" ref="I261">EvaluatePolynomial(I$247:I$250,$A261)</f>
        <v>3970.2027881485637</v>
      </c>
      <c r="J261" s="2" cm="1">
        <f t="array" ref="J261">EvaluatePolynomial(J$247:J$250,$A261)</f>
        <v>3525.4861461955288</v>
      </c>
      <c r="K261" s="1" cm="1">
        <f t="array" ref="K261">EvaluatePolynomial(K$247:K$250,$A261)</f>
        <v>3944.3982634451741</v>
      </c>
    </row>
    <row r="262" spans="1:11" x14ac:dyDescent="0.25">
      <c r="A262" s="1">
        <v>125</v>
      </c>
      <c r="B262" s="2" cm="1">
        <f t="array" ref="B262">TrajectoryToComeUp(B$247:B$250,$A262)</f>
        <v>-0.35444745247163484</v>
      </c>
      <c r="C262" s="2" cm="1">
        <f t="array" ref="C262">TrajectoryToComeUp(C$247:C$250,$A262)</f>
        <v>6.0527156940180411E-2</v>
      </c>
      <c r="D262" s="24" cm="1">
        <f t="array" ref="D262">TrajectoryToComeUp(D$247:D$250,$A262)</f>
        <v>-0.14391041479824335</v>
      </c>
      <c r="E262" s="24" cm="1">
        <f t="array" ref="E262">TrajectoryToComeUp(E$247:E$250,$A262)</f>
        <v>-0.36809072808341164</v>
      </c>
      <c r="F262" s="24" cm="1">
        <f t="array" ref="F262">TrajectoryToComeUp(F$247:F$250,$A262)</f>
        <v>-1.0955722701486379</v>
      </c>
      <c r="G262" s="24" cm="1">
        <f t="array" ref="G262">TrajectoryToComeUp(G$247:G$250,$A262)</f>
        <v>-1.9867258881358574</v>
      </c>
      <c r="H262" s="24" cm="1">
        <f t="array" ref="H262">TrajectoryToComeUp(H$247:H$250,$A262)</f>
        <v>-2.888520924778033</v>
      </c>
      <c r="I262" s="2" cm="1">
        <f t="array" ref="I262">EvaluatePolynomial(I$247:I$250,$A262)</f>
        <v>3863.5314369358252</v>
      </c>
      <c r="J262" s="2" cm="1">
        <f t="array" ref="J262">EvaluatePolynomial(J$247:J$250,$A262)</f>
        <v>3329.3394256391975</v>
      </c>
      <c r="K262" s="1" cm="1">
        <f t="array" ref="K262">EvaluatePolynomial(K$247:K$250,$A262)</f>
        <v>3836.0197232210958</v>
      </c>
    </row>
    <row r="263" spans="1:11" x14ac:dyDescent="0.25">
      <c r="A263" s="1">
        <v>145</v>
      </c>
      <c r="B263" s="2" cm="1">
        <f t="array" ref="B263">TrajectoryToComeUp(B$247:B$250,$A263)</f>
        <v>-0.27340508052273993</v>
      </c>
      <c r="C263" s="2" cm="1">
        <f t="array" ref="C263">TrajectoryToComeUp(C$247:C$250,$A263)</f>
        <v>0.13197175185211144</v>
      </c>
      <c r="D263" s="24" cm="1">
        <f t="array" ref="D263">TrajectoryToComeUp(D$247:D$250,$A263)</f>
        <v>-4.7770579330531651E-2</v>
      </c>
      <c r="E263" s="24" cm="1">
        <f t="array" ref="E263">TrajectoryToComeUp(E$247:E$250,$A263)</f>
        <v>-0.28614263504641907</v>
      </c>
      <c r="F263" s="24" cm="1">
        <f t="array" ref="F263">TrajectoryToComeUp(F$247:F$250,$A263)</f>
        <v>-1.0175079728711813</v>
      </c>
      <c r="G263" s="24" cm="1">
        <f t="array" ref="G263">TrajectoryToComeUp(G$247:G$250,$A263)</f>
        <v>-1.9126791018269851</v>
      </c>
      <c r="H263" s="24" cm="1">
        <f t="array" ref="H263">TrajectoryToComeUp(H$247:H$250,$A263)</f>
        <v>-2.8215555333289921</v>
      </c>
      <c r="I263" s="2" cm="1">
        <f t="array" ref="I263">EvaluatePolynomial(I$247:I$250,$A263)</f>
        <v>3779.3766735623535</v>
      </c>
      <c r="J263" s="2" cm="1">
        <f t="array" ref="J263">EvaluatePolynomial(J$247:J$250,$A263)</f>
        <v>3178.5654224890291</v>
      </c>
      <c r="K263" s="1" cm="1">
        <f t="array" ref="K263">EvaluatePolynomial(K$247:K$250,$A263)</f>
        <v>3750.9645900522055</v>
      </c>
    </row>
    <row r="264" spans="1:11" x14ac:dyDescent="0.25">
      <c r="A264" s="1">
        <v>150</v>
      </c>
      <c r="B264" s="2" cm="1">
        <f t="array" ref="B264">TrajectoryToComeUp(B$247:B$250,$A264)</f>
        <v>-0.24972523561659044</v>
      </c>
      <c r="C264" s="2" cm="1">
        <f t="array" ref="C264">TrajectoryToComeUp(C$247:C$250,$A264)</f>
        <v>0.15282555418371999</v>
      </c>
      <c r="D264" s="24" cm="1">
        <f t="array" ref="D264">TrajectoryToComeUp(D$247:D$250,$A264)</f>
        <v>-2.0994523964115955E-2</v>
      </c>
      <c r="E264" s="24" cm="1">
        <f t="array" ref="E264">TrajectoryToComeUp(E$247:E$250,$A264)</f>
        <v>-0.26309735883468749</v>
      </c>
      <c r="F264" s="24" cm="1">
        <f t="array" ref="F264">TrajectoryToComeUp(F$247:F$250,$A264)</f>
        <v>-0.99502232528769197</v>
      </c>
      <c r="G264" s="24" cm="1">
        <f t="array" ref="G264">TrajectoryToComeUp(G$247:G$250,$A264)</f>
        <v>-1.890989743598422</v>
      </c>
      <c r="H264" s="24" cm="1">
        <f t="array" ref="H264">TrajectoryToComeUp(H$247:H$250,$A264)</f>
        <v>-2.8018435134291768</v>
      </c>
      <c r="I264" s="2" cm="1">
        <f t="array" ref="I264">EvaluatePolynomial(I$247:I$250,$A264)</f>
        <v>3758.5072541566769</v>
      </c>
      <c r="J264" s="2" cm="1">
        <f t="array" ref="J264">EvaluatePolynomial(J$247:J$250,$A264)</f>
        <v>3141.7117200114917</v>
      </c>
      <c r="K264" s="1" cm="1">
        <f t="array" ref="K264">EvaluatePolynomial(K$247:K$250,$A264)</f>
        <v>3729.9278532299127</v>
      </c>
    </row>
    <row r="265" spans="1:11" x14ac:dyDescent="0.25">
      <c r="A265" s="1">
        <v>163.4</v>
      </c>
      <c r="B265" s="2" cm="1">
        <f t="array" ref="B265">TrajectoryToComeUp(B$247:B$250,$A265)</f>
        <v>-0.18062316943414083</v>
      </c>
      <c r="C265" s="2" cm="1">
        <f t="array" ref="C265">TrajectoryToComeUp(C$247:C$250,$A265)</f>
        <v>0.21363784413698364</v>
      </c>
      <c r="D265" s="24" cm="1">
        <f t="array" ref="D265">TrajectoryToComeUp(D$247:D$250,$A265)</f>
        <v>5.5039494271559374E-2</v>
      </c>
      <c r="E265" s="24" cm="1">
        <f t="array" ref="E265">TrajectoryToComeUp(E$247:E$250,$A265)</f>
        <v>-0.19716445970731555</v>
      </c>
      <c r="F265" s="24" cm="1">
        <f t="array" ref="F265">TrajectoryToComeUp(F$247:F$250,$A265)</f>
        <v>-0.93001997865711594</v>
      </c>
      <c r="G265" s="24" cm="1">
        <f t="array" ref="G265">TrajectoryToComeUp(G$247:G$250,$A265)</f>
        <v>-1.8276743330029535</v>
      </c>
      <c r="H265" s="24" cm="1">
        <f t="array" ref="H265">TrajectoryToComeUp(H$247:H$250,$A265)</f>
        <v>-2.7441002512644794</v>
      </c>
      <c r="I265" s="2" cm="1">
        <f t="array" ref="I265">EvaluatePolynomial(I$247:I$250,$A265)</f>
        <v>3702.9187608903312</v>
      </c>
      <c r="J265" s="2" cm="1">
        <f t="array" ref="J265">EvaluatePolynomial(J$247:J$250,$A265)</f>
        <v>3044.5799108713813</v>
      </c>
      <c r="K265" s="1" cm="1">
        <f t="array" ref="K265">EvaluatePolynomial(K$247:K$250,$A265)</f>
        <v>3673.9945154794173</v>
      </c>
    </row>
    <row r="266" spans="1:11" x14ac:dyDescent="0.25">
      <c r="A266" s="1">
        <v>175</v>
      </c>
      <c r="B266" s="2" cm="1">
        <f t="array" ref="B266">TrajectoryToComeUp(B$247:B$250,$A266)</f>
        <v>-0.11489452099323312</v>
      </c>
      <c r="C266" s="2" cm="1">
        <f t="array" ref="C266">TrajectoryToComeUp(C$247:C$250,$A266)</f>
        <v>0.27143049699780908</v>
      </c>
      <c r="D266" s="24" cm="1">
        <f t="array" ref="D266">TrajectoryToComeUp(D$247:D$250,$A266)</f>
        <v>0.12514385831443042</v>
      </c>
      <c r="E266" s="24" cm="1">
        <f t="array" ref="E266">TrajectoryToComeUp(E$247:E$250,$A266)</f>
        <v>-0.13575570600582348</v>
      </c>
      <c r="F266" s="24" cm="1">
        <f t="array" ref="F266">TrajectoryToComeUp(F$247:F$250,$A266)</f>
        <v>-0.86890611491917413</v>
      </c>
      <c r="G266" s="24" cm="1">
        <f t="array" ref="G266">TrajectoryToComeUp(G$247:G$250,$A266)</f>
        <v>-1.7674708391238001</v>
      </c>
      <c r="H266" s="24" cm="1">
        <f t="array" ref="H266">TrajectoryToComeUp(H$247:H$250,$A266)</f>
        <v>-2.688952496508497</v>
      </c>
      <c r="I266" s="2" cm="1">
        <f t="array" ref="I266">EvaluatePolynomial(I$247:I$250,$A266)</f>
        <v>3655.2061497166619</v>
      </c>
      <c r="J266" s="2" cm="1">
        <f t="array" ref="J266">EvaluatePolynomial(J$247:J$250,$A266)</f>
        <v>2962.4013095981063</v>
      </c>
      <c r="K266" s="1" cm="1">
        <f t="array" ref="K266">EvaluatePolynomial(K$247:K$250,$A266)</f>
        <v>3626.0956442489623</v>
      </c>
    </row>
    <row r="267" spans="1:11" x14ac:dyDescent="0.25">
      <c r="A267" s="1">
        <v>200</v>
      </c>
      <c r="B267" s="2" cm="1">
        <f t="array" ref="B267">TrajectoryToComeUp(B$247:B$250,$A267)</f>
        <v>4.2642402572976169E-2</v>
      </c>
      <c r="C267" s="2" cm="1">
        <f t="array" ref="C267">TrajectoryToComeUp(C$247:C$250,$A267)</f>
        <v>0.4097807526633509</v>
      </c>
      <c r="D267" s="24" cm="1">
        <f t="array" ref="D267">TrajectoryToComeUp(D$247:D$250,$A267)</f>
        <v>0.28691312372718636</v>
      </c>
      <c r="E267" s="24" cm="1">
        <f t="array" ref="E267">TrajectoryToComeUp(E$247:E$250,$A267)</f>
        <v>8.0721596284199504E-3</v>
      </c>
      <c r="F267" s="24" cm="1">
        <f t="array" ref="F267">TrajectoryToComeUp(F$247:F$250,$A267)</f>
        <v>-0.72470829822288141</v>
      </c>
      <c r="G267" s="24" cm="1">
        <f t="array" ref="G267">TrajectoryToComeUp(G$247:G$250,$A267)</f>
        <v>-1.623408039756467</v>
      </c>
      <c r="H267" s="24" cm="1">
        <f t="array" ref="H267">TrajectoryToComeUp(H$247:H$250,$A267)</f>
        <v>-2.5561791445977562</v>
      </c>
      <c r="I267" s="2" cm="1">
        <f t="array" ref="I267">EvaluatePolynomial(I$247:I$250,$A267)</f>
        <v>3553.7040335213223</v>
      </c>
      <c r="J267" s="2" cm="1">
        <f t="array" ref="J267">EvaluatePolynomial(J$247:J$250,$A267)</f>
        <v>2791.2064746847359</v>
      </c>
      <c r="K267" s="1" cm="1">
        <f t="array" ref="K267">EvaluatePolynomial(K$247:K$250,$A267)</f>
        <v>3524.4960870555833</v>
      </c>
    </row>
    <row r="268" spans="1:11" x14ac:dyDescent="0.25">
      <c r="A268" s="1">
        <v>225</v>
      </c>
      <c r="B268" s="2" cm="1">
        <f t="array" ref="B268">TrajectoryToComeUp(B$247:B$250,$A268)</f>
        <v>0.21877315240122591</v>
      </c>
      <c r="C268" s="2" cm="1">
        <f t="array" ref="C268">TrajectoryToComeUp(C$247:C$250,$A268)</f>
        <v>0.56423119189195858</v>
      </c>
      <c r="D268" s="24" cm="1">
        <f t="array" ref="D268">TrajectoryToComeUp(D$247:D$250,$A268)</f>
        <v>0.46009571210181366</v>
      </c>
      <c r="E268" s="24" cm="1">
        <f t="array" ref="E268">TrajectoryToComeUp(E$247:E$250,$A268)</f>
        <v>0.16512953208206532</v>
      </c>
      <c r="F268" s="24" cm="1">
        <f t="array" ref="F268">TrajectoryToComeUp(F$247:F$250,$A268)</f>
        <v>-0.56658701918759036</v>
      </c>
      <c r="G268" s="24" cm="1">
        <f t="array" ref="G268">TrajectoryToComeUp(G$247:G$250,$A268)</f>
        <v>-1.462822937187799</v>
      </c>
      <c r="H268" s="24" cm="1">
        <f t="array" ref="H268">TrajectoryToComeUp(H$247:H$250,$A268)</f>
        <v>-2.4070408302423774</v>
      </c>
      <c r="I268" s="2" cm="1">
        <f t="array" ref="I268">EvaluatePolynomial(I$247:I$250,$A268)</f>
        <v>3454.0768154762004</v>
      </c>
      <c r="J268" s="2" cm="1">
        <f t="array" ref="J268">EvaluatePolynomial(J$247:J$250,$A268)</f>
        <v>2627.9254955570746</v>
      </c>
      <c r="K268" s="1" cm="1">
        <f t="array" ref="K268">EvaluatePolynomial(K$247:K$250,$A268)</f>
        <v>3425.102172427115</v>
      </c>
    </row>
    <row r="269" spans="1:11" x14ac:dyDescent="0.25">
      <c r="A269" s="1">
        <v>247.4</v>
      </c>
      <c r="B269" s="2" cm="1">
        <f t="array" ref="B269">TrajectoryToComeUp(B$247:B$250,$A269)</f>
        <v>0.39033558847386962</v>
      </c>
      <c r="C269" s="2" cm="1">
        <f t="array" ref="C269">TrajectoryToComeUp(C$247:C$250,$A269)</f>
        <v>0.71448224344084121</v>
      </c>
      <c r="D269" s="24" cm="1">
        <f t="array" ref="D269">TrajectoryToComeUp(D$247:D$250,$A269)</f>
        <v>0.62286512984342224</v>
      </c>
      <c r="E269" s="24" cm="1">
        <f t="array" ref="E269">TrajectoryToComeUp(E$247:E$250,$A269)</f>
        <v>0.31547112366226693</v>
      </c>
      <c r="F269" s="24" cm="1">
        <f t="array" ref="F269">TrajectoryToComeUp(F$247:F$250,$A269)</f>
        <v>-0.41515086354200903</v>
      </c>
      <c r="G269" s="24" cm="1">
        <f t="array" ref="G269">TrajectoryToComeUp(G$247:G$250,$A269)</f>
        <v>-1.3069038328110736</v>
      </c>
      <c r="H269" s="24" cm="1">
        <f t="array" ref="H269">TrajectoryToComeUp(H$247:H$250,$A269)</f>
        <v>-2.2612610233410626</v>
      </c>
      <c r="I269" s="2" cm="1">
        <f t="array" ref="I269">EvaluatePolynomial(I$247:I$250,$A269)</f>
        <v>3366.4656248227898</v>
      </c>
      <c r="J269" s="2" cm="1">
        <f t="array" ref="J269">EvaluatePolynomial(J$247:J$250,$A269)</f>
        <v>2488.1824282025846</v>
      </c>
      <c r="K269" s="1" cm="1">
        <f t="array" ref="K269">EvaluatePolynomial(K$247:K$250,$A269)</f>
        <v>3337.8965688274402</v>
      </c>
    </row>
    <row r="270" spans="1:11" x14ac:dyDescent="0.25">
      <c r="A270" s="1">
        <v>250</v>
      </c>
      <c r="B270" s="2" cm="1">
        <f t="array" ref="B270">TrajectoryToComeUp(B$247:B$250,$A270)</f>
        <v>0.41103029888302905</v>
      </c>
      <c r="C270" s="2" cm="1">
        <f t="array" ref="C270">TrajectoryToComeUp(C$247:C$250,$A270)</f>
        <v>0.73259473711059964</v>
      </c>
      <c r="D270" s="24" cm="1">
        <f t="array" ref="D270">TrajectoryToComeUp(D$247:D$250,$A270)</f>
        <v>0.64216108733490951</v>
      </c>
      <c r="E270" s="24" cm="1">
        <f t="array" ref="E270">TrajectoryToComeUp(E$247:E$250,$A270)</f>
        <v>0.33346238776352577</v>
      </c>
      <c r="F270" s="24" cm="1">
        <f t="array" ref="F270">TrajectoryToComeUp(F$247:F$250,$A270)</f>
        <v>-0.39703716420656648</v>
      </c>
      <c r="G270" s="24" cm="1">
        <f t="array" ref="G270">TrajectoryToComeUp(G$247:G$250,$A270)</f>
        <v>-1.2881284864326199</v>
      </c>
      <c r="H270" s="24" cm="1">
        <f t="array" ref="H270">TrajectoryToComeUp(H$247:H$250,$A270)</f>
        <v>-2.243647976969616</v>
      </c>
      <c r="I270" s="2" cm="1">
        <f t="array" ref="I270">EvaluatePolynomial(I$247:I$250,$A270)</f>
        <v>3356.4004054868396</v>
      </c>
      <c r="J270" s="2" cm="1">
        <f t="array" ref="J270">EvaluatePolynomial(J$247:J$250,$A270)</f>
        <v>2472.3566525008173</v>
      </c>
      <c r="K270" s="1" cm="1">
        <f t="array" ref="K270">EvaluatePolynomial(K$247:K$250,$A270)</f>
        <v>3327.8868911408954</v>
      </c>
    </row>
    <row r="271" spans="1:11" x14ac:dyDescent="0.25">
      <c r="A271" s="1">
        <v>275</v>
      </c>
      <c r="B271" s="2" cm="1">
        <f t="array" ref="B271">TrajectoryToComeUp(B$247:B$250,$A271)</f>
        <v>0.61784365954025744</v>
      </c>
      <c r="C271" s="2" cm="1">
        <f t="array" ref="C271">TrajectoryToComeUp(C$247:C$250,$A271)</f>
        <v>0.91347961168189029</v>
      </c>
      <c r="D271" s="24" cm="1">
        <f t="array" ref="D271">TrajectoryToComeUp(D$247:D$250,$A271)</f>
        <v>0.83149890826976258</v>
      </c>
      <c r="E271" s="24" cm="1">
        <f t="array" ref="E271">TrajectoryToComeUp(E$247:E$250,$A271)</f>
        <v>0.51182725711451837</v>
      </c>
      <c r="F271" s="24" cm="1">
        <f t="array" ref="F271">TrajectoryToComeUp(F$247:F$250,$A271)</f>
        <v>-0.21764638825734267</v>
      </c>
      <c r="G271" s="24" cm="1">
        <f t="array" ref="G271">TrajectoryToComeUp(G$247:G$250,$A271)</f>
        <v>-1.1008602043185467</v>
      </c>
      <c r="H271" s="24" cm="1">
        <f t="array" ref="H271">TrajectoryToComeUp(H$247:H$250,$A271)</f>
        <v>-2.0673435815695429</v>
      </c>
      <c r="I271" s="2" cm="1">
        <f t="array" ref="I271">EvaluatePolynomial(I$247:I$250,$A271)</f>
        <v>3260.7507134587818</v>
      </c>
      <c r="J271" s="2" cm="1">
        <f t="array" ref="J271">EvaluatePolynomial(J$247:J$250,$A271)</f>
        <v>2324.2982258016586</v>
      </c>
      <c r="K271" s="1" cm="1">
        <f t="array" ref="K271">EvaluatePolynomial(K$247:K$250,$A271)</f>
        <v>3232.8232339742635</v>
      </c>
    </row>
    <row r="272" spans="1:11" x14ac:dyDescent="0.25">
      <c r="A272" s="1">
        <v>300</v>
      </c>
      <c r="B272" s="2" cm="1">
        <f t="array" ref="B272">TrajectoryToComeUp(B$247:B$250,$A272)</f>
        <v>0.83816644605415902</v>
      </c>
      <c r="C272" s="2" cm="1">
        <f t="array" ref="C272">TrajectoryToComeUp(C$247:C$250,$A272)</f>
        <v>1.1059579645142408</v>
      </c>
      <c r="D272" s="24" cm="1">
        <f t="array" ref="D272">TrajectoryToComeUp(D$247:D$250,$A272)</f>
        <v>1.0270356141352326</v>
      </c>
      <c r="E272" s="24" cm="1">
        <f t="array" ref="E272">TrajectoryToComeUp(E$247:E$250,$A272)</f>
        <v>0.69939516042952243</v>
      </c>
      <c r="F272" s="24" cm="1">
        <f t="array" ref="F272">TrajectoryToComeUp(F$247:F$250,$A272)</f>
        <v>-2.947312799160734E-2</v>
      </c>
      <c r="G272" s="24" cm="1">
        <f t="array" ref="G272">TrajectoryToComeUp(G$247:G$250,$A272)</f>
        <v>-0.90204176873065611</v>
      </c>
      <c r="H272" s="24" cm="1">
        <f t="array" ref="H272">TrajectoryToComeUp(H$247:H$250,$A272)</f>
        <v>-1.8790229752355381</v>
      </c>
      <c r="I272" s="2" cm="1">
        <f t="array" ref="I272">EvaluatePolynomial(I$247:I$250,$A272)</f>
        <v>3167.2036492975694</v>
      </c>
      <c r="J272" s="2" cm="1">
        <f t="array" ref="J272">EvaluatePolynomial(J$247:J$250,$A272)</f>
        <v>2183.5484957452927</v>
      </c>
      <c r="K272" s="1" cm="1">
        <f t="array" ref="K272">EvaluatePolynomial(K$247:K$250,$A272)</f>
        <v>3139.8841917045575</v>
      </c>
    </row>
    <row r="273" spans="1:11" x14ac:dyDescent="0.25">
      <c r="A273" s="1">
        <v>325</v>
      </c>
      <c r="B273" s="2" cm="1">
        <f t="array" ref="B273">TrajectoryToComeUp(B$247:B$250,$A273)</f>
        <v>1.0712739588194442</v>
      </c>
      <c r="C273" s="2" cm="1">
        <f t="array" ref="C273">TrajectoryToComeUp(C$247:C$250,$A273)</f>
        <v>1.3093874371596277</v>
      </c>
      <c r="D273" s="24" cm="1">
        <f t="array" ref="D273">TrajectoryToComeUp(D$247:D$250,$A273)</f>
        <v>1.2280279705512986</v>
      </c>
      <c r="E273" s="24" cm="1">
        <f t="array" ref="E273">TrajectoryToComeUp(E$247:E$250,$A273)</f>
        <v>0.89559218868163781</v>
      </c>
      <c r="F273" s="24" cm="1">
        <f t="array" ref="F273">TrajectoryToComeUp(F$247:F$250,$A273)</f>
        <v>0.16674985275485513</v>
      </c>
      <c r="G273" s="24" cm="1">
        <f t="array" ref="G273">TrajectoryToComeUp(G$247:G$250,$A273)</f>
        <v>-0.69238187974323295</v>
      </c>
      <c r="H273" s="24" cm="1">
        <f t="array" ref="H273">TrajectoryToComeUp(H$247:H$250,$A273)</f>
        <v>-1.6793060026399427</v>
      </c>
      <c r="I273" s="2" cm="1">
        <f t="array" ref="I273">EvaluatePolynomial(I$247:I$250,$A273)</f>
        <v>3075.8351229087452</v>
      </c>
      <c r="J273" s="2" cm="1">
        <f t="array" ref="J273">EvaluatePolynomial(J$247:J$250,$A273)</f>
        <v>2049.9057426174136</v>
      </c>
      <c r="K273" s="1" cm="1">
        <f t="array" ref="K273">EvaluatePolynomial(K$247:K$250,$A273)</f>
        <v>3049.0427551091161</v>
      </c>
    </row>
    <row r="274" spans="1:11" x14ac:dyDescent="0.25">
      <c r="A274" s="1">
        <v>350</v>
      </c>
      <c r="B274" s="2" cm="1">
        <f t="array" ref="B274">TrajectoryToComeUp(B$247:B$250,$A274)</f>
        <v>1.3166485552609055</v>
      </c>
      <c r="C274" s="2" cm="1">
        <f t="array" ref="C274">TrajectoryToComeUp(C$247:C$250,$A274)</f>
        <v>1.5233092021551771</v>
      </c>
      <c r="D274" s="24" cm="1">
        <f t="array" ref="D274">TrajectoryToComeUp(D$247:D$250,$A274)</f>
        <v>1.4339450958179463</v>
      </c>
      <c r="E274" s="24" cm="1">
        <f t="array" ref="E274">TrajectoryToComeUp(E$247:E$250,$A274)</f>
        <v>1.1000084068516505</v>
      </c>
      <c r="F274" s="24" cm="1">
        <f t="array" ref="F274">TrajectoryToComeUp(F$247:F$250,$A274)</f>
        <v>0.37049915124219879</v>
      </c>
      <c r="G274" s="24" cm="1">
        <f t="array" ref="G274">TrajectoryToComeUp(G$247:G$250,$A274)</f>
        <v>-0.47238675169505179</v>
      </c>
      <c r="H274" s="24" cm="1">
        <f t="array" ref="H274">TrajectoryToComeUp(H$247:H$250,$A274)</f>
        <v>-1.4686354099772851</v>
      </c>
      <c r="I274" s="2" cm="1">
        <f t="array" ref="I274">EvaluatePolynomial(I$247:I$250,$A274)</f>
        <v>2986.7210441978514</v>
      </c>
      <c r="J274" s="2" cm="1">
        <f t="array" ref="J274">EvaluatePolynomial(J$247:J$250,$A274)</f>
        <v>1923.1682467037162</v>
      </c>
      <c r="K274" s="1" cm="1">
        <f t="array" ref="K274">EvaluatePolynomial(K$247:K$250,$A274)</f>
        <v>2960.271914965278</v>
      </c>
    </row>
    <row r="275" spans="1:11" x14ac:dyDescent="0.25">
      <c r="A275" s="1">
        <v>375</v>
      </c>
      <c r="B275" s="2" cm="1">
        <f t="array" ref="B275">TrajectoryToComeUp(B$247:B$250,$A275)</f>
        <v>1.5739106308233912</v>
      </c>
      <c r="C275" s="2" cm="1">
        <f t="array" ref="C275">TrajectoryToComeUp(C$247:C$250,$A275)</f>
        <v>1.7473867860281151</v>
      </c>
      <c r="D275" s="24" cm="1">
        <f t="array" ref="D275">TrajectoryToComeUp(D$247:D$250,$A275)</f>
        <v>1.6443976766884985</v>
      </c>
      <c r="E275" s="24" cm="1">
        <f t="array" ref="E275">TrajectoryToComeUp(E$247:E$250,$A275)</f>
        <v>1.3123431959254701</v>
      </c>
      <c r="F275" s="24" cm="1">
        <f t="array" ref="F275">TrajectoryToComeUp(F$247:F$250,$A275)</f>
        <v>0.58139093879453652</v>
      </c>
      <c r="G275" s="24" cm="1">
        <f t="array" ref="G275">TrajectoryToComeUp(G$247:G$250,$A275)</f>
        <v>-0.2424276084345468</v>
      </c>
      <c r="H275" s="24" cm="1">
        <f t="array" ref="H275">TrajectoryToComeUp(H$247:H$250,$A275)</f>
        <v>-1.2473358777902195</v>
      </c>
      <c r="I275" s="2" cm="1">
        <f t="array" ref="I275">EvaluatePolynomial(I$247:I$250,$A275)</f>
        <v>2899.9373230704309</v>
      </c>
      <c r="J275" s="2" cm="1">
        <f t="array" ref="J275">EvaluatePolynomial(J$247:J$250,$A275)</f>
        <v>1803.134288289895</v>
      </c>
      <c r="K275" s="1" cm="1">
        <f t="array" ref="K275">EvaluatePolynomial(K$247:K$250,$A275)</f>
        <v>2873.5446620503822</v>
      </c>
    </row>
    <row r="276" spans="1:11" x14ac:dyDescent="0.25">
      <c r="A276" s="1">
        <v>400</v>
      </c>
      <c r="B276" s="2" cm="1">
        <f t="array" ref="B276">TrajectoryToComeUp(B$247:B$250,$A276)</f>
        <v>1.8427754820905382</v>
      </c>
      <c r="C276" s="2" cm="1">
        <f t="array" ref="C276">TrajectoryToComeUp(C$247:C$250,$A276)</f>
        <v>1.9813678336738607</v>
      </c>
      <c r="D276" s="24" cm="1">
        <f t="array" ref="D276">TrajectoryToComeUp(D$247:D$250,$A276)</f>
        <v>1.8590937282279465</v>
      </c>
      <c r="E276" s="24" cm="1">
        <f t="array" ref="E276">TrajectoryToComeUp(E$247:E$250,$A276)</f>
        <v>1.5323710916425293</v>
      </c>
      <c r="F276" s="24" cm="1">
        <f t="array" ref="F276">TrajectoryToComeUp(F$247:F$250,$A276)</f>
        <v>0.79913734390495317</v>
      </c>
      <c r="G276" s="24" cm="1">
        <f t="array" ref="G276">TrajectoryToComeUp(G$247:G$250,$A276)</f>
        <v>-2.7828678480444754E-3</v>
      </c>
      <c r="H276" s="24" cm="1">
        <f t="array" ref="H276">TrajectoryToComeUp(H$247:H$250,$A276)</f>
        <v>-1.0156509164857377</v>
      </c>
      <c r="I276" s="2" cm="1">
        <f t="array" ref="I276">EvaluatePolynomial(I$247:I$250,$A276)</f>
        <v>2815.5598694320261</v>
      </c>
      <c r="J276" s="2" cm="1">
        <f t="array" ref="J276">EvaluatePolynomial(J$247:J$250,$A276)</f>
        <v>1689.6021476616443</v>
      </c>
      <c r="K276" s="1" cm="1">
        <f t="array" ref="K276">EvaluatePolynomial(K$247:K$250,$A276)</f>
        <v>2788.8339871417666</v>
      </c>
    </row>
    <row r="277" spans="1:11" x14ac:dyDescent="0.25">
      <c r="A277" s="1">
        <v>425</v>
      </c>
      <c r="B277" s="2" cm="1">
        <f t="array" ref="B277">TrajectoryToComeUp(B$247:B$250,$A277)</f>
        <v>2.1230253946851256</v>
      </c>
      <c r="C277" s="2" cm="1">
        <f t="array" ref="C277">TrajectoryToComeUp(C$247:C$250,$A277)</f>
        <v>2.2250593676594996</v>
      </c>
      <c r="D277" s="24" cm="1">
        <f t="array" ref="D277">TrajectoryToComeUp(D$247:D$250,$A277)</f>
        <v>2.0778099678389319</v>
      </c>
      <c r="E277" s="24" cm="1">
        <f t="array" ref="E277">TrajectoryToComeUp(E$247:E$250,$A277)</f>
        <v>1.7599196801565116</v>
      </c>
      <c r="F277" s="24" cm="1">
        <f t="array" ref="F277">TrajectoryToComeUp(F$247:F$250,$A277)</f>
        <v>1.0235182295387486</v>
      </c>
      <c r="G277" s="24" cm="1">
        <f t="array" ref="G277">TrajectoryToComeUp(G$247:G$250,$A277)</f>
        <v>0.24633456226903008</v>
      </c>
      <c r="H277" s="24" cm="1">
        <f t="array" ref="H277">TrajectoryToComeUp(H$247:H$250,$A277)</f>
        <v>-0.77376673990447908</v>
      </c>
      <c r="I277" s="2" cm="1">
        <f t="array" ref="I277">EvaluatePolynomial(I$247:I$250,$A277)</f>
        <v>2733.6645931881794</v>
      </c>
      <c r="J277" s="2" cm="1">
        <f t="array" ref="J277">EvaluatePolynomial(J$247:J$250,$A277)</f>
        <v>1582.3701051046592</v>
      </c>
      <c r="K277" s="1" cm="1">
        <f t="array" ref="K277">EvaluatePolynomial(K$247:K$250,$A277)</f>
        <v>2706.1128810167702</v>
      </c>
    </row>
    <row r="278" spans="1:11" x14ac:dyDescent="0.25">
      <c r="A278" s="1">
        <v>450</v>
      </c>
      <c r="B278" s="2" cm="1">
        <f t="array" ref="B278">TrajectoryToComeUp(B$247:B$250,$A278)</f>
        <v>2.4144910352026501</v>
      </c>
      <c r="C278" s="2" cm="1">
        <f t="array" ref="C278">TrajectoryToComeUp(C$247:C$250,$A278)</f>
        <v>2.4783112944260979</v>
      </c>
      <c r="D278" s="24" cm="1">
        <f t="array" ref="D278">TrajectoryToComeUp(D$247:D$250,$A278)</f>
        <v>2.3003727312790638</v>
      </c>
      <c r="E278" s="24" cm="1">
        <f t="array" ref="E278">TrajectoryToComeUp(E$247:E$250,$A278)</f>
        <v>1.9948548618091699</v>
      </c>
      <c r="F278" s="24" cm="1">
        <f t="array" ref="F278">TrajectoryToComeUp(F$247:F$250,$A278)</f>
        <v>1.2543623780022677</v>
      </c>
      <c r="G278" s="24" cm="1">
        <f t="array" ref="G278">TrajectoryToComeUp(G$247:G$250,$A278)</f>
        <v>0.50475908696467875</v>
      </c>
      <c r="H278" s="24" cm="1">
        <f t="array" ref="H278">TrajectoryToComeUp(H$247:H$250,$A278)</f>
        <v>-0.52182818103360806</v>
      </c>
      <c r="I278" s="2" cm="1">
        <f t="array" ref="I278">EvaluatePolynomial(I$247:I$250,$A278)</f>
        <v>2654.3274042444332</v>
      </c>
      <c r="J278" s="2" cm="1">
        <f t="array" ref="J278">EvaluatePolynomial(J$247:J$250,$A278)</f>
        <v>1481.2364409046331</v>
      </c>
      <c r="K278" s="1" cm="1">
        <f t="array" ref="K278">EvaluatePolynomial(K$247:K$250,$A278)</f>
        <v>2625.3543344527316</v>
      </c>
    </row>
    <row r="279" spans="1:11" x14ac:dyDescent="0.25">
      <c r="A279" s="1">
        <v>475</v>
      </c>
      <c r="B279" s="2" cm="1">
        <f t="array" ref="B279">TrajectoryToComeUp(B$247:B$250,$A279)</f>
        <v>2.7170387193763985</v>
      </c>
      <c r="C279" s="2" cm="1">
        <f t="array" ref="C279">TrajectoryToComeUp(C$247:C$250,$A279)</f>
        <v>2.741005119058709</v>
      </c>
      <c r="D279" s="24" cm="1">
        <f t="array" ref="D279">TrajectoryToComeUp(D$247:D$250,$A279)</f>
        <v>2.5266449151990868</v>
      </c>
      <c r="E279" s="24" cm="1">
        <f t="array" ref="E279">TrajectoryToComeUp(E$247:E$250,$A279)</f>
        <v>2.237070768449259</v>
      </c>
      <c r="F279" s="24" cm="1">
        <f t="array" ref="F279">TrajectoryToComeUp(F$247:F$250,$A279)</f>
        <v>1.491534617432098</v>
      </c>
      <c r="G279" s="24" cm="1">
        <f t="array" ref="G279">TrajectoryToComeUp(G$247:G$250,$A279)</f>
        <v>0.77235997338206053</v>
      </c>
      <c r="H279" s="24" cm="1">
        <f t="array" ref="H279">TrajectoryToComeUp(H$247:H$250,$A279)</f>
        <v>-0.25994958170509741</v>
      </c>
      <c r="I279" s="2" cm="1">
        <f t="array" ref="I279">EvaluatePolynomial(I$247:I$250,$A279)</f>
        <v>2577.6242125063304</v>
      </c>
      <c r="J279" s="2" cm="1">
        <f t="array" ref="J279">EvaluatePolynomial(J$247:J$250,$A279)</f>
        <v>1385.9994353472612</v>
      </c>
      <c r="K279" s="1" cm="1">
        <f t="array" ref="K279">EvaluatePolynomial(K$247:K$250,$A279)</f>
        <v>2546.5313382269896</v>
      </c>
    </row>
    <row r="280" spans="1:11" x14ac:dyDescent="0.25">
      <c r="A280" s="1">
        <v>500</v>
      </c>
      <c r="B280" s="2" cm="1">
        <f t="array" ref="B280">TrajectoryToComeUp(B$247:B$250,$A280)</f>
        <v>3.030561499792999</v>
      </c>
      <c r="C280" s="2" cm="1">
        <f t="array" ref="C280">TrajectoryToComeUp(C$247:C$250,$A280)</f>
        <v>3.0130460456253729</v>
      </c>
      <c r="D280" s="24" cm="1">
        <f t="array" ref="D280">TrajectoryToComeUp(D$247:D$250,$A280)</f>
        <v>2.7565168369195963</v>
      </c>
      <c r="E280" s="24" cm="1">
        <f t="array" ref="E280">TrajectoryToComeUp(E$247:E$250,$A280)</f>
        <v>2.4864827055557801</v>
      </c>
      <c r="F280" s="24" cm="1">
        <f t="array" ref="F280">TrajectoryToComeUp(F$247:F$250,$A280)</f>
        <v>1.7349268103375093</v>
      </c>
      <c r="G280" s="24" cm="1">
        <f t="array" ref="G280">TrajectoryToComeUp(G$247:G$250,$A280)</f>
        <v>1.0490326352357042</v>
      </c>
      <c r="H280" s="24" cm="1">
        <f t="array" ref="H280">TrajectoryToComeUp(H$247:H$250,$A280)</f>
        <v>1.1777584615475858E-2</v>
      </c>
      <c r="I280" s="2" cm="1">
        <f t="array" ref="I280">EvaluatePolynomial(I$247:I$250,$A280)</f>
        <v>2503.6309278794133</v>
      </c>
      <c r="J280" s="2" cm="1">
        <f t="array" ref="J280">EvaluatePolynomial(J$247:J$250,$A280)</f>
        <v>1296.4573687182381</v>
      </c>
      <c r="K280" s="1" cm="1">
        <f t="array" ref="K280">EvaluatePolynomial(K$247:K$250,$A280)</f>
        <v>2469.616883116882</v>
      </c>
    </row>
  </sheetData>
  <mergeCells count="7">
    <mergeCell ref="F1:I1"/>
    <mergeCell ref="I256:K256"/>
    <mergeCell ref="C20:G20"/>
    <mergeCell ref="J20:N20"/>
    <mergeCell ref="R11:X11"/>
    <mergeCell ref="B255:H255"/>
    <mergeCell ref="B256:H256"/>
  </mergeCells>
  <pageMargins left="0.7" right="0.7" top="0.75" bottom="0.75" header="0.3" footer="0.3"/>
  <pageSetup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8D760-21E0-43B5-9D17-CF124C6539B4}">
  <sheetPr codeName="Sheet4"/>
  <dimension ref="A1"/>
  <sheetViews>
    <sheetView workbookViewId="0">
      <selection activeCell="H51" sqref="H51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Terminal Ascent PHP </vt:lpstr>
      <vt:lpstr>Power-Shok SP</vt:lpstr>
      <vt:lpstr>Remington Core-Lokt Copper HP</vt:lpstr>
      <vt:lpstr>Bullet Comparisons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Victoria Dassen</dc:creator>
  <cp:lastModifiedBy>Victoria Dassen</cp:lastModifiedBy>
  <dcterms:created xsi:type="dcterms:W3CDTF">2024-03-05T21:27:49Z</dcterms:created>
  <dcterms:modified xsi:type="dcterms:W3CDTF">2024-08-26T19:13:49Z</dcterms:modified>
</cp:coreProperties>
</file>