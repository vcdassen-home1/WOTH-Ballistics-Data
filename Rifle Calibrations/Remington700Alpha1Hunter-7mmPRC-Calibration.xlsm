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1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2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3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4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5.xml" ContentType="application/vnd.openxmlformats-officedocument.themeOverrid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Remington700Alpha1Hunter-7mmPRC\"/>
    </mc:Choice>
  </mc:AlternateContent>
  <xr:revisionPtr revIDLastSave="0" documentId="13_ncr:1_{3A8CA87E-8F90-4755-A436-788265B5E801}" xr6:coauthVersionLast="47" xr6:coauthVersionMax="47" xr10:uidLastSave="{00000000-0000-0000-0000-000000000000}"/>
  <bookViews>
    <workbookView xWindow="-120" yWindow="-120" windowWidth="51840" windowHeight="21120" activeTab="2" xr2:uid="{2F0FA23F-61CC-43E6-AF0F-86720E5DCFA1}"/>
  </bookViews>
  <sheets>
    <sheet name="Lewellings 5000 HP" sheetId="4" r:id="rId1"/>
    <sheet name="Premier Long Range Speer PHP" sheetId="10" r:id="rId2"/>
    <sheet name="Terminal Ascent PHP" sheetId="11" r:id="rId3"/>
    <sheet name="Bullet Comparisons" sheetId="1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1" l="1"/>
  <c r="H3" i="11"/>
  <c r="H2" i="11"/>
  <c r="H7" i="10"/>
  <c r="H3" i="10"/>
  <c r="H2" i="10"/>
  <c r="C6" i="11"/>
  <c r="C6" i="10"/>
  <c r="C6" i="4"/>
  <c r="H7" i="4"/>
  <c r="H3" i="4"/>
  <c r="H2" i="4"/>
  <c r="P22" i="11"/>
  <c r="O22" i="11"/>
  <c r="N22" i="11"/>
  <c r="M22" i="11"/>
  <c r="L22" i="11"/>
  <c r="K22" i="11"/>
  <c r="J22" i="11"/>
  <c r="D17" i="11"/>
  <c r="E17" i="11" s="1"/>
  <c r="C17" i="11"/>
  <c r="C16" i="11"/>
  <c r="B13" i="11"/>
  <c r="D17" i="10"/>
  <c r="E17" i="10" s="1"/>
  <c r="C17" i="10"/>
  <c r="C16" i="10"/>
  <c r="B13" i="10"/>
  <c r="L22" i="10" s="1"/>
  <c r="D17" i="4"/>
  <c r="E17" i="4" s="1"/>
  <c r="C17" i="4"/>
  <c r="C16" i="4"/>
  <c r="B13" i="4"/>
  <c r="L22" i="4" s="1"/>
  <c r="C12" i="4"/>
  <c r="J252" i="4" a="1"/>
  <c r="J252" i="4" s="1"/>
  <c r="J251" i="4" a="1"/>
  <c r="J251" i="4" s="1"/>
  <c r="J250" i="4" a="1"/>
  <c r="J250" i="4" s="1"/>
  <c r="J249" i="4" a="1"/>
  <c r="J249" i="4" s="1"/>
  <c r="J252" i="11" a="1"/>
  <c r="J252" i="11" s="1"/>
  <c r="I252" i="11" a="1"/>
  <c r="I252" i="11" s="1"/>
  <c r="J251" i="11" a="1"/>
  <c r="J251" i="11" s="1"/>
  <c r="I251" i="11" a="1"/>
  <c r="I251" i="11" s="1"/>
  <c r="J250" i="11" a="1"/>
  <c r="J250" i="11" s="1"/>
  <c r="I250" i="11" a="1"/>
  <c r="I250" i="11" s="1"/>
  <c r="J249" i="11" a="1"/>
  <c r="J249" i="11" s="1"/>
  <c r="I249" i="11" a="1"/>
  <c r="I249" i="11" s="1"/>
  <c r="C9" i="11"/>
  <c r="C3" i="11"/>
  <c r="C2" i="11"/>
  <c r="J252" i="10" a="1"/>
  <c r="J252" i="10" s="1"/>
  <c r="I252" i="10" a="1"/>
  <c r="I252" i="10" s="1"/>
  <c r="J251" i="10" a="1"/>
  <c r="J251" i="10" s="1"/>
  <c r="I251" i="10" a="1"/>
  <c r="I251" i="10" s="1"/>
  <c r="J250" i="10" a="1"/>
  <c r="J250" i="10" s="1"/>
  <c r="I250" i="10" a="1"/>
  <c r="I250" i="10" s="1"/>
  <c r="J249" i="10" a="1"/>
  <c r="J249" i="10" s="1"/>
  <c r="I249" i="10" a="1"/>
  <c r="I249" i="10" s="1"/>
  <c r="C9" i="10"/>
  <c r="C3" i="10"/>
  <c r="C2" i="10"/>
  <c r="C3" i="4"/>
  <c r="C9" i="4"/>
  <c r="I252" i="4" a="1"/>
  <c r="I252" i="4" s="1"/>
  <c r="I251" i="4" a="1"/>
  <c r="I251" i="4" s="1"/>
  <c r="I250" i="4" a="1"/>
  <c r="I250" i="4" s="1"/>
  <c r="I249" i="4" a="1"/>
  <c r="I249" i="4" s="1"/>
  <c r="C2" i="4"/>
  <c r="D280" i="11" a="1"/>
  <c r="F261" i="11" a="1"/>
  <c r="G271" i="11" a="1"/>
  <c r="D282" i="11" a="1"/>
  <c r="G260" i="11" a="1"/>
  <c r="H281" i="11" a="1"/>
  <c r="D276" i="11" a="1"/>
  <c r="D260" i="11" a="1"/>
  <c r="H259" i="11" a="1"/>
  <c r="G259" i="11" a="1"/>
  <c r="F267" i="11" a="1"/>
  <c r="F259" i="11" a="1"/>
  <c r="H269" i="11" a="1"/>
  <c r="H261" i="11" a="1"/>
  <c r="H282" i="11" a="1"/>
  <c r="F277" i="11" a="1"/>
  <c r="H274" i="11" a="1"/>
  <c r="D272" i="11" a="1"/>
  <c r="F269" i="11" a="1"/>
  <c r="H266" i="11" a="1"/>
  <c r="D264" i="11" a="1"/>
  <c r="H276" i="11" a="1"/>
  <c r="G276" i="11" a="1"/>
  <c r="F268" i="11" a="1"/>
  <c r="F273" i="11" a="1"/>
  <c r="G270" i="11" a="1"/>
  <c r="H275" i="11" a="1"/>
  <c r="F262" i="11" a="1"/>
  <c r="H272" i="11" a="1"/>
  <c r="D267" i="11" a="1"/>
  <c r="G274" i="11" a="1"/>
  <c r="D261" i="11" a="1"/>
  <c r="G263" i="11" a="1"/>
  <c r="H268" i="11" a="1"/>
  <c r="D266" i="11" a="1"/>
  <c r="G268" i="11" a="1"/>
  <c r="D271" i="11" a="1"/>
  <c r="D268" i="11" a="1"/>
  <c r="H262" i="11" a="1"/>
  <c r="G278" i="11" a="1"/>
  <c r="D281" i="11" a="1"/>
  <c r="G275" i="11" a="1"/>
  <c r="H280" i="11" a="1"/>
  <c r="G280" i="11" a="1"/>
  <c r="H277" i="11" a="1"/>
  <c r="F264" i="11" a="1"/>
  <c r="G269" i="11" a="1"/>
  <c r="G261" i="11" a="1"/>
  <c r="G282" i="11" a="1"/>
  <c r="G266" i="11" a="1"/>
  <c r="D274" i="11" a="1"/>
  <c r="F263" i="11" a="1"/>
  <c r="F276" i="11" a="1"/>
  <c r="F260" i="11" a="1"/>
  <c r="H270" i="11" a="1"/>
  <c r="D273" i="11" a="1"/>
  <c r="D265" i="11" a="1"/>
  <c r="F275" i="11" a="1"/>
  <c r="F272" i="11" a="1"/>
  <c r="H279" i="11" a="1"/>
  <c r="H271" i="11" a="1"/>
  <c r="H263" i="11" a="1"/>
  <c r="F279" i="11" a="1"/>
  <c r="H260" i="11" a="1"/>
  <c r="H273" i="11" a="1"/>
  <c r="H265" i="11" a="1"/>
  <c r="G273" i="11" a="1"/>
  <c r="F281" i="11" a="1"/>
  <c r="G262" i="11" a="1"/>
  <c r="F278" i="11" a="1"/>
  <c r="D278" i="11" a="1"/>
  <c r="D262" i="11" a="1"/>
  <c r="F280" i="11" a="1"/>
  <c r="F282" i="11" a="1"/>
  <c r="D277" i="11" a="1"/>
  <c r="F274" i="11" a="1"/>
  <c r="D269" i="11" a="1"/>
  <c r="F266" i="11" a="1"/>
  <c r="G279" i="11" a="1"/>
  <c r="F271" i="11" a="1"/>
  <c r="D279" i="11" a="1"/>
  <c r="D263" i="11" a="1"/>
  <c r="G281" i="11" a="1"/>
  <c r="G265" i="11" a="1"/>
  <c r="H278" i="11" a="1"/>
  <c r="F265" i="11" a="1"/>
  <c r="F270" i="11" a="1"/>
  <c r="H267" i="11" a="1"/>
  <c r="G267" i="11" a="1"/>
  <c r="D270" i="11" a="1"/>
  <c r="H264" i="11" a="1"/>
  <c r="G272" i="11" a="1"/>
  <c r="D275" i="11" a="1"/>
  <c r="D259" i="11" a="1"/>
  <c r="G277" i="11" a="1"/>
  <c r="G264" i="11" a="1"/>
  <c r="B282" i="11" a="1"/>
  <c r="B266" i="11" a="1"/>
  <c r="B264" i="11" a="1"/>
  <c r="B263" i="11" a="1"/>
  <c r="B262" i="11" a="1"/>
  <c r="B261" i="11" a="1"/>
  <c r="B276" i="11" a="1"/>
  <c r="B275" i="11" a="1"/>
  <c r="B274" i="11" a="1"/>
  <c r="B272" i="11" a="1"/>
  <c r="B271" i="11" a="1"/>
  <c r="B268" i="11" a="1"/>
  <c r="B281" i="11" a="1"/>
  <c r="B265" i="11" a="1"/>
  <c r="B280" i="11" a="1"/>
  <c r="B279" i="11" a="1"/>
  <c r="B278" i="11" a="1"/>
  <c r="B277" i="11" a="1"/>
  <c r="B260" i="11" a="1"/>
  <c r="B273" i="11" a="1"/>
  <c r="B270" i="11" a="1"/>
  <c r="B269" i="11" a="1"/>
  <c r="B267" i="11" a="1"/>
  <c r="B259" i="11" a="1"/>
  <c r="P33" i="11" a="1"/>
  <c r="P27" i="11" a="1"/>
  <c r="P23" i="11" a="1"/>
  <c r="O35" i="11" a="1"/>
  <c r="O31" i="11" a="1"/>
  <c r="O25" i="11" a="1"/>
  <c r="N35" i="11" a="1"/>
  <c r="N31" i="11" a="1"/>
  <c r="N27" i="11" a="1"/>
  <c r="N23" i="11" a="1"/>
  <c r="M33" i="11" a="1"/>
  <c r="M31" i="11" a="1"/>
  <c r="M27" i="11" a="1"/>
  <c r="M23" i="11" a="1"/>
  <c r="L33" i="11" a="1"/>
  <c r="L31" i="11" a="1"/>
  <c r="L27" i="11" a="1"/>
  <c r="L23" i="11" a="1"/>
  <c r="K33" i="11" a="1"/>
  <c r="K29" i="11" a="1"/>
  <c r="K25" i="11" a="1"/>
  <c r="J33" i="11" a="1"/>
  <c r="J29" i="11" a="1"/>
  <c r="J25" i="11" a="1"/>
  <c r="P34" i="11" a="1"/>
  <c r="P30" i="11" a="1"/>
  <c r="P26" i="11" a="1"/>
  <c r="O34" i="11" a="1"/>
  <c r="O26" i="11" a="1"/>
  <c r="N32" i="11" a="1"/>
  <c r="N28" i="11" a="1"/>
  <c r="M32" i="11" a="1"/>
  <c r="M30" i="11" a="1"/>
  <c r="M26" i="11" a="1"/>
  <c r="M24" i="11" a="1"/>
  <c r="L34" i="11" a="1"/>
  <c r="L30" i="11" a="1"/>
  <c r="L26" i="11" a="1"/>
  <c r="K32" i="11" a="1"/>
  <c r="K28" i="11" a="1"/>
  <c r="J30" i="11" a="1"/>
  <c r="P35" i="11" a="1"/>
  <c r="P31" i="11" a="1"/>
  <c r="P29" i="11" a="1"/>
  <c r="P25" i="11" a="1"/>
  <c r="O33" i="11" a="1"/>
  <c r="O29" i="11" a="1"/>
  <c r="O27" i="11" a="1"/>
  <c r="O23" i="11" a="1"/>
  <c r="N33" i="11" a="1"/>
  <c r="N29" i="11" a="1"/>
  <c r="N25" i="11" a="1"/>
  <c r="M35" i="11" a="1"/>
  <c r="M29" i="11" a="1"/>
  <c r="M25" i="11" a="1"/>
  <c r="L35" i="11" a="1"/>
  <c r="L29" i="11" a="1"/>
  <c r="L25" i="11" a="1"/>
  <c r="K35" i="11" a="1"/>
  <c r="K31" i="11" a="1"/>
  <c r="K27" i="11" a="1"/>
  <c r="K23" i="11" a="1"/>
  <c r="J35" i="11" a="1"/>
  <c r="J31" i="11" a="1"/>
  <c r="J27" i="11" a="1"/>
  <c r="J23" i="11" a="1"/>
  <c r="P32" i="11" a="1"/>
  <c r="P28" i="11" a="1"/>
  <c r="P24" i="11" a="1"/>
  <c r="O32" i="11" a="1"/>
  <c r="O28" i="11" a="1"/>
  <c r="O24" i="11" a="1"/>
  <c r="N34" i="11" a="1"/>
  <c r="N30" i="11" a="1"/>
  <c r="N24" i="11" a="1"/>
  <c r="M34" i="11" a="1"/>
  <c r="M28" i="11" a="1"/>
  <c r="L32" i="11" a="1"/>
  <c r="L28" i="11" a="1"/>
  <c r="L24" i="11" a="1"/>
  <c r="K34" i="11" a="1"/>
  <c r="K30" i="11" a="1"/>
  <c r="K26" i="11" a="1"/>
  <c r="J34" i="11" a="1"/>
  <c r="O30" i="11" a="1"/>
  <c r="K24" i="11" a="1"/>
  <c r="N26" i="11" a="1"/>
  <c r="J32" i="11" a="1"/>
  <c r="J26" i="11" a="1"/>
  <c r="J24" i="11" a="1"/>
  <c r="J28" i="11" a="1"/>
  <c r="B12" i="11" a="1"/>
  <c r="B12" i="10" a="1"/>
  <c r="N29" i="10" a="1"/>
  <c r="M29" i="10" a="1"/>
  <c r="M27" i="10" a="1"/>
  <c r="L31" i="10" a="1"/>
  <c r="L27" i="10" a="1"/>
  <c r="K31" i="10" a="1"/>
  <c r="K25" i="10" a="1"/>
  <c r="J33" i="10" a="1"/>
  <c r="J23" i="10" a="1"/>
  <c r="P28" i="10" a="1"/>
  <c r="O32" i="10" a="1"/>
  <c r="O28" i="10" a="1"/>
  <c r="N30" i="10" a="1"/>
  <c r="N26" i="10" a="1"/>
  <c r="M34" i="10" a="1"/>
  <c r="M26" i="10" a="1"/>
  <c r="L34" i="10" a="1"/>
  <c r="L26" i="10" a="1"/>
  <c r="K34" i="10" a="1"/>
  <c r="K24" i="10" a="1"/>
  <c r="J30" i="10" a="1"/>
  <c r="P25" i="10" a="1"/>
  <c r="O29" i="10" a="1"/>
  <c r="N31" i="10" a="1"/>
  <c r="N25" i="10" a="1"/>
  <c r="M33" i="10" a="1"/>
  <c r="M25" i="10" a="1"/>
  <c r="L33" i="10" a="1"/>
  <c r="L25" i="10" a="1"/>
  <c r="K35" i="10" a="1"/>
  <c r="J29" i="10" a="1"/>
  <c r="J25" i="10" a="1"/>
  <c r="P30" i="10" a="1"/>
  <c r="O34" i="10" a="1"/>
  <c r="O26" i="10" a="1"/>
  <c r="N32" i="10" a="1"/>
  <c r="N28" i="10" a="1"/>
  <c r="M32" i="10" a="1"/>
  <c r="M24" i="10" a="1"/>
  <c r="L32" i="10" a="1"/>
  <c r="L24" i="10" a="1"/>
  <c r="K30" i="10" a="1"/>
  <c r="J34" i="10" a="1"/>
  <c r="P35" i="10" a="1"/>
  <c r="P33" i="10" a="1"/>
  <c r="P31" i="10" a="1"/>
  <c r="P29" i="10" a="1"/>
  <c r="P27" i="10" a="1"/>
  <c r="P23" i="10" a="1"/>
  <c r="O31" i="10" a="1"/>
  <c r="O23" i="10" a="1"/>
  <c r="N33" i="10" a="1"/>
  <c r="N27" i="10" a="1"/>
  <c r="M35" i="10" a="1"/>
  <c r="L29" i="10" a="1"/>
  <c r="L23" i="10" a="1"/>
  <c r="K29" i="10" a="1"/>
  <c r="K27" i="10" a="1"/>
  <c r="J35" i="10" a="1"/>
  <c r="P34" i="10" a="1"/>
  <c r="P24" i="10" a="1"/>
  <c r="N34" i="10" a="1"/>
  <c r="N24" i="10" a="1"/>
  <c r="M30" i="10" a="1"/>
  <c r="L30" i="10" a="1"/>
  <c r="K28" i="10" a="1"/>
  <c r="J28" i="10" a="1"/>
  <c r="O35" i="10" a="1"/>
  <c r="O33" i="10" a="1"/>
  <c r="O27" i="10" a="1"/>
  <c r="O25" i="10" a="1"/>
  <c r="N35" i="10" a="1"/>
  <c r="N23" i="10" a="1"/>
  <c r="M31" i="10" a="1"/>
  <c r="M23" i="10" a="1"/>
  <c r="L35" i="10" a="1"/>
  <c r="K33" i="10" a="1"/>
  <c r="K23" i="10" a="1"/>
  <c r="J31" i="10" a="1"/>
  <c r="J27" i="10" a="1"/>
  <c r="P32" i="10" a="1"/>
  <c r="P26" i="10" a="1"/>
  <c r="O30" i="10" a="1"/>
  <c r="O24" i="10" a="1"/>
  <c r="M28" i="10" a="1"/>
  <c r="L28" i="10" a="1"/>
  <c r="K32" i="10" a="1"/>
  <c r="K26" i="10" a="1"/>
  <c r="J32" i="10" a="1"/>
  <c r="J24" i="10" a="1"/>
  <c r="J26" i="10" a="1"/>
  <c r="P35" i="4" a="1"/>
  <c r="N30" i="4" a="1"/>
  <c r="P27" i="4" a="1"/>
  <c r="L25" i="4" a="1"/>
  <c r="O32" i="4" a="1"/>
  <c r="P29" i="4" a="1"/>
  <c r="O29" i="4" a="1"/>
  <c r="P34" i="4" a="1"/>
  <c r="O34" i="4" a="1"/>
  <c r="N34" i="4" a="1"/>
  <c r="O31" i="4" a="1"/>
  <c r="N23" i="4" a="1"/>
  <c r="M23" i="4" a="1"/>
  <c r="N28" i="4" a="1"/>
  <c r="O33" i="4" a="1"/>
  <c r="N33" i="4" a="1"/>
  <c r="K28" i="4" a="1"/>
  <c r="L33" i="4" a="1"/>
  <c r="P32" i="4" a="1"/>
  <c r="M27" i="4" a="1"/>
  <c r="N24" i="4" a="1"/>
  <c r="K27" i="4" a="1"/>
  <c r="L24" i="4" a="1"/>
  <c r="K24" i="4" a="1"/>
  <c r="N26" i="4" a="1"/>
  <c r="K29" i="4" a="1"/>
  <c r="L34" i="4" a="1"/>
  <c r="K26" i="4" a="1"/>
  <c r="L23" i="4" a="1"/>
  <c r="K23" i="4" a="1"/>
  <c r="L28" i="4" a="1"/>
  <c r="M25" i="4" a="1"/>
  <c r="O35" i="4" a="1"/>
  <c r="K33" i="4" a="1"/>
  <c r="M30" i="4" a="1"/>
  <c r="O27" i="4" a="1"/>
  <c r="K25" i="4" a="1"/>
  <c r="M35" i="4" a="1"/>
  <c r="L35" i="4" a="1"/>
  <c r="K35" i="4" a="1"/>
  <c r="N29" i="4" a="1"/>
  <c r="M29" i="4" a="1"/>
  <c r="L29" i="4" a="1"/>
  <c r="M26" i="4" a="1"/>
  <c r="L26" i="4" a="1"/>
  <c r="M31" i="4" a="1"/>
  <c r="P33" i="4" a="1"/>
  <c r="O25" i="4" a="1"/>
  <c r="N27" i="4" a="1"/>
  <c r="K30" i="4" a="1"/>
  <c r="N32" i="4" a="1"/>
  <c r="M32" i="4" a="1"/>
  <c r="L32" i="4" a="1"/>
  <c r="K32" i="4" a="1"/>
  <c r="P31" i="4" a="1"/>
  <c r="M34" i="4" a="1"/>
  <c r="N31" i="4" a="1"/>
  <c r="O28" i="4" a="1"/>
  <c r="L31" i="4" a="1"/>
  <c r="K31" i="4" a="1"/>
  <c r="P30" i="4" a="1"/>
  <c r="M33" i="4" a="1"/>
  <c r="N35" i="4" a="1"/>
  <c r="L30" i="4" a="1"/>
  <c r="P24" i="4" a="1"/>
  <c r="O24" i="4" a="1"/>
  <c r="L27" i="4" a="1"/>
  <c r="M24" i="4" a="1"/>
  <c r="P26" i="4" a="1"/>
  <c r="O26" i="4" a="1"/>
  <c r="P23" i="4" a="1"/>
  <c r="O23" i="4" a="1"/>
  <c r="P28" i="4" a="1"/>
  <c r="K34" i="4" a="1"/>
  <c r="P25" i="4" a="1"/>
  <c r="M28" i="4" a="1"/>
  <c r="N25" i="4" a="1"/>
  <c r="O30" i="4" a="1"/>
  <c r="J33" i="4" a="1"/>
  <c r="J35" i="4" a="1"/>
  <c r="J32" i="4" a="1"/>
  <c r="J27" i="4" a="1"/>
  <c r="J25" i="4" a="1"/>
  <c r="J24" i="4" a="1"/>
  <c r="J34" i="4" a="1"/>
  <c r="J31" i="4" a="1"/>
  <c r="J30" i="4" a="1"/>
  <c r="J28" i="4" a="1"/>
  <c r="J29" i="4" a="1"/>
  <c r="J26" i="4" a="1"/>
  <c r="J23" i="4" a="1"/>
  <c r="B12" i="4" a="1"/>
  <c r="J264" i="11" a="1"/>
  <c r="J269" i="11" a="1"/>
  <c r="I274" i="10" a="1"/>
  <c r="I281" i="4" a="1"/>
  <c r="J267" i="4" a="1"/>
  <c r="I278" i="10" a="1"/>
  <c r="I266" i="11" a="1"/>
  <c r="I268" i="10" a="1"/>
  <c r="J277" i="11" a="1"/>
  <c r="I271" i="10" a="1"/>
  <c r="I272" i="4" a="1"/>
  <c r="I263" i="11" a="1"/>
  <c r="J277" i="10" a="1"/>
  <c r="J270" i="4" a="1"/>
  <c r="I260" i="11" a="1"/>
  <c r="J266" i="4" a="1"/>
  <c r="J272" i="11" a="1"/>
  <c r="I272" i="10" a="1"/>
  <c r="I278" i="11" a="1"/>
  <c r="I266" i="4" a="1"/>
  <c r="J260" i="10" a="1"/>
  <c r="J269" i="4" a="1"/>
  <c r="J274" i="10" a="1"/>
  <c r="J268" i="4" a="1"/>
  <c r="J282" i="11" a="1"/>
  <c r="I279" i="11" a="1"/>
  <c r="J265" i="10" a="1"/>
  <c r="I279" i="4" a="1"/>
  <c r="J260" i="4" a="1"/>
  <c r="J274" i="11" a="1"/>
  <c r="I261" i="11" a="1"/>
  <c r="J264" i="4" a="1"/>
  <c r="J271" i="4" a="1"/>
  <c r="I269" i="4" a="1"/>
  <c r="I280" i="11" a="1"/>
  <c r="J281" i="4" a="1"/>
  <c r="I263" i="4" a="1"/>
  <c r="I264" i="11" a="1"/>
  <c r="J270" i="11" a="1"/>
  <c r="J262" i="4" a="1"/>
  <c r="I269" i="11" a="1"/>
  <c r="J260" i="11" a="1"/>
  <c r="J261" i="4" a="1"/>
  <c r="I276" i="11" a="1"/>
  <c r="I275" i="10" a="1"/>
  <c r="I278" i="4" a="1"/>
  <c r="I259" i="10" a="1"/>
  <c r="J279" i="4" a="1"/>
  <c r="I265" i="11" a="1"/>
  <c r="I265" i="10" a="1"/>
  <c r="J270" i="10" a="1"/>
  <c r="J278" i="4" a="1"/>
  <c r="J263" i="10" a="1"/>
  <c r="J265" i="4" a="1"/>
  <c r="J261" i="11" a="1"/>
  <c r="I270" i="11" a="1"/>
  <c r="I273" i="11" a="1"/>
  <c r="I275" i="11" a="1"/>
  <c r="J259" i="11" a="1"/>
  <c r="J275" i="10" a="1"/>
  <c r="J273" i="4" a="1"/>
  <c r="I276" i="4" a="1"/>
  <c r="I260" i="4" a="1"/>
  <c r="J268" i="10" a="1"/>
  <c r="J272" i="4" a="1"/>
  <c r="I274" i="11" a="1"/>
  <c r="I267" i="11" a="1"/>
  <c r="J271" i="11" a="1"/>
  <c r="I277" i="11" a="1"/>
  <c r="I275" i="4" a="1"/>
  <c r="J276" i="11" a="1"/>
  <c r="J263" i="11" a="1"/>
  <c r="J274" i="4" a="1"/>
  <c r="I264" i="10" a="1"/>
  <c r="J282" i="10" a="1"/>
  <c r="I280" i="10" a="1"/>
  <c r="J266" i="10" a="1"/>
  <c r="I281" i="11" a="1"/>
  <c r="I279" i="10" a="1"/>
  <c r="J273" i="10" a="1"/>
  <c r="I282" i="4" a="1"/>
  <c r="I273" i="10" a="1"/>
  <c r="J265" i="11" a="1"/>
  <c r="J275" i="4" a="1"/>
  <c r="I270" i="4" a="1"/>
  <c r="I267" i="10" a="1"/>
  <c r="I280" i="4" a="1"/>
  <c r="J266" i="11" a="1"/>
  <c r="I262" i="11" a="1"/>
  <c r="J278" i="10" a="1"/>
  <c r="I273" i="4" a="1"/>
  <c r="J282" i="4" a="1"/>
  <c r="J276" i="4" a="1"/>
  <c r="J273" i="11" a="1"/>
  <c r="J271" i="10" a="1"/>
  <c r="J259" i="4" a="1"/>
  <c r="J261" i="10" a="1"/>
  <c r="I281" i="10" a="1"/>
  <c r="I265" i="4" a="1"/>
  <c r="I261" i="10" a="1"/>
  <c r="J263" i="4" a="1"/>
  <c r="I262" i="4" a="1"/>
  <c r="J267" i="11" a="1"/>
  <c r="J259" i="10" a="1"/>
  <c r="J279" i="10" a="1"/>
  <c r="I282" i="10" a="1"/>
  <c r="I259" i="4" a="1"/>
  <c r="J275" i="11" a="1"/>
  <c r="J280" i="10" a="1"/>
  <c r="J268" i="11" a="1"/>
  <c r="I276" i="10" a="1"/>
  <c r="I271" i="11" a="1"/>
  <c r="I282" i="11" a="1"/>
  <c r="J281" i="10" a="1"/>
  <c r="I259" i="11" a="1"/>
  <c r="J280" i="4" a="1"/>
  <c r="I271" i="4" a="1"/>
  <c r="I266" i="10" a="1"/>
  <c r="J278" i="11" a="1"/>
  <c r="J281" i="11" a="1"/>
  <c r="J264" i="10" a="1"/>
  <c r="J272" i="10" a="1"/>
  <c r="J277" i="4" a="1"/>
  <c r="J276" i="10" a="1"/>
  <c r="I277" i="10" a="1"/>
  <c r="I261" i="4" a="1"/>
  <c r="I268" i="11" a="1"/>
  <c r="I269" i="10" a="1"/>
  <c r="I270" i="10" a="1"/>
  <c r="I268" i="4" a="1"/>
  <c r="I264" i="4" a="1"/>
  <c r="J269" i="10" a="1"/>
  <c r="J262" i="10" a="1"/>
  <c r="I262" i="10" a="1"/>
  <c r="I267" i="4" a="1"/>
  <c r="J280" i="11" a="1"/>
  <c r="J279" i="11" a="1"/>
  <c r="I272" i="11" a="1"/>
  <c r="J262" i="11" a="1"/>
  <c r="I263" i="10" a="1"/>
  <c r="J267" i="10" a="1"/>
  <c r="I260" i="10" a="1"/>
  <c r="I277" i="4" a="1"/>
  <c r="I274" i="4" a="1"/>
  <c r="H6" i="11" a="1"/>
  <c r="G6" i="11" a="1"/>
  <c r="H6" i="10" a="1"/>
  <c r="G6" i="10" a="1"/>
  <c r="C7" i="11" a="1"/>
  <c r="B7" i="11" a="1"/>
  <c r="E19" i="11" a="1"/>
  <c r="E19" i="10" a="1"/>
  <c r="C7" i="10" a="1"/>
  <c r="B7" i="10" a="1"/>
  <c r="E19" i="4" a="1"/>
  <c r="B7" i="4" a="1"/>
  <c r="C7" i="4" a="1"/>
  <c r="H6" i="4" a="1"/>
  <c r="G6" i="4" a="1"/>
  <c r="G6" i="11" l="1"/>
  <c r="H6" i="11"/>
  <c r="G6" i="10"/>
  <c r="H6" i="10"/>
  <c r="B7" i="11"/>
  <c r="C7" i="11"/>
  <c r="E19" i="11"/>
  <c r="E19" i="10"/>
  <c r="B7" i="10"/>
  <c r="C7" i="10"/>
  <c r="E19" i="4"/>
  <c r="B7" i="4"/>
  <c r="C7" i="4"/>
  <c r="G6" i="4"/>
  <c r="H6" i="4"/>
  <c r="C19" i="11"/>
  <c r="C19" i="4"/>
  <c r="G264" i="11"/>
  <c r="G277" i="11"/>
  <c r="D259" i="11"/>
  <c r="D275" i="11"/>
  <c r="G272" i="11"/>
  <c r="H264" i="11"/>
  <c r="D270" i="11"/>
  <c r="G267" i="11"/>
  <c r="H267" i="11"/>
  <c r="F270" i="11"/>
  <c r="F265" i="11"/>
  <c r="H278" i="11"/>
  <c r="G265" i="11"/>
  <c r="G281" i="11"/>
  <c r="D263" i="11"/>
  <c r="D279" i="11"/>
  <c r="F271" i="11"/>
  <c r="G279" i="11"/>
  <c r="F266" i="11"/>
  <c r="D269" i="11"/>
  <c r="F274" i="11"/>
  <c r="D277" i="11"/>
  <c r="F282" i="11"/>
  <c r="F280" i="11"/>
  <c r="D262" i="11"/>
  <c r="D278" i="11"/>
  <c r="F278" i="11"/>
  <c r="G262" i="11"/>
  <c r="F281" i="11"/>
  <c r="G273" i="11"/>
  <c r="H265" i="11"/>
  <c r="H273" i="11"/>
  <c r="H260" i="11"/>
  <c r="F279" i="11"/>
  <c r="H263" i="11"/>
  <c r="H271" i="11"/>
  <c r="H279" i="11"/>
  <c r="F272" i="11"/>
  <c r="F275" i="11"/>
  <c r="D265" i="11"/>
  <c r="D273" i="11"/>
  <c r="H270" i="11"/>
  <c r="F260" i="11"/>
  <c r="F276" i="11"/>
  <c r="F263" i="11"/>
  <c r="D274" i="11"/>
  <c r="G266" i="11"/>
  <c r="G282" i="11"/>
  <c r="G261" i="11"/>
  <c r="G269" i="11"/>
  <c r="F264" i="11"/>
  <c r="H277" i="11"/>
  <c r="G280" i="11"/>
  <c r="H280" i="11"/>
  <c r="G275" i="11"/>
  <c r="D281" i="11"/>
  <c r="G278" i="11"/>
  <c r="H262" i="11"/>
  <c r="D268" i="11"/>
  <c r="D271" i="11"/>
  <c r="G268" i="11"/>
  <c r="D266" i="11"/>
  <c r="H268" i="11"/>
  <c r="G263" i="11"/>
  <c r="D261" i="11"/>
  <c r="G274" i="11"/>
  <c r="D267" i="11"/>
  <c r="H272" i="11"/>
  <c r="F262" i="11"/>
  <c r="H275" i="11"/>
  <c r="G270" i="11"/>
  <c r="F273" i="11"/>
  <c r="F268" i="11"/>
  <c r="G276" i="11"/>
  <c r="H276" i="11"/>
  <c r="D264" i="11"/>
  <c r="H266" i="11"/>
  <c r="F269" i="11"/>
  <c r="D272" i="11"/>
  <c r="H274" i="11"/>
  <c r="F277" i="11"/>
  <c r="H282" i="11"/>
  <c r="H261" i="11"/>
  <c r="H269" i="11"/>
  <c r="F259" i="11"/>
  <c r="F267" i="11"/>
  <c r="G259" i="11"/>
  <c r="H259" i="11"/>
  <c r="D260" i="11"/>
  <c r="D276" i="11"/>
  <c r="H281" i="11"/>
  <c r="G260" i="11"/>
  <c r="D282" i="11"/>
  <c r="G271" i="11"/>
  <c r="F261" i="11"/>
  <c r="D280" i="11"/>
  <c r="B267" i="11"/>
  <c r="B269" i="11"/>
  <c r="B270" i="11"/>
  <c r="B273" i="11"/>
  <c r="B260" i="11"/>
  <c r="B277" i="11"/>
  <c r="B278" i="11"/>
  <c r="B279" i="11"/>
  <c r="B280" i="11"/>
  <c r="B265" i="11"/>
  <c r="B281" i="11"/>
  <c r="B268" i="11"/>
  <c r="B271" i="11"/>
  <c r="B272" i="11"/>
  <c r="B274" i="11"/>
  <c r="B275" i="11"/>
  <c r="B276" i="11"/>
  <c r="B261" i="11"/>
  <c r="B262" i="11"/>
  <c r="B263" i="11"/>
  <c r="B264" i="11"/>
  <c r="B266" i="11"/>
  <c r="B282" i="11"/>
  <c r="B259" i="11"/>
  <c r="J28" i="11"/>
  <c r="J24" i="11"/>
  <c r="J26" i="11"/>
  <c r="J32" i="11"/>
  <c r="N26" i="11"/>
  <c r="K24" i="11"/>
  <c r="O30" i="11"/>
  <c r="J34" i="11"/>
  <c r="K26" i="11"/>
  <c r="K30" i="11"/>
  <c r="K34" i="11"/>
  <c r="L24" i="11"/>
  <c r="L28" i="11"/>
  <c r="L32" i="11"/>
  <c r="M28" i="11"/>
  <c r="M34" i="11"/>
  <c r="N24" i="11"/>
  <c r="N30" i="11"/>
  <c r="N34" i="11"/>
  <c r="O24" i="11"/>
  <c r="O28" i="11"/>
  <c r="O32" i="11"/>
  <c r="P24" i="11"/>
  <c r="P28" i="11"/>
  <c r="P32" i="11"/>
  <c r="J23" i="11"/>
  <c r="B251" i="11" s="1" a="1"/>
  <c r="B251" i="11" s="1"/>
  <c r="J27" i="11"/>
  <c r="J31" i="11"/>
  <c r="J35" i="11"/>
  <c r="K23" i="11"/>
  <c r="K27" i="11"/>
  <c r="K31" i="11"/>
  <c r="K35" i="11"/>
  <c r="L25" i="11"/>
  <c r="L29" i="11"/>
  <c r="L35" i="11"/>
  <c r="M25" i="11"/>
  <c r="M29" i="11"/>
  <c r="M35" i="11"/>
  <c r="N25" i="11"/>
  <c r="N29" i="11"/>
  <c r="N33" i="11"/>
  <c r="O23" i="11"/>
  <c r="O27" i="11"/>
  <c r="O29" i="11"/>
  <c r="O33" i="11"/>
  <c r="P25" i="11"/>
  <c r="P29" i="11"/>
  <c r="P31" i="11"/>
  <c r="P35" i="11"/>
  <c r="J30" i="11"/>
  <c r="K28" i="11"/>
  <c r="K32" i="11"/>
  <c r="L26" i="11"/>
  <c r="L30" i="11"/>
  <c r="L34" i="11"/>
  <c r="M24" i="11"/>
  <c r="M26" i="11"/>
  <c r="M30" i="11"/>
  <c r="M32" i="11"/>
  <c r="N28" i="11"/>
  <c r="N32" i="11"/>
  <c r="O26" i="11"/>
  <c r="O34" i="11"/>
  <c r="P26" i="11"/>
  <c r="P30" i="11"/>
  <c r="P34" i="11"/>
  <c r="J25" i="11"/>
  <c r="J29" i="11"/>
  <c r="J33" i="11"/>
  <c r="K25" i="11"/>
  <c r="K29" i="11"/>
  <c r="K33" i="11"/>
  <c r="L23" i="11"/>
  <c r="L27" i="11"/>
  <c r="L31" i="11"/>
  <c r="L33" i="11"/>
  <c r="M23" i="11"/>
  <c r="M27" i="11"/>
  <c r="M31" i="11"/>
  <c r="M33" i="11"/>
  <c r="N23" i="11"/>
  <c r="N27" i="11"/>
  <c r="N31" i="11"/>
  <c r="N35" i="11"/>
  <c r="O25" i="11"/>
  <c r="O31" i="11"/>
  <c r="O35" i="11"/>
  <c r="P23" i="11"/>
  <c r="P27" i="11"/>
  <c r="P33" i="11"/>
  <c r="B12" i="11"/>
  <c r="B12" i="10"/>
  <c r="N22" i="4"/>
  <c r="O22" i="4"/>
  <c r="M22" i="4"/>
  <c r="P22" i="4"/>
  <c r="J22" i="4"/>
  <c r="D13" i="4"/>
  <c r="K22" i="4"/>
  <c r="M22" i="10"/>
  <c r="N22" i="10"/>
  <c r="C19" i="10"/>
  <c r="J22" i="10"/>
  <c r="O22" i="10"/>
  <c r="P22" i="10"/>
  <c r="K22" i="10"/>
  <c r="J26" i="10"/>
  <c r="J24" i="10"/>
  <c r="J32" i="10"/>
  <c r="K26" i="10"/>
  <c r="K32" i="10"/>
  <c r="L28" i="10"/>
  <c r="M28" i="10"/>
  <c r="O24" i="10"/>
  <c r="O30" i="10"/>
  <c r="P26" i="10"/>
  <c r="P32" i="10"/>
  <c r="J27" i="10"/>
  <c r="J31" i="10"/>
  <c r="K23" i="10"/>
  <c r="K33" i="10"/>
  <c r="L35" i="10"/>
  <c r="M23" i="10"/>
  <c r="M31" i="10"/>
  <c r="N23" i="10"/>
  <c r="N35" i="10"/>
  <c r="O25" i="10"/>
  <c r="O27" i="10"/>
  <c r="O33" i="10"/>
  <c r="O35" i="10"/>
  <c r="J28" i="10"/>
  <c r="K28" i="10"/>
  <c r="L30" i="10"/>
  <c r="M30" i="10"/>
  <c r="N24" i="10"/>
  <c r="N34" i="10"/>
  <c r="P24" i="10"/>
  <c r="P34" i="10"/>
  <c r="J35" i="10"/>
  <c r="K27" i="10"/>
  <c r="K29" i="10"/>
  <c r="L23" i="10"/>
  <c r="L29" i="10"/>
  <c r="M35" i="10"/>
  <c r="N27" i="10"/>
  <c r="N33" i="10"/>
  <c r="O23" i="10"/>
  <c r="O31" i="10"/>
  <c r="P23" i="10"/>
  <c r="P27" i="10"/>
  <c r="P29" i="10"/>
  <c r="P31" i="10"/>
  <c r="P33" i="10"/>
  <c r="P35" i="10"/>
  <c r="J34" i="10"/>
  <c r="K30" i="10"/>
  <c r="L24" i="10"/>
  <c r="L32" i="10"/>
  <c r="M24" i="10"/>
  <c r="M32" i="10"/>
  <c r="N28" i="10"/>
  <c r="N32" i="10"/>
  <c r="O26" i="10"/>
  <c r="O34" i="10"/>
  <c r="P30" i="10"/>
  <c r="J25" i="10"/>
  <c r="J29" i="10"/>
  <c r="K35" i="10"/>
  <c r="L25" i="10"/>
  <c r="L33" i="10"/>
  <c r="M25" i="10"/>
  <c r="M33" i="10"/>
  <c r="N25" i="10"/>
  <c r="N31" i="10"/>
  <c r="O29" i="10"/>
  <c r="P25" i="10"/>
  <c r="J30" i="10"/>
  <c r="K24" i="10"/>
  <c r="K34" i="10"/>
  <c r="L26" i="10"/>
  <c r="L34" i="10"/>
  <c r="M26" i="10"/>
  <c r="M34" i="10"/>
  <c r="N26" i="10"/>
  <c r="N30" i="10"/>
  <c r="O28" i="10"/>
  <c r="O32" i="10"/>
  <c r="P28" i="10"/>
  <c r="J23" i="10"/>
  <c r="J33" i="10"/>
  <c r="K25" i="10"/>
  <c r="K31" i="10"/>
  <c r="L27" i="10"/>
  <c r="L31" i="10"/>
  <c r="M27" i="10"/>
  <c r="M29" i="10"/>
  <c r="N29" i="10"/>
  <c r="O30" i="4"/>
  <c r="N25" i="4"/>
  <c r="M28" i="4"/>
  <c r="P25" i="4"/>
  <c r="K34" i="4"/>
  <c r="P28" i="4"/>
  <c r="O23" i="4"/>
  <c r="P23" i="4"/>
  <c r="O26" i="4"/>
  <c r="P26" i="4"/>
  <c r="M24" i="4"/>
  <c r="L27" i="4"/>
  <c r="O24" i="4"/>
  <c r="P24" i="4"/>
  <c r="L30" i="4"/>
  <c r="N35" i="4"/>
  <c r="M33" i="4"/>
  <c r="P30" i="4"/>
  <c r="K31" i="4"/>
  <c r="L31" i="4"/>
  <c r="O28" i="4"/>
  <c r="N31" i="4"/>
  <c r="M34" i="4"/>
  <c r="P31" i="4"/>
  <c r="K32" i="4"/>
  <c r="L32" i="4"/>
  <c r="M32" i="4"/>
  <c r="N32" i="4"/>
  <c r="K30" i="4"/>
  <c r="N27" i="4"/>
  <c r="O25" i="4"/>
  <c r="P33" i="4"/>
  <c r="M31" i="4"/>
  <c r="L26" i="4"/>
  <c r="M26" i="4"/>
  <c r="L29" i="4"/>
  <c r="M29" i="4"/>
  <c r="N29" i="4"/>
  <c r="K35" i="4"/>
  <c r="L35" i="4"/>
  <c r="M35" i="4"/>
  <c r="K25" i="4"/>
  <c r="O27" i="4"/>
  <c r="M30" i="4"/>
  <c r="K33" i="4"/>
  <c r="O35" i="4"/>
  <c r="M25" i="4"/>
  <c r="L28" i="4"/>
  <c r="K23" i="4"/>
  <c r="L23" i="4"/>
  <c r="K26" i="4"/>
  <c r="L34" i="4"/>
  <c r="K29" i="4"/>
  <c r="N26" i="4"/>
  <c r="K24" i="4"/>
  <c r="L24" i="4"/>
  <c r="K27" i="4"/>
  <c r="N24" i="4"/>
  <c r="M27" i="4"/>
  <c r="P32" i="4"/>
  <c r="L33" i="4"/>
  <c r="K28" i="4"/>
  <c r="N33" i="4"/>
  <c r="O33" i="4"/>
  <c r="N28" i="4"/>
  <c r="M23" i="4"/>
  <c r="N23" i="4"/>
  <c r="O31" i="4"/>
  <c r="N34" i="4"/>
  <c r="O34" i="4"/>
  <c r="P34" i="4"/>
  <c r="O29" i="4"/>
  <c r="P29" i="4"/>
  <c r="O32" i="4"/>
  <c r="L25" i="4"/>
  <c r="P27" i="4"/>
  <c r="N30" i="4"/>
  <c r="P35" i="4"/>
  <c r="J26" i="4"/>
  <c r="J29" i="4"/>
  <c r="J28" i="4"/>
  <c r="J30" i="4"/>
  <c r="J31" i="4"/>
  <c r="J34" i="4"/>
  <c r="J24" i="4"/>
  <c r="J25" i="4"/>
  <c r="J27" i="4"/>
  <c r="J32" i="4"/>
  <c r="J35" i="4"/>
  <c r="J33" i="4"/>
  <c r="J23" i="4"/>
  <c r="B12" i="4"/>
  <c r="B18" i="4" s="1"/>
  <c r="I263" i="11"/>
  <c r="J263" i="11"/>
  <c r="J270" i="11"/>
  <c r="I277" i="11"/>
  <c r="J277" i="11"/>
  <c r="I267" i="11"/>
  <c r="I274" i="11"/>
  <c r="I261" i="11"/>
  <c r="J274" i="11"/>
  <c r="I262" i="11"/>
  <c r="J259" i="11"/>
  <c r="I279" i="11"/>
  <c r="J269" i="11"/>
  <c r="J279" i="11"/>
  <c r="I270" i="11"/>
  <c r="J261" i="11"/>
  <c r="I271" i="11"/>
  <c r="J278" i="11"/>
  <c r="J265" i="11"/>
  <c r="J262" i="11"/>
  <c r="I268" i="11"/>
  <c r="I272" i="11"/>
  <c r="J281" i="11"/>
  <c r="J268" i="11"/>
  <c r="I278" i="11"/>
  <c r="J275" i="11"/>
  <c r="I265" i="11"/>
  <c r="J272" i="11"/>
  <c r="I281" i="11"/>
  <c r="I260" i="11"/>
  <c r="J267" i="11"/>
  <c r="I276" i="11"/>
  <c r="J260" i="11"/>
  <c r="I269" i="11"/>
  <c r="J276" i="11"/>
  <c r="I264" i="11"/>
  <c r="J271" i="11"/>
  <c r="I280" i="11"/>
  <c r="I266" i="11"/>
  <c r="J273" i="11"/>
  <c r="I259" i="11"/>
  <c r="J266" i="11"/>
  <c r="I275" i="11"/>
  <c r="J282" i="11"/>
  <c r="J264" i="11"/>
  <c r="I273" i="11"/>
  <c r="J280" i="11"/>
  <c r="I282" i="11"/>
  <c r="B252" i="11" a="1"/>
  <c r="B252" i="11" s="1"/>
  <c r="B250" i="11" a="1"/>
  <c r="B250" i="11" s="1"/>
  <c r="I262" i="10"/>
  <c r="J262" i="10"/>
  <c r="J269" i="10"/>
  <c r="I263" i="10"/>
  <c r="I270" i="10"/>
  <c r="I277" i="10"/>
  <c r="J272" i="10"/>
  <c r="J263" i="10"/>
  <c r="J270" i="10"/>
  <c r="I265" i="10"/>
  <c r="I272" i="10"/>
  <c r="I279" i="10"/>
  <c r="J279" i="10"/>
  <c r="J259" i="10"/>
  <c r="I280" i="10"/>
  <c r="J277" i="10"/>
  <c r="I264" i="10"/>
  <c r="I261" i="10"/>
  <c r="I271" i="10"/>
  <c r="I281" i="10"/>
  <c r="J261" i="10"/>
  <c r="I268" i="10"/>
  <c r="J271" i="10"/>
  <c r="I278" i="10"/>
  <c r="J268" i="10"/>
  <c r="J278" i="10"/>
  <c r="J275" i="10"/>
  <c r="J265" i="10"/>
  <c r="I274" i="10"/>
  <c r="J281" i="10"/>
  <c r="I267" i="10"/>
  <c r="J274" i="10"/>
  <c r="I260" i="10"/>
  <c r="J267" i="10"/>
  <c r="I276" i="10"/>
  <c r="J260" i="10"/>
  <c r="I269" i="10"/>
  <c r="J276" i="10"/>
  <c r="J264" i="10"/>
  <c r="I273" i="10"/>
  <c r="J280" i="10"/>
  <c r="I266" i="10"/>
  <c r="J273" i="10"/>
  <c r="I282" i="10"/>
  <c r="I259" i="10"/>
  <c r="J266" i="10"/>
  <c r="I275" i="10"/>
  <c r="J282" i="10"/>
  <c r="J259" i="4"/>
  <c r="J263" i="4"/>
  <c r="I272" i="4"/>
  <c r="J279" i="4"/>
  <c r="I265" i="4"/>
  <c r="J272" i="4"/>
  <c r="I281" i="4"/>
  <c r="I277" i="4"/>
  <c r="J261" i="4"/>
  <c r="J281" i="4"/>
  <c r="J264" i="4"/>
  <c r="I273" i="4"/>
  <c r="J280" i="4"/>
  <c r="J275" i="4"/>
  <c r="J277" i="4"/>
  <c r="I260" i="4"/>
  <c r="J267" i="4"/>
  <c r="I276" i="4"/>
  <c r="J260" i="4"/>
  <c r="I280" i="4"/>
  <c r="J268" i="4"/>
  <c r="I270" i="4"/>
  <c r="J265" i="4"/>
  <c r="I278" i="4"/>
  <c r="I266" i="4"/>
  <c r="J273" i="4"/>
  <c r="I282" i="4"/>
  <c r="I268" i="4"/>
  <c r="I263" i="4"/>
  <c r="J270" i="4"/>
  <c r="I261" i="4"/>
  <c r="I279" i="4"/>
  <c r="I262" i="4"/>
  <c r="J271" i="4"/>
  <c r="I259" i="4"/>
  <c r="J266" i="4"/>
  <c r="I275" i="4"/>
  <c r="J282" i="4"/>
  <c r="I274" i="4"/>
  <c r="I267" i="4"/>
  <c r="J274" i="4"/>
  <c r="I269" i="4"/>
  <c r="J276" i="4"/>
  <c r="J269" i="4"/>
  <c r="J262" i="4"/>
  <c r="I271" i="4"/>
  <c r="J278" i="4"/>
  <c r="I264" i="4"/>
  <c r="Q34" i="11" a="1"/>
  <c r="Q32" i="11" a="1"/>
  <c r="Q35" i="11" a="1"/>
  <c r="Q25" i="11" a="1"/>
  <c r="Q31" i="11" a="1"/>
  <c r="Q28" i="11" a="1"/>
  <c r="Q23" i="11" a="1"/>
  <c r="Q33" i="11" a="1"/>
  <c r="Q30" i="11" a="1"/>
  <c r="Q27" i="11" a="1"/>
  <c r="Q29" i="11" a="1"/>
  <c r="Q24" i="11" a="1"/>
  <c r="Q26" i="11" a="1"/>
  <c r="Q32" i="10" a="1"/>
  <c r="Q29" i="10" a="1"/>
  <c r="Q30" i="10" a="1"/>
  <c r="Q24" i="10" a="1"/>
  <c r="Q27" i="10" a="1"/>
  <c r="Q31" i="10" a="1"/>
  <c r="Q35" i="10" a="1"/>
  <c r="Q25" i="10" a="1"/>
  <c r="Q33" i="10" a="1"/>
  <c r="Q26" i="10" a="1"/>
  <c r="Q28" i="10" a="1"/>
  <c r="Q34" i="10" a="1"/>
  <c r="Q23" i="10" a="1"/>
  <c r="Q24" i="4" a="1"/>
  <c r="Q29" i="4" a="1"/>
  <c r="Q27" i="4" a="1"/>
  <c r="Q33" i="4" a="1"/>
  <c r="Q26" i="4" a="1"/>
  <c r="Q32" i="4" a="1"/>
  <c r="Q34" i="4" a="1"/>
  <c r="Q28" i="4" a="1"/>
  <c r="Q23" i="4" a="1"/>
  <c r="Q35" i="4" a="1"/>
  <c r="Q25" i="4" a="1"/>
  <c r="Q31" i="4" a="1"/>
  <c r="Q30" i="4" a="1"/>
  <c r="Q26" i="11" l="1"/>
  <c r="Q24" i="11"/>
  <c r="Q29" i="11"/>
  <c r="Q27" i="11"/>
  <c r="Q30" i="11"/>
  <c r="Q33" i="11"/>
  <c r="Q23" i="11"/>
  <c r="Q28" i="11"/>
  <c r="Q31" i="11"/>
  <c r="Q25" i="11"/>
  <c r="Q35" i="11"/>
  <c r="Q32" i="11"/>
  <c r="Q34" i="11"/>
  <c r="Q23" i="10"/>
  <c r="Q34" i="10"/>
  <c r="Q28" i="10"/>
  <c r="Q26" i="10"/>
  <c r="Q33" i="10"/>
  <c r="Q25" i="10"/>
  <c r="Q35" i="10"/>
  <c r="Q31" i="10"/>
  <c r="Q27" i="10"/>
  <c r="Q24" i="10"/>
  <c r="Q30" i="10"/>
  <c r="Q29" i="10"/>
  <c r="Q32" i="10"/>
  <c r="Q30" i="4"/>
  <c r="Q31" i="4"/>
  <c r="Q25" i="4"/>
  <c r="Q35" i="4"/>
  <c r="Q23" i="4"/>
  <c r="Q28" i="4"/>
  <c r="Q34" i="4"/>
  <c r="Q32" i="4"/>
  <c r="Q26" i="4"/>
  <c r="Q33" i="4"/>
  <c r="Q27" i="4"/>
  <c r="Q29" i="4"/>
  <c r="Q24" i="4"/>
  <c r="B249" i="11" a="1"/>
  <c r="B249" i="11" s="1"/>
  <c r="C12" i="11"/>
  <c r="D13" i="11"/>
  <c r="B18" i="11"/>
  <c r="D16" i="11" s="1"/>
  <c r="E16" i="11" s="1"/>
  <c r="D16" i="4"/>
  <c r="E16" i="4" s="1"/>
  <c r="D13" i="10"/>
  <c r="C12" i="10"/>
  <c r="B18" i="10"/>
  <c r="C250" i="11" a="1"/>
  <c r="C250" i="11" s="1"/>
  <c r="C249" i="11" a="1"/>
  <c r="C249" i="11" s="1"/>
  <c r="C252" i="11" a="1"/>
  <c r="C252" i="11" s="1"/>
  <c r="C251" i="11" a="1"/>
  <c r="C251" i="11" s="1"/>
  <c r="D250" i="11" a="1"/>
  <c r="D250" i="11" s="1"/>
  <c r="D251" i="11" a="1"/>
  <c r="D251" i="11" s="1"/>
  <c r="D249" i="11" a="1"/>
  <c r="D249" i="11" s="1"/>
  <c r="D252" i="11" a="1"/>
  <c r="D252" i="11" s="1"/>
  <c r="E251" i="11" a="1"/>
  <c r="E251" i="11" s="1"/>
  <c r="E250" i="11" a="1"/>
  <c r="E250" i="11" s="1"/>
  <c r="E249" i="11" a="1"/>
  <c r="E249" i="11" s="1"/>
  <c r="E252" i="11" a="1"/>
  <c r="E252" i="11" s="1"/>
  <c r="F249" i="11" a="1"/>
  <c r="F249" i="11" s="1"/>
  <c r="F251" i="11" a="1"/>
  <c r="F251" i="11" s="1"/>
  <c r="F250" i="11" a="1"/>
  <c r="F250" i="11" s="1"/>
  <c r="F252" i="11" a="1"/>
  <c r="F252" i="11" s="1"/>
  <c r="G249" i="11" a="1"/>
  <c r="G249" i="11" s="1"/>
  <c r="G252" i="11" a="1"/>
  <c r="G252" i="11" s="1"/>
  <c r="G250" i="11" a="1"/>
  <c r="G250" i="11" s="1"/>
  <c r="G251" i="11" a="1"/>
  <c r="G251" i="11" s="1"/>
  <c r="H251" i="11" a="1"/>
  <c r="H251" i="11" s="1"/>
  <c r="H252" i="11" a="1"/>
  <c r="H252" i="11" s="1"/>
  <c r="H249" i="11" a="1"/>
  <c r="H249" i="11" s="1"/>
  <c r="H250" i="11" a="1"/>
  <c r="H250" i="11" s="1"/>
  <c r="C250" i="10" a="1"/>
  <c r="C250" i="10" s="1"/>
  <c r="C251" i="10" a="1"/>
  <c r="C251" i="10" s="1"/>
  <c r="C252" i="10" a="1"/>
  <c r="C252" i="10" s="1"/>
  <c r="C249" i="10" a="1"/>
  <c r="C249" i="10" s="1"/>
  <c r="B252" i="10" a="1"/>
  <c r="B252" i="10" s="1"/>
  <c r="B250" i="10" a="1"/>
  <c r="B250" i="10" s="1"/>
  <c r="B251" i="10" a="1"/>
  <c r="B251" i="10" s="1"/>
  <c r="B249" i="10" a="1"/>
  <c r="B249" i="10" s="1"/>
  <c r="E251" i="10" a="1"/>
  <c r="E251" i="10" s="1"/>
  <c r="E249" i="10" a="1"/>
  <c r="E249" i="10" s="1"/>
  <c r="E252" i="10" a="1"/>
  <c r="E252" i="10" s="1"/>
  <c r="E250" i="10" a="1"/>
  <c r="E250" i="10" s="1"/>
  <c r="H252" i="10" a="1"/>
  <c r="H252" i="10" s="1"/>
  <c r="H249" i="10" a="1"/>
  <c r="H249" i="10" s="1"/>
  <c r="H251" i="10" a="1"/>
  <c r="H251" i="10" s="1"/>
  <c r="H250" i="10" a="1"/>
  <c r="H250" i="10" s="1"/>
  <c r="D250" i="10" a="1"/>
  <c r="D250" i="10" s="1"/>
  <c r="D251" i="10" a="1"/>
  <c r="D251" i="10" s="1"/>
  <c r="D249" i="10" a="1"/>
  <c r="D249" i="10" s="1"/>
  <c r="D252" i="10" a="1"/>
  <c r="D252" i="10" s="1"/>
  <c r="F249" i="10" a="1"/>
  <c r="F249" i="10" s="1"/>
  <c r="F252" i="10" a="1"/>
  <c r="F252" i="10" s="1"/>
  <c r="F251" i="10" a="1"/>
  <c r="F251" i="10" s="1"/>
  <c r="F250" i="10" a="1"/>
  <c r="F250" i="10" s="1"/>
  <c r="G249" i="10" a="1"/>
  <c r="G249" i="10" s="1"/>
  <c r="G252" i="10" a="1"/>
  <c r="G252" i="10" s="1"/>
  <c r="G251" i="10" a="1"/>
  <c r="G251" i="10" s="1"/>
  <c r="G250" i="10" a="1"/>
  <c r="G250" i="10" s="1"/>
  <c r="E264" i="11" a="1"/>
  <c r="E280" i="11" a="1"/>
  <c r="E259" i="11" a="1"/>
  <c r="E262" i="11" a="1"/>
  <c r="E281" i="11" a="1"/>
  <c r="E260" i="11" a="1"/>
  <c r="E263" i="11" a="1"/>
  <c r="E266" i="11" a="1"/>
  <c r="E274" i="11" a="1"/>
  <c r="E275" i="11" a="1"/>
  <c r="E278" i="11" a="1"/>
  <c r="E276" i="11" a="1"/>
  <c r="E279" i="11" a="1"/>
  <c r="E282" i="11" a="1"/>
  <c r="E277" i="11" a="1"/>
  <c r="E265" i="11" a="1"/>
  <c r="E261" i="11" a="1"/>
  <c r="E269" i="11" a="1"/>
  <c r="E272" i="11" a="1"/>
  <c r="E268" i="11" a="1"/>
  <c r="E267" i="11" a="1"/>
  <c r="E270" i="11" a="1"/>
  <c r="E273" i="11" a="1"/>
  <c r="E271" i="11" a="1"/>
  <c r="C262" i="11" a="1"/>
  <c r="C260" i="11" a="1"/>
  <c r="C268" i="11" a="1"/>
  <c r="C282" i="11" a="1"/>
  <c r="C270" i="11" a="1"/>
  <c r="C281" i="11" a="1"/>
  <c r="C274" i="11" a="1"/>
  <c r="C275" i="11" a="1"/>
  <c r="C276" i="11" a="1"/>
  <c r="C272" i="11" a="1"/>
  <c r="C265" i="11" a="1"/>
  <c r="C263" i="11" a="1"/>
  <c r="C271" i="11" a="1"/>
  <c r="C266" i="11" a="1"/>
  <c r="C269" i="11" a="1"/>
  <c r="C264" i="11" a="1"/>
  <c r="C280" i="11" a="1"/>
  <c r="C259" i="11" a="1"/>
  <c r="C278" i="11" a="1"/>
  <c r="C273" i="11" a="1"/>
  <c r="C277" i="11" a="1"/>
  <c r="C267" i="11" a="1"/>
  <c r="C279" i="11" a="1"/>
  <c r="C261" i="11" a="1"/>
  <c r="B259" i="10" a="1"/>
  <c r="B267" i="10" a="1"/>
  <c r="B268" i="10" a="1"/>
  <c r="B269" i="10" a="1"/>
  <c r="B270" i="10" a="1"/>
  <c r="B271" i="10" a="1"/>
  <c r="B272" i="10" a="1"/>
  <c r="B273" i="10" a="1"/>
  <c r="B274" i="10" a="1"/>
  <c r="B275" i="10" a="1"/>
  <c r="B260" i="10" a="1"/>
  <c r="B276" i="10" a="1"/>
  <c r="B261" i="10" a="1"/>
  <c r="B277" i="10" a="1"/>
  <c r="B262" i="10" a="1"/>
  <c r="B278" i="10" a="1"/>
  <c r="B263" i="10" a="1"/>
  <c r="B279" i="10" a="1"/>
  <c r="B264" i="10" a="1"/>
  <c r="B280" i="10" a="1"/>
  <c r="B265" i="10" a="1"/>
  <c r="B281" i="10" a="1"/>
  <c r="B266" i="10" a="1"/>
  <c r="B282" i="10" a="1"/>
  <c r="E264" i="10" a="1"/>
  <c r="E280" i="10" a="1"/>
  <c r="E265" i="10" a="1"/>
  <c r="E273" i="10" a="1"/>
  <c r="E263" i="10" a="1"/>
  <c r="E259" i="10" a="1"/>
  <c r="E267" i="10" a="1"/>
  <c r="E268" i="10" a="1"/>
  <c r="E279" i="10" a="1"/>
  <c r="E271" i="10" a="1"/>
  <c r="E274" i="10" a="1"/>
  <c r="E261" i="10" a="1"/>
  <c r="E269" i="10" a="1"/>
  <c r="E277" i="10" a="1"/>
  <c r="E272" i="10" a="1"/>
  <c r="E275" i="10" a="1"/>
  <c r="E281" i="10" a="1"/>
  <c r="E266" i="10" a="1"/>
  <c r="E270" i="10" a="1"/>
  <c r="E260" i="10" a="1"/>
  <c r="E282" i="10" a="1"/>
  <c r="E262" i="10" a="1"/>
  <c r="E278" i="10" a="1"/>
  <c r="E276" i="10" a="1"/>
  <c r="F264" i="10" a="1"/>
  <c r="F280" i="10" a="1"/>
  <c r="F281" i="10" a="1"/>
  <c r="F276" i="10" a="1"/>
  <c r="F282" i="10" a="1"/>
  <c r="F270" i="10" a="1"/>
  <c r="F263" i="10" a="1"/>
  <c r="F271" i="10" a="1"/>
  <c r="F267" i="10" a="1"/>
  <c r="F278" i="10" a="1"/>
  <c r="F273" i="10" a="1"/>
  <c r="F259" i="10" a="1"/>
  <c r="F262" i="10" a="1"/>
  <c r="F265" i="10" a="1"/>
  <c r="F260" i="10" a="1"/>
  <c r="F266" i="10" a="1"/>
  <c r="F268" i="10" a="1"/>
  <c r="F279" i="10" a="1"/>
  <c r="F274" i="10" a="1"/>
  <c r="F269" i="10" a="1"/>
  <c r="F277" i="10" a="1"/>
  <c r="F272" i="10" a="1"/>
  <c r="F275" i="10" a="1"/>
  <c r="F261" i="10" a="1"/>
  <c r="G280" i="10" a="1"/>
  <c r="G275" i="10" a="1"/>
  <c r="G281" i="10" a="1"/>
  <c r="G268" i="10" a="1"/>
  <c r="G259" i="10" a="1"/>
  <c r="G271" i="10" a="1"/>
  <c r="G261" i="10" a="1"/>
  <c r="G277" i="10" a="1"/>
  <c r="G267" i="10" a="1"/>
  <c r="G273" i="10" a="1"/>
  <c r="G274" i="10" a="1"/>
  <c r="G282" i="10" a="1"/>
  <c r="G279" i="10" a="1"/>
  <c r="G269" i="10" a="1"/>
  <c r="G278" i="10" a="1"/>
  <c r="G260" i="10" a="1"/>
  <c r="G276" i="10" a="1"/>
  <c r="G264" i="10" a="1"/>
  <c r="G272" i="10" a="1"/>
  <c r="G262" i="10" a="1"/>
  <c r="G270" i="10" a="1"/>
  <c r="G265" i="10" a="1"/>
  <c r="G263" i="10" a="1"/>
  <c r="G266" i="10" a="1"/>
  <c r="C265" i="10" a="1"/>
  <c r="C269" i="10" a="1"/>
  <c r="C273" i="10" a="1"/>
  <c r="C260" i="10" a="1"/>
  <c r="C268" i="10" a="1"/>
  <c r="C278" i="10" a="1"/>
  <c r="C276" i="10" a="1"/>
  <c r="C263" i="10" a="1"/>
  <c r="C266" i="10" a="1"/>
  <c r="C259" i="10" a="1"/>
  <c r="C262" i="10" a="1"/>
  <c r="C281" i="10" a="1"/>
  <c r="C279" i="10" a="1"/>
  <c r="C274" i="10" a="1"/>
  <c r="C264" i="10" a="1"/>
  <c r="C280" i="10" a="1"/>
  <c r="C270" i="10" a="1"/>
  <c r="C271" i="10" a="1"/>
  <c r="C261" i="10" a="1"/>
  <c r="C272" i="10" a="1"/>
  <c r="C267" i="10" a="1"/>
  <c r="C275" i="10" a="1"/>
  <c r="C282" i="10" a="1"/>
  <c r="C277" i="10" a="1"/>
  <c r="H275" i="10" a="1"/>
  <c r="H280" i="10" a="1"/>
  <c r="H268" i="10" a="1"/>
  <c r="H265" i="10" a="1"/>
  <c r="H279" i="10" a="1"/>
  <c r="H262" i="10" a="1"/>
  <c r="H273" i="10" a="1"/>
  <c r="H260" i="10" a="1"/>
  <c r="H269" i="10" a="1"/>
  <c r="H278" i="10" a="1"/>
  <c r="H277" i="10" a="1"/>
  <c r="H272" i="10" a="1"/>
  <c r="H267" i="10" a="1"/>
  <c r="H266" i="10" a="1"/>
  <c r="H274" i="10" a="1"/>
  <c r="H282" i="10" a="1"/>
  <c r="H261" i="10" a="1"/>
  <c r="H264" i="10" a="1"/>
  <c r="H259" i="10" a="1"/>
  <c r="H270" i="10" a="1"/>
  <c r="H281" i="10" a="1"/>
  <c r="H276" i="10" a="1"/>
  <c r="H263" i="10" a="1"/>
  <c r="H271" i="10" a="1"/>
  <c r="D273" i="10" a="1"/>
  <c r="D260" i="10" a="1"/>
  <c r="D269" i="10" a="1"/>
  <c r="D277" i="10" a="1"/>
  <c r="D262" i="10" a="1"/>
  <c r="D270" i="10" a="1"/>
  <c r="D268" i="10" a="1"/>
  <c r="D271" i="10" a="1"/>
  <c r="D259" i="10" a="1"/>
  <c r="D275" i="10" a="1"/>
  <c r="D274" i="10" a="1"/>
  <c r="D267" i="10" a="1"/>
  <c r="D278" i="10" a="1"/>
  <c r="D281" i="10" a="1"/>
  <c r="D279" i="10" a="1"/>
  <c r="D282" i="10" a="1"/>
  <c r="D276" i="10" a="1"/>
  <c r="D263" i="10" a="1"/>
  <c r="D261" i="10" a="1"/>
  <c r="D264" i="10" a="1"/>
  <c r="D272" i="10" a="1"/>
  <c r="D280" i="10" a="1"/>
  <c r="D265" i="10" a="1"/>
  <c r="D266" i="10" a="1"/>
  <c r="E271" i="11" l="1"/>
  <c r="E273" i="11"/>
  <c r="E270" i="11"/>
  <c r="E267" i="11"/>
  <c r="E268" i="11"/>
  <c r="E272" i="11"/>
  <c r="E269" i="11"/>
  <c r="E261" i="11"/>
  <c r="E265" i="11"/>
  <c r="E277" i="11"/>
  <c r="E282" i="11"/>
  <c r="E279" i="11"/>
  <c r="E276" i="11"/>
  <c r="E278" i="11"/>
  <c r="E275" i="11"/>
  <c r="E274" i="11"/>
  <c r="E266" i="11"/>
  <c r="E263" i="11"/>
  <c r="E260" i="11"/>
  <c r="E281" i="11"/>
  <c r="E262" i="11"/>
  <c r="E259" i="11"/>
  <c r="E280" i="11"/>
  <c r="E264" i="11"/>
  <c r="C261" i="11"/>
  <c r="C279" i="11"/>
  <c r="C267" i="11"/>
  <c r="C277" i="11"/>
  <c r="C273" i="11"/>
  <c r="C278" i="11"/>
  <c r="C259" i="11"/>
  <c r="C280" i="11"/>
  <c r="C264" i="11"/>
  <c r="C269" i="11"/>
  <c r="C266" i="11"/>
  <c r="C271" i="11"/>
  <c r="C263" i="11"/>
  <c r="C265" i="11"/>
  <c r="C272" i="11"/>
  <c r="C276" i="11"/>
  <c r="C275" i="11"/>
  <c r="C274" i="11"/>
  <c r="C281" i="11"/>
  <c r="C270" i="11"/>
  <c r="C282" i="11"/>
  <c r="C268" i="11"/>
  <c r="C260" i="11"/>
  <c r="C262" i="11"/>
  <c r="D266" i="10"/>
  <c r="D265" i="10"/>
  <c r="D280" i="10"/>
  <c r="D272" i="10"/>
  <c r="D264" i="10"/>
  <c r="D261" i="10"/>
  <c r="D263" i="10"/>
  <c r="D276" i="10"/>
  <c r="D282" i="10"/>
  <c r="D279" i="10"/>
  <c r="D281" i="10"/>
  <c r="D278" i="10"/>
  <c r="D267" i="10"/>
  <c r="D274" i="10"/>
  <c r="D275" i="10"/>
  <c r="D259" i="10"/>
  <c r="D271" i="10"/>
  <c r="D268" i="10"/>
  <c r="D270" i="10"/>
  <c r="D262" i="10"/>
  <c r="D277" i="10"/>
  <c r="D269" i="10"/>
  <c r="D260" i="10"/>
  <c r="D273" i="10"/>
  <c r="H271" i="10"/>
  <c r="H263" i="10"/>
  <c r="H276" i="10"/>
  <c r="H281" i="10"/>
  <c r="H270" i="10"/>
  <c r="H259" i="10"/>
  <c r="H264" i="10"/>
  <c r="H261" i="10"/>
  <c r="H282" i="10"/>
  <c r="H274" i="10"/>
  <c r="H266" i="10"/>
  <c r="H267" i="10"/>
  <c r="H272" i="10"/>
  <c r="H277" i="10"/>
  <c r="H278" i="10"/>
  <c r="H269" i="10"/>
  <c r="H260" i="10"/>
  <c r="H273" i="10"/>
  <c r="H262" i="10"/>
  <c r="H279" i="10"/>
  <c r="H265" i="10"/>
  <c r="H268" i="10"/>
  <c r="H280" i="10"/>
  <c r="H275" i="10"/>
  <c r="C277" i="10"/>
  <c r="C282" i="10"/>
  <c r="C275" i="10"/>
  <c r="C267" i="10"/>
  <c r="C272" i="10"/>
  <c r="C261" i="10"/>
  <c r="C271" i="10"/>
  <c r="C270" i="10"/>
  <c r="C280" i="10"/>
  <c r="C264" i="10"/>
  <c r="C274" i="10"/>
  <c r="C279" i="10"/>
  <c r="C281" i="10"/>
  <c r="C262" i="10"/>
  <c r="C259" i="10"/>
  <c r="C266" i="10"/>
  <c r="C263" i="10"/>
  <c r="C276" i="10"/>
  <c r="C278" i="10"/>
  <c r="C268" i="10"/>
  <c r="C260" i="10"/>
  <c r="C273" i="10"/>
  <c r="C269" i="10"/>
  <c r="C265" i="10"/>
  <c r="G266" i="10"/>
  <c r="G263" i="10"/>
  <c r="G265" i="10"/>
  <c r="G270" i="10"/>
  <c r="G262" i="10"/>
  <c r="G272" i="10"/>
  <c r="G264" i="10"/>
  <c r="G276" i="10"/>
  <c r="G260" i="10"/>
  <c r="G278" i="10"/>
  <c r="G269" i="10"/>
  <c r="G279" i="10"/>
  <c r="G282" i="10"/>
  <c r="G274" i="10"/>
  <c r="G273" i="10"/>
  <c r="G267" i="10"/>
  <c r="G277" i="10"/>
  <c r="G261" i="10"/>
  <c r="G271" i="10"/>
  <c r="G259" i="10"/>
  <c r="G268" i="10"/>
  <c r="G281" i="10"/>
  <c r="G275" i="10"/>
  <c r="G280" i="10"/>
  <c r="F261" i="10"/>
  <c r="F275" i="10"/>
  <c r="F272" i="10"/>
  <c r="F277" i="10"/>
  <c r="F269" i="10"/>
  <c r="F274" i="10"/>
  <c r="F279" i="10"/>
  <c r="F268" i="10"/>
  <c r="F266" i="10"/>
  <c r="F260" i="10"/>
  <c r="F265" i="10"/>
  <c r="F262" i="10"/>
  <c r="F259" i="10"/>
  <c r="F273" i="10"/>
  <c r="F278" i="10"/>
  <c r="F267" i="10"/>
  <c r="F271" i="10"/>
  <c r="F263" i="10"/>
  <c r="F270" i="10"/>
  <c r="F282" i="10"/>
  <c r="F276" i="10"/>
  <c r="F281" i="10"/>
  <c r="F280" i="10"/>
  <c r="F264" i="10"/>
  <c r="E276" i="10"/>
  <c r="E278" i="10"/>
  <c r="E262" i="10"/>
  <c r="E282" i="10"/>
  <c r="E260" i="10"/>
  <c r="E270" i="10"/>
  <c r="E266" i="10"/>
  <c r="E281" i="10"/>
  <c r="E275" i="10"/>
  <c r="E272" i="10"/>
  <c r="E277" i="10"/>
  <c r="E269" i="10"/>
  <c r="E261" i="10"/>
  <c r="E274" i="10"/>
  <c r="E271" i="10"/>
  <c r="E279" i="10"/>
  <c r="E268" i="10"/>
  <c r="E267" i="10"/>
  <c r="E259" i="10"/>
  <c r="E263" i="10"/>
  <c r="E273" i="10"/>
  <c r="E265" i="10"/>
  <c r="E280" i="10"/>
  <c r="E264" i="10"/>
  <c r="B282" i="10"/>
  <c r="B266" i="10"/>
  <c r="B281" i="10"/>
  <c r="B265" i="10"/>
  <c r="B280" i="10"/>
  <c r="B264" i="10"/>
  <c r="B279" i="10"/>
  <c r="B263" i="10"/>
  <c r="B278" i="10"/>
  <c r="B262" i="10"/>
  <c r="B277" i="10"/>
  <c r="B261" i="10"/>
  <c r="B276" i="10"/>
  <c r="B260" i="10"/>
  <c r="B275" i="10"/>
  <c r="B274" i="10"/>
  <c r="B273" i="10"/>
  <c r="B272" i="10"/>
  <c r="B271" i="10"/>
  <c r="B270" i="10"/>
  <c r="B269" i="10"/>
  <c r="B268" i="10"/>
  <c r="B267" i="10"/>
  <c r="B259" i="10"/>
  <c r="D16" i="10"/>
  <c r="E16" i="10" s="1"/>
  <c r="B252" i="4" l="1" a="1"/>
  <c r="B252" i="4" s="1"/>
  <c r="B249" i="4" a="1"/>
  <c r="B249" i="4" s="1"/>
  <c r="B251" i="4" a="1"/>
  <c r="B251" i="4" s="1"/>
  <c r="B250" i="4" a="1"/>
  <c r="B250" i="4" s="1"/>
  <c r="B259" i="4" a="1"/>
  <c r="B281" i="4" a="1"/>
  <c r="B263" i="4" a="1"/>
  <c r="B262" i="4" a="1"/>
  <c r="B261" i="4" a="1"/>
  <c r="B276" i="4" a="1"/>
  <c r="B275" i="4" a="1"/>
  <c r="B274" i="4" a="1"/>
  <c r="B273" i="4" a="1"/>
  <c r="B270" i="4" a="1"/>
  <c r="B269" i="4" a="1"/>
  <c r="B268" i="4" a="1"/>
  <c r="B267" i="4" a="1"/>
  <c r="B282" i="4" a="1"/>
  <c r="B266" i="4" a="1"/>
  <c r="B265" i="4" a="1"/>
  <c r="B280" i="4" a="1"/>
  <c r="B264" i="4" a="1"/>
  <c r="B279" i="4" a="1"/>
  <c r="B278" i="4" a="1"/>
  <c r="B277" i="4" a="1"/>
  <c r="B260" i="4" a="1"/>
  <c r="B272" i="4" a="1"/>
  <c r="B271" i="4" a="1"/>
  <c r="B271" i="4" l="1"/>
  <c r="B272" i="4"/>
  <c r="B260" i="4"/>
  <c r="B277" i="4"/>
  <c r="B278" i="4"/>
  <c r="B279" i="4"/>
  <c r="B264" i="4"/>
  <c r="B280" i="4"/>
  <c r="B265" i="4"/>
  <c r="B266" i="4"/>
  <c r="B282" i="4"/>
  <c r="B267" i="4"/>
  <c r="B268" i="4"/>
  <c r="B269" i="4"/>
  <c r="B270" i="4"/>
  <c r="B273" i="4"/>
  <c r="B274" i="4"/>
  <c r="B275" i="4"/>
  <c r="B276" i="4"/>
  <c r="B261" i="4"/>
  <c r="B262" i="4"/>
  <c r="B263" i="4"/>
  <c r="B281" i="4"/>
  <c r="B259" i="4"/>
  <c r="H249" i="4" a="1"/>
  <c r="H249" i="4" s="1"/>
  <c r="H250" i="4" a="1"/>
  <c r="H250" i="4" s="1"/>
  <c r="H251" i="4" a="1"/>
  <c r="H251" i="4" s="1"/>
  <c r="H252" i="4" a="1"/>
  <c r="H252" i="4" s="1"/>
  <c r="H272" i="4" a="1"/>
  <c r="H259" i="4" a="1"/>
  <c r="H267" i="4" a="1"/>
  <c r="H275" i="4" a="1"/>
  <c r="H277" i="4" a="1"/>
  <c r="H264" i="4" a="1"/>
  <c r="H270" i="4" a="1"/>
  <c r="H265" i="4" a="1"/>
  <c r="H260" i="4" a="1"/>
  <c r="H280" i="4" a="1"/>
  <c r="H263" i="4" a="1"/>
  <c r="H271" i="4" a="1"/>
  <c r="H268" i="4" a="1"/>
  <c r="H276" i="4" a="1"/>
  <c r="H262" i="4" a="1"/>
  <c r="H278" i="4" a="1"/>
  <c r="H281" i="4" a="1"/>
  <c r="H266" i="4" a="1"/>
  <c r="H274" i="4" a="1"/>
  <c r="H282" i="4" a="1"/>
  <c r="H269" i="4" a="1"/>
  <c r="H273" i="4" a="1"/>
  <c r="H279" i="4" a="1"/>
  <c r="H261" i="4" a="1"/>
  <c r="H261" i="4" l="1"/>
  <c r="H279" i="4"/>
  <c r="H273" i="4"/>
  <c r="H269" i="4"/>
  <c r="H282" i="4"/>
  <c r="H274" i="4"/>
  <c r="H266" i="4"/>
  <c r="H281" i="4"/>
  <c r="H278" i="4"/>
  <c r="H262" i="4"/>
  <c r="H276" i="4"/>
  <c r="H268" i="4"/>
  <c r="H271" i="4"/>
  <c r="H263" i="4"/>
  <c r="H280" i="4"/>
  <c r="H260" i="4"/>
  <c r="H265" i="4"/>
  <c r="H270" i="4"/>
  <c r="H264" i="4"/>
  <c r="H277" i="4"/>
  <c r="H275" i="4"/>
  <c r="H267" i="4"/>
  <c r="H259" i="4"/>
  <c r="H272" i="4"/>
  <c r="G250" i="4" a="1"/>
  <c r="G250" i="4" s="1"/>
  <c r="G249" i="4" a="1"/>
  <c r="G249" i="4" s="1"/>
  <c r="G251" i="4" a="1"/>
  <c r="G251" i="4" s="1"/>
  <c r="G252" i="4" a="1"/>
  <c r="G252" i="4" s="1"/>
  <c r="G263" i="4" a="1"/>
  <c r="G261" i="4" a="1"/>
  <c r="G277" i="4" a="1"/>
  <c r="G280" i="4" a="1"/>
  <c r="G262" i="4" a="1"/>
  <c r="G270" i="4" a="1"/>
  <c r="G265" i="4" a="1"/>
  <c r="G268" i="4" a="1"/>
  <c r="G279" i="4" a="1"/>
  <c r="G266" i="4" a="1"/>
  <c r="G274" i="4" a="1"/>
  <c r="G282" i="4" a="1"/>
  <c r="G264" i="4" a="1"/>
  <c r="G259" i="4" a="1"/>
  <c r="G267" i="4" a="1"/>
  <c r="G276" i="4" a="1"/>
  <c r="G272" i="4" a="1"/>
  <c r="G281" i="4" a="1"/>
  <c r="G275" i="4" a="1"/>
  <c r="G278" i="4" a="1"/>
  <c r="G273" i="4" a="1"/>
  <c r="G260" i="4" a="1"/>
  <c r="G271" i="4" a="1"/>
  <c r="G269" i="4" a="1"/>
  <c r="G269" i="4" l="1"/>
  <c r="G271" i="4"/>
  <c r="G260" i="4"/>
  <c r="G273" i="4"/>
  <c r="G278" i="4"/>
  <c r="G275" i="4"/>
  <c r="G281" i="4"/>
  <c r="G272" i="4"/>
  <c r="G276" i="4"/>
  <c r="G267" i="4"/>
  <c r="G259" i="4"/>
  <c r="G264" i="4"/>
  <c r="G282" i="4"/>
  <c r="G274" i="4"/>
  <c r="G266" i="4"/>
  <c r="G279" i="4"/>
  <c r="G268" i="4"/>
  <c r="G265" i="4"/>
  <c r="G270" i="4"/>
  <c r="G262" i="4"/>
  <c r="G280" i="4"/>
  <c r="G277" i="4"/>
  <c r="G261" i="4"/>
  <c r="G263" i="4"/>
  <c r="F249" i="4" a="1"/>
  <c r="F249" i="4" s="1"/>
  <c r="F250" i="4" a="1"/>
  <c r="F250" i="4" s="1"/>
  <c r="F251" i="4" a="1"/>
  <c r="F251" i="4" s="1"/>
  <c r="F252" i="4" a="1"/>
  <c r="F252" i="4" s="1"/>
  <c r="F262" i="4" a="1"/>
  <c r="F270" i="4" a="1"/>
  <c r="F278" i="4" a="1"/>
  <c r="F275" i="4" a="1"/>
  <c r="F279" i="4" a="1"/>
  <c r="F282" i="4" a="1"/>
  <c r="F273" i="4" a="1"/>
  <c r="F260" i="4" a="1"/>
  <c r="F264" i="4" a="1"/>
  <c r="F267" i="4" a="1"/>
  <c r="F281" i="4" a="1"/>
  <c r="F276" i="4" a="1"/>
  <c r="F280" i="4" a="1"/>
  <c r="F259" i="4" a="1"/>
  <c r="F263" i="4" a="1"/>
  <c r="F266" i="4" a="1"/>
  <c r="F274" i="4" a="1"/>
  <c r="F261" i="4" a="1"/>
  <c r="F269" i="4" a="1"/>
  <c r="F277" i="4" a="1"/>
  <c r="F265" i="4" a="1"/>
  <c r="F268" i="4" a="1"/>
  <c r="F271" i="4" a="1"/>
  <c r="F272" i="4" a="1"/>
  <c r="F272" i="4" l="1"/>
  <c r="F271" i="4"/>
  <c r="F268" i="4"/>
  <c r="F265" i="4"/>
  <c r="F277" i="4"/>
  <c r="F269" i="4"/>
  <c r="F261" i="4"/>
  <c r="F274" i="4"/>
  <c r="F266" i="4"/>
  <c r="F263" i="4"/>
  <c r="F259" i="4"/>
  <c r="F280" i="4"/>
  <c r="F276" i="4"/>
  <c r="F281" i="4"/>
  <c r="F267" i="4"/>
  <c r="F264" i="4"/>
  <c r="F260" i="4"/>
  <c r="F273" i="4"/>
  <c r="F282" i="4"/>
  <c r="F279" i="4"/>
  <c r="F275" i="4"/>
  <c r="F278" i="4"/>
  <c r="F270" i="4"/>
  <c r="F262" i="4"/>
  <c r="E250" i="4" a="1"/>
  <c r="E250" i="4" s="1"/>
  <c r="E251" i="4" a="1"/>
  <c r="E251" i="4" s="1"/>
  <c r="E249" i="4" a="1"/>
  <c r="E249" i="4" s="1"/>
  <c r="E252" i="4" a="1"/>
  <c r="E252" i="4" s="1"/>
  <c r="E270" i="4" a="1"/>
  <c r="E267" i="4" a="1"/>
  <c r="E278" i="4" a="1"/>
  <c r="E273" i="4" a="1"/>
  <c r="E268" i="4" a="1"/>
  <c r="E276" i="4" a="1"/>
  <c r="E279" i="4" a="1"/>
  <c r="E282" i="4" a="1"/>
  <c r="E262" i="4" a="1"/>
  <c r="E261" i="4" a="1"/>
  <c r="E269" i="4" a="1"/>
  <c r="E277" i="4" a="1"/>
  <c r="E272" i="4" a="1"/>
  <c r="E281" i="4" a="1"/>
  <c r="E263" i="4" a="1"/>
  <c r="E266" i="4" a="1"/>
  <c r="E264" i="4" a="1"/>
  <c r="E259" i="4" a="1"/>
  <c r="E265" i="4" a="1"/>
  <c r="E260" i="4" a="1"/>
  <c r="E274" i="4" a="1"/>
  <c r="E275" i="4" a="1"/>
  <c r="E271" i="4" a="1"/>
  <c r="E280" i="4" a="1"/>
  <c r="E280" i="4" l="1"/>
  <c r="E271" i="4"/>
  <c r="E275" i="4"/>
  <c r="E274" i="4"/>
  <c r="E260" i="4"/>
  <c r="E265" i="4"/>
  <c r="E259" i="4"/>
  <c r="E264" i="4"/>
  <c r="E266" i="4"/>
  <c r="E263" i="4"/>
  <c r="E281" i="4"/>
  <c r="E272" i="4"/>
  <c r="E277" i="4"/>
  <c r="E269" i="4"/>
  <c r="E261" i="4"/>
  <c r="E262" i="4"/>
  <c r="E282" i="4"/>
  <c r="E279" i="4"/>
  <c r="E276" i="4"/>
  <c r="E268" i="4"/>
  <c r="E273" i="4"/>
  <c r="E278" i="4"/>
  <c r="E267" i="4"/>
  <c r="E270" i="4"/>
  <c r="C251" i="4" a="1"/>
  <c r="C251" i="4" s="1"/>
  <c r="C250" i="4" a="1"/>
  <c r="C250" i="4" s="1"/>
  <c r="C249" i="4" a="1"/>
  <c r="C249" i="4" s="1"/>
  <c r="C252" i="4" a="1"/>
  <c r="C252" i="4" s="1"/>
  <c r="C265" i="4" a="1"/>
  <c r="C268" i="4" a="1"/>
  <c r="C270" i="4" a="1"/>
  <c r="C260" i="4" a="1"/>
  <c r="C266" i="4" a="1"/>
  <c r="C281" i="4" a="1"/>
  <c r="C271" i="4" a="1"/>
  <c r="C274" i="4" a="1"/>
  <c r="C261" i="4" a="1"/>
  <c r="C264" i="4" a="1"/>
  <c r="C272" i="4" a="1"/>
  <c r="C280" i="4" a="1"/>
  <c r="C259" i="4" a="1"/>
  <c r="C279" i="4" a="1"/>
  <c r="C277" i="4" a="1"/>
  <c r="C275" i="4" a="1"/>
  <c r="C273" i="4" a="1"/>
  <c r="C276" i="4" a="1"/>
  <c r="C282" i="4" a="1"/>
  <c r="C269" i="4" a="1"/>
  <c r="C267" i="4" a="1"/>
  <c r="C262" i="4" a="1"/>
  <c r="C263" i="4" a="1"/>
  <c r="C278" i="4" a="1"/>
  <c r="C278" i="4" l="1"/>
  <c r="C263" i="4"/>
  <c r="C262" i="4"/>
  <c r="C267" i="4"/>
  <c r="C269" i="4"/>
  <c r="C282" i="4"/>
  <c r="C276" i="4"/>
  <c r="C273" i="4"/>
  <c r="C275" i="4"/>
  <c r="C277" i="4"/>
  <c r="C279" i="4"/>
  <c r="C259" i="4"/>
  <c r="C280" i="4"/>
  <c r="C272" i="4"/>
  <c r="C264" i="4"/>
  <c r="C261" i="4"/>
  <c r="C274" i="4"/>
  <c r="C271" i="4"/>
  <c r="C281" i="4"/>
  <c r="C266" i="4"/>
  <c r="C260" i="4"/>
  <c r="C270" i="4"/>
  <c r="C268" i="4"/>
  <c r="C265" i="4"/>
  <c r="D249" i="4" a="1"/>
  <c r="D249" i="4" s="1"/>
  <c r="D251" i="4" a="1"/>
  <c r="D251" i="4" s="1"/>
  <c r="D250" i="4" a="1"/>
  <c r="D250" i="4" s="1"/>
  <c r="D252" i="4" a="1"/>
  <c r="D252" i="4" s="1"/>
  <c r="D265" i="4" a="1"/>
  <c r="D273" i="4" a="1"/>
  <c r="D281" i="4" a="1"/>
  <c r="D270" i="4" a="1"/>
  <c r="D259" i="4" a="1"/>
  <c r="D267" i="4" a="1"/>
  <c r="D260" i="4" a="1"/>
  <c r="D279" i="4" a="1"/>
  <c r="D275" i="4" a="1"/>
  <c r="D268" i="4" a="1"/>
  <c r="D271" i="4" a="1"/>
  <c r="D266" i="4" a="1"/>
  <c r="D282" i="4" a="1"/>
  <c r="D261" i="4" a="1"/>
  <c r="D269" i="4" a="1"/>
  <c r="D263" i="4" a="1"/>
  <c r="D277" i="4" a="1"/>
  <c r="D274" i="4" a="1"/>
  <c r="D264" i="4" a="1"/>
  <c r="D272" i="4" a="1"/>
  <c r="D280" i="4" a="1"/>
  <c r="D278" i="4" a="1"/>
  <c r="D276" i="4" a="1"/>
  <c r="D262" i="4" a="1"/>
  <c r="D262" i="4" l="1"/>
  <c r="D276" i="4"/>
  <c r="D278" i="4"/>
  <c r="D280" i="4"/>
  <c r="D272" i="4"/>
  <c r="D264" i="4"/>
  <c r="D274" i="4"/>
  <c r="D277" i="4"/>
  <c r="D263" i="4"/>
  <c r="D269" i="4"/>
  <c r="D261" i="4"/>
  <c r="D282" i="4"/>
  <c r="D266" i="4"/>
  <c r="D271" i="4"/>
  <c r="D268" i="4"/>
  <c r="D275" i="4"/>
  <c r="D279" i="4"/>
  <c r="D260" i="4"/>
  <c r="D267" i="4"/>
  <c r="D259" i="4"/>
  <c r="D270" i="4"/>
  <c r="D281" i="4"/>
  <c r="D273" i="4"/>
  <c r="D26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<sst xmlns="http://schemas.openxmlformats.org/spreadsheetml/2006/main" count="616" uniqueCount="112">
  <si>
    <t>Shooting Angle(deg)</t>
  </si>
  <si>
    <t>Wind (m/s)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</si>
  <si>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</si>
  <si>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</si>
  <si>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</si>
  <si>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</si>
  <si>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</si>
  <si>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</si>
  <si>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</si>
  <si>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</si>
  <si>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</si>
  <si>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</si>
  <si>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</si>
  <si>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</si>
  <si>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</si>
  <si>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</si>
  <si>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</si>
  <si>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</si>
  <si>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BC: G1</t>
  </si>
  <si>
    <t>Measured Energy(J)</t>
  </si>
  <si>
    <t>Measured Elevation Angle (scope units)</t>
  </si>
  <si>
    <t>Calculated Trajectory(cm)</t>
  </si>
  <si>
    <t>Scope Height(cm)</t>
  </si>
  <si>
    <t>Hornady Standard Ballistics Calculator</t>
  </si>
  <si>
    <t>Estimated Error</t>
  </si>
  <si>
    <t>(cm)</t>
  </si>
  <si>
    <t>Federal Terminal Ascent</t>
  </si>
  <si>
    <t>400m zero</t>
  </si>
  <si>
    <t>500m zero</t>
  </si>
  <si>
    <t>Wind Drift</t>
  </si>
  <si>
    <t>Wind Drift (MOA)</t>
  </si>
  <si>
    <t>Wind Drift (MILS)</t>
  </si>
  <si>
    <t>Hollow Point</t>
  </si>
  <si>
    <t>ange (m)</t>
  </si>
  <si>
    <t>Drop (cm)</t>
  </si>
  <si>
    <t>Drop (MOA)</t>
  </si>
  <si>
    <t>Drop (MIL)</t>
  </si>
  <si>
    <t>Wind Drift (cm)</t>
  </si>
  <si>
    <t>Wind Drift (MIL)</t>
  </si>
  <si>
    <t>Velocity (m/s)</t>
  </si>
  <si>
    <t>Energy (j)</t>
  </si>
  <si>
    <t>-</t>
  </si>
  <si>
    <t>Range (m)</t>
  </si>
  <si>
    <t>Trajectory Drop Polynomial Coefficients</t>
  </si>
  <si>
    <t>Energy Polynomial Coefficients</t>
  </si>
  <si>
    <t>a0</t>
  </si>
  <si>
    <t>a1</t>
  </si>
  <si>
    <t>a2</t>
  </si>
  <si>
    <t>a3</t>
  </si>
  <si>
    <t>a4</t>
  </si>
  <si>
    <t>a5</t>
  </si>
  <si>
    <t>a6</t>
  </si>
  <si>
    <t>Hornady Energy Coefficients</t>
  </si>
  <si>
    <t>Calculated ComeUps(MILS)</t>
  </si>
  <si>
    <t>Energy(J)</t>
  </si>
  <si>
    <t>7mm PRC</t>
  </si>
  <si>
    <t>Measured Muzzle Energy(J), (flb)</t>
  </si>
  <si>
    <t>Computed Muzzle Velocity(m/s),(fps)</t>
  </si>
  <si>
    <t>Bullet Weight(gr),(g)</t>
  </si>
  <si>
    <t>Caliber(in),(mm)</t>
  </si>
  <si>
    <t>Using Factory Specs</t>
  </si>
  <si>
    <t>Using Data as Measured</t>
  </si>
  <si>
    <t>Remington Premier Long Range Speer</t>
  </si>
  <si>
    <t>50m zero (G1 BC)</t>
  </si>
  <si>
    <t>50m Zero(G7 BC)</t>
  </si>
  <si>
    <t>100m Zero(G7 BC)</t>
  </si>
  <si>
    <t>150m Zero(G7 BC)</t>
  </si>
  <si>
    <t>200m zero(G7 BC)</t>
  </si>
  <si>
    <t>300m zero(G7 BC)</t>
  </si>
  <si>
    <t>400m zero(G7 BC)</t>
  </si>
  <si>
    <t>500m zero(G7 BC)</t>
  </si>
  <si>
    <t>100m zero(G1 BC)</t>
  </si>
  <si>
    <t>150m zero(G1 BC)</t>
  </si>
  <si>
    <t>200m zero(G1 BC)</t>
  </si>
  <si>
    <t>300m zero(G1 BC)</t>
  </si>
  <si>
    <t>400m zero(G1 BC)</t>
  </si>
  <si>
    <t>500m zero(G1 BC)</t>
  </si>
  <si>
    <t>Lewellings Firefly 5000</t>
  </si>
  <si>
    <t>Polymer-Tipped Hollow Point</t>
  </si>
  <si>
    <t>50m Zero(Federal G1 BC)</t>
  </si>
  <si>
    <t>100m Zero(Federal G1 BC)</t>
  </si>
  <si>
    <t>150m Zero(Federal G1 BC)</t>
  </si>
  <si>
    <t>200m zero(Federal G1 BC)</t>
  </si>
  <si>
    <t>300m zero(Federal G1 BC)</t>
  </si>
  <si>
    <t>400m zero(Federal G1 BC)</t>
  </si>
  <si>
    <t>500m zero(Federal G1 BC)</t>
  </si>
  <si>
    <t>50m zero (Hornady G1 BC)</t>
  </si>
  <si>
    <t>100m zero(Hornady G1 BC)</t>
  </si>
  <si>
    <t>150m zero(Hornady G1 BC)</t>
  </si>
  <si>
    <t>200m zero(Hornady G1 BC)</t>
  </si>
  <si>
    <t>300m zero(Hornady G1 BC)</t>
  </si>
  <si>
    <t>400m zero(Hornady G1 BC)</t>
  </si>
  <si>
    <t>500m zero(Hornady G1 BC)</t>
  </si>
  <si>
    <t>Rifle Precision(MOA)</t>
  </si>
  <si>
    <t>Rifle Precision(MILS), Error(MILS)</t>
  </si>
  <si>
    <t>Bushnell Elite Tactical FFP @21x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</si>
  <si>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</si>
  <si>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</si>
  <si>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</si>
  <si>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</si>
  <si>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</si>
  <si>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</si>
  <si>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</si>
  <si>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</si>
  <si>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</si>
  <si>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Manufacturer's Data Sheet</t>
  </si>
  <si>
    <t>n/a</t>
  </si>
  <si>
    <t>Muzzle Energy(flb),(J)</t>
  </si>
  <si>
    <t>Muzzle Velocity(fps),(m/s)</t>
  </si>
  <si>
    <t>50m Zero(G1 BC)</t>
  </si>
  <si>
    <t>100m Zero(G1 BC)</t>
  </si>
  <si>
    <t>150m Zero(G1 BC)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</si>
</sst>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E+00"/>
    <numFmt numFmtId="166" formatCode="0.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0" fontId="1" fillId="5" borderId="0" xfId="0" applyFont="1" applyFill="1"/>
    <xf numFmtId="164" fontId="1" fillId="5" borderId="0" xfId="0" applyNumberFormat="1" applyFont="1" applyFill="1"/>
    <xf numFmtId="0" fontId="0" fillId="0" borderId="0" xfId="0" applyAlignment="1">
      <alignment horizontal="center"/>
    </xf>
    <xf numFmtId="164" fontId="0" fillId="0" borderId="2" xfId="0" applyNumberFormat="1" applyBorder="1"/>
    <xf numFmtId="164" fontId="0" fillId="3" borderId="2" xfId="0" applyNumberFormat="1" applyFill="1" applyBorder="1"/>
    <xf numFmtId="0" fontId="0" fillId="0" borderId="1" xfId="0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165" fontId="0" fillId="0" borderId="0" xfId="0" applyNumberFormat="1"/>
    <xf numFmtId="165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49" fontId="1" fillId="3" borderId="0" xfId="0" applyNumberFormat="1" applyFont="1" applyFill="1"/>
    <xf numFmtId="49" fontId="1" fillId="3" borderId="0" xfId="0" applyNumberFormat="1" applyFont="1" applyFill="1" applyAlignment="1">
      <alignment horizontal="center"/>
    </xf>
    <xf numFmtId="49" fontId="1" fillId="3" borderId="0" xfId="0" applyNumberFormat="1" applyFont="1" applyFill="1" applyAlignment="1">
      <alignment horizontal="center" wrapText="1"/>
    </xf>
    <xf numFmtId="0" fontId="0" fillId="3" borderId="0" xfId="0" applyFill="1"/>
    <xf numFmtId="49" fontId="1" fillId="3" borderId="0" xfId="0" applyNumberFormat="1" applyFont="1" applyFill="1" applyAlignment="1">
      <alignment horizontal="right"/>
    </xf>
    <xf numFmtId="49" fontId="0" fillId="3" borderId="0" xfId="0" applyNumberFormat="1" applyFill="1" applyAlignment="1">
      <alignment horizontal="center"/>
    </xf>
    <xf numFmtId="49" fontId="1" fillId="0" borderId="0" xfId="0" applyNumberFormat="1" applyFont="1" applyAlignment="1">
      <alignment horizontal="center"/>
    </xf>
    <xf numFmtId="164" fontId="1" fillId="7" borderId="0" xfId="0" applyNumberFormat="1" applyFont="1" applyFill="1"/>
    <xf numFmtId="49" fontId="0" fillId="0" borderId="0" xfId="0" applyNumberFormat="1"/>
    <xf numFmtId="4" fontId="0" fillId="0" borderId="0" xfId="0" applyNumberFormat="1"/>
    <xf numFmtId="0" fontId="0" fillId="2" borderId="3" xfId="0" applyFill="1" applyBorder="1"/>
    <xf numFmtId="164" fontId="0" fillId="0" borderId="4" xfId="0" applyNumberFormat="1" applyBorder="1"/>
    <xf numFmtId="164" fontId="0" fillId="3" borderId="4" xfId="0" applyNumberFormat="1" applyFill="1" applyBorder="1"/>
    <xf numFmtId="2" fontId="0" fillId="0" borderId="5" xfId="0" applyNumberFormat="1" applyBorder="1"/>
    <xf numFmtId="2" fontId="0" fillId="3" borderId="5" xfId="0" applyNumberFormat="1" applyFill="1" applyBorder="1"/>
    <xf numFmtId="49" fontId="0" fillId="0" borderId="0" xfId="0" applyNumberFormat="1" applyAlignment="1">
      <alignment horizontal="right"/>
    </xf>
    <xf numFmtId="166" fontId="0" fillId="0" borderId="0" xfId="0" applyNumberFormat="1"/>
    <xf numFmtId="49" fontId="0" fillId="0" borderId="0" xfId="0" applyNumberFormat="1" applyAlignment="1">
      <alignment horizontal="center"/>
    </xf>
    <xf numFmtId="0" fontId="1" fillId="6" borderId="0" xfId="0" applyFont="1" applyFill="1"/>
    <xf numFmtId="164" fontId="1" fillId="6" borderId="0" xfId="0" applyNumberFormat="1" applyFont="1" applyFill="1"/>
    <xf numFmtId="0" fontId="0" fillId="4" borderId="1" xfId="0" applyFill="1" applyBorder="1"/>
    <xf numFmtId="0" fontId="0" fillId="0" borderId="2" xfId="0" applyBorder="1"/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49" fontId="1" fillId="0" borderId="0" xfId="0" applyNumberFormat="1" applyFont="1"/>
    <xf numFmtId="49" fontId="1" fillId="4" borderId="1" xfId="0" applyNumberFormat="1" applyFont="1" applyFill="1" applyBorder="1"/>
    <xf numFmtId="49" fontId="1" fillId="0" borderId="1" xfId="0" applyNumberFormat="1" applyFont="1" applyBorder="1"/>
    <xf numFmtId="49" fontId="1" fillId="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49" fontId="0" fillId="3" borderId="0" xfId="0" applyNumberForma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HP'!$B$22:$B$35</c:f>
              <c:numCache>
                <c:formatCode>0.00</c:formatCode>
                <c:ptCount val="14"/>
                <c:pt idx="0">
                  <c:v>4558</c:v>
                </c:pt>
                <c:pt idx="1">
                  <c:v>4454.5</c:v>
                </c:pt>
                <c:pt idx="2">
                  <c:v>4321.7</c:v>
                </c:pt>
                <c:pt idx="3">
                  <c:v>4191.8</c:v>
                </c:pt>
                <c:pt idx="4">
                  <c:v>4067.1</c:v>
                </c:pt>
                <c:pt idx="5">
                  <c:v>3947.4</c:v>
                </c:pt>
                <c:pt idx="6">
                  <c:v>3832.1</c:v>
                </c:pt>
                <c:pt idx="7">
                  <c:v>3614.3</c:v>
                </c:pt>
                <c:pt idx="8">
                  <c:v>3396</c:v>
                </c:pt>
                <c:pt idx="9">
                  <c:v>3194.4</c:v>
                </c:pt>
                <c:pt idx="10">
                  <c:v>2993.4</c:v>
                </c:pt>
                <c:pt idx="11">
                  <c:v>2808.6</c:v>
                </c:pt>
                <c:pt idx="12">
                  <c:v>2638.7</c:v>
                </c:pt>
                <c:pt idx="13">
                  <c:v>2471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291-4E02-8044-6DF73C2964C1}"/>
            </c:ext>
          </c:extLst>
        </c:ser>
        <c:ser>
          <c:idx val="2"/>
          <c:order val="1"/>
          <c:tx>
            <c:strRef>
              <c:f>'Lewellings 5000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'Lewellings 5000 HP'!$A$80:$A$100</c:f>
              <c:numCache>
                <c:formatCode>0.00</c:formatCode>
                <c:ptCount val="21"/>
                <c:pt idx="0" formatCode="General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'Lewellings 5000 HP'!$C$80:$C$100</c:f>
              <c:numCache>
                <c:formatCode>0.00</c:formatCode>
                <c:ptCount val="21"/>
                <c:pt idx="0" formatCode="General">
                  <c:v>4559</c:v>
                </c:pt>
                <c:pt idx="1">
                  <c:v>4433</c:v>
                </c:pt>
                <c:pt idx="2">
                  <c:v>4311</c:v>
                </c:pt>
                <c:pt idx="3">
                  <c:v>4192</c:v>
                </c:pt>
                <c:pt idx="4">
                  <c:v>4075</c:v>
                </c:pt>
                <c:pt idx="5">
                  <c:v>3962</c:v>
                </c:pt>
                <c:pt idx="6">
                  <c:v>3851</c:v>
                </c:pt>
                <c:pt idx="7">
                  <c:v>3742</c:v>
                </c:pt>
                <c:pt idx="8">
                  <c:v>3636</c:v>
                </c:pt>
                <c:pt idx="9">
                  <c:v>3532</c:v>
                </c:pt>
                <c:pt idx="10">
                  <c:v>3430</c:v>
                </c:pt>
                <c:pt idx="11">
                  <c:v>3331</c:v>
                </c:pt>
                <c:pt idx="12">
                  <c:v>3234</c:v>
                </c:pt>
                <c:pt idx="13">
                  <c:v>3140</c:v>
                </c:pt>
                <c:pt idx="14">
                  <c:v>3047</c:v>
                </c:pt>
                <c:pt idx="15">
                  <c:v>2957</c:v>
                </c:pt>
                <c:pt idx="16">
                  <c:v>2868</c:v>
                </c:pt>
                <c:pt idx="17">
                  <c:v>2782</c:v>
                </c:pt>
                <c:pt idx="18">
                  <c:v>2698</c:v>
                </c:pt>
                <c:pt idx="19">
                  <c:v>2615</c:v>
                </c:pt>
                <c:pt idx="20">
                  <c:v>2538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12-4835-B052-376D55107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'Lewellings 5000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-4.204128963018321</c:v>
                </c:pt>
                <c:pt idx="2">
                  <c:v>0</c:v>
                </c:pt>
                <c:pt idx="3">
                  <c:v>4.5450005563626217</c:v>
                </c:pt>
                <c:pt idx="4">
                  <c:v>5.8075006528996855</c:v>
                </c:pt>
                <c:pt idx="5">
                  <c:v>7.2593758161246065</c:v>
                </c:pt>
                <c:pt idx="6">
                  <c:v>6.2872503681954752</c:v>
                </c:pt>
                <c:pt idx="7">
                  <c:v>0</c:v>
                </c:pt>
                <c:pt idx="8">
                  <c:v>-10.478750613659125</c:v>
                </c:pt>
                <c:pt idx="9">
                  <c:v>-25.300505998237693</c:v>
                </c:pt>
                <c:pt idx="10">
                  <c:v>-55.2344208533871</c:v>
                </c:pt>
                <c:pt idx="11">
                  <c:v>-75.750090553928729</c:v>
                </c:pt>
                <c:pt idx="12">
                  <c:v>-113.62524147741269</c:v>
                </c:pt>
                <c:pt idx="13">
                  <c:v>-157.81302404027585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95-4627-8C5C-9C6B06E55221}"/>
            </c:ext>
          </c:extLst>
        </c:ser>
        <c:ser>
          <c:idx val="1"/>
          <c:order val="1"/>
          <c:tx>
            <c:strRef>
              <c:f>'Lewellings 5000 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-2.5000002083333537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-10.000000833333415</c:v>
                </c:pt>
                <c:pt idx="8">
                  <c:v>-16.700002483980715</c:v>
                </c:pt>
                <c:pt idx="9">
                  <c:v>-37.500019531262211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-152.50047287884288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95-4627-8C5C-9C6B06E55221}"/>
            </c:ext>
          </c:extLst>
        </c:ser>
        <c:ser>
          <c:idx val="2"/>
          <c:order val="2"/>
          <c:tx>
            <c:strRef>
              <c:f>'Lewellings 5000 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-1.660000060990616</c:v>
                </c:pt>
                <c:pt idx="3">
                  <c:v>1.8750000390625008</c:v>
                </c:pt>
                <c:pt idx="4">
                  <c:v>2.5000000520833341</c:v>
                </c:pt>
                <c:pt idx="5">
                  <c:v>2.5000000333333343</c:v>
                </c:pt>
                <c:pt idx="6">
                  <c:v>0</c:v>
                </c:pt>
                <c:pt idx="7">
                  <c:v>-6.6400002439624641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-66.720061876730625</c:v>
                </c:pt>
                <c:pt idx="12">
                  <c:v>-95.940145362923829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95-4627-8C5C-9C6B06E55221}"/>
            </c:ext>
          </c:extLst>
        </c:ser>
        <c:ser>
          <c:idx val="3"/>
          <c:order val="3"/>
          <c:tx>
            <c:strRef>
              <c:f>'Lewellings 5000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1.660000060990616</c:v>
                </c:pt>
                <c:pt idx="3">
                  <c:v>5.0100007451942137</c:v>
                </c:pt>
                <c:pt idx="4">
                  <c:v>6.6800009935922846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-12.500001041666769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95-4627-8C5C-9C6B06E55221}"/>
            </c:ext>
          </c:extLst>
        </c:ser>
        <c:ser>
          <c:idx val="4"/>
          <c:order val="4"/>
          <c:tx>
            <c:strRef>
              <c:f>'Lewellings 5000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9.3750048828155528</c:v>
                </c:pt>
                <c:pt idx="4">
                  <c:v>12.500006510420736</c:v>
                </c:pt>
                <c:pt idx="5">
                  <c:v>15.625008138025919</c:v>
                </c:pt>
                <c:pt idx="6">
                  <c:v>15.000005000002</c:v>
                </c:pt>
                <c:pt idx="7">
                  <c:v>10.000000833333415</c:v>
                </c:pt>
                <c:pt idx="8">
                  <c:v>8.3000003049530804</c:v>
                </c:pt>
                <c:pt idx="9">
                  <c:v>0</c:v>
                </c:pt>
                <c:pt idx="10">
                  <c:v>-15.400000993813412</c:v>
                </c:pt>
                <c:pt idx="11">
                  <c:v>-32.000006826668411</c:v>
                </c:pt>
                <c:pt idx="12">
                  <c:v>-63.000041160032275</c:v>
                </c:pt>
                <c:pt idx="13">
                  <c:v>-83.400077345913274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95-4627-8C5C-9C6B06E55221}"/>
            </c:ext>
          </c:extLst>
        </c:ser>
        <c:ser>
          <c:idx val="5"/>
          <c:order val="5"/>
          <c:tx>
            <c:strRef>
              <c:f>'Lewellings 5000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1.0937500697835341</c:v>
                </c:pt>
                <c:pt idx="2">
                  <c:v>6.5625037683131442</c:v>
                </c:pt>
                <c:pt idx="3">
                  <c:v>11.81250976747063</c:v>
                </c:pt>
                <c:pt idx="4">
                  <c:v>17.500017864605219</c:v>
                </c:pt>
                <c:pt idx="5">
                  <c:v>21.875022330756526</c:v>
                </c:pt>
                <c:pt idx="6">
                  <c:v>21.892515544711721</c:v>
                </c:pt>
                <c:pt idx="7">
                  <c:v>26.250015073252577</c:v>
                </c:pt>
                <c:pt idx="8">
                  <c:v>29.137513193372477</c:v>
                </c:pt>
                <c:pt idx="9">
                  <c:v>17.535001996887537</c:v>
                </c:pt>
                <c:pt idx="10">
                  <c:v>15.312500976969476</c:v>
                </c:pt>
                <c:pt idx="11">
                  <c:v>0</c:v>
                </c:pt>
                <c:pt idx="12">
                  <c:v>-19.687501256103612</c:v>
                </c:pt>
                <c:pt idx="13">
                  <c:v>-43.750011165368008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8-4D06-8D06-CB901B32B0F2}"/>
            </c:ext>
          </c:extLst>
        </c:ser>
        <c:ser>
          <c:idx val="6"/>
          <c:order val="6"/>
          <c:tx>
            <c:strRef>
              <c:f>'Lewellings 5000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3.5000022866684599</c:v>
                </c:pt>
                <c:pt idx="2">
                  <c:v>12.500026041731772</c:v>
                </c:pt>
                <c:pt idx="3">
                  <c:v>20.625051992344773</c:v>
                </c:pt>
                <c:pt idx="4">
                  <c:v>27.500069323126365</c:v>
                </c:pt>
                <c:pt idx="5">
                  <c:v>34.375086653907957</c:v>
                </c:pt>
                <c:pt idx="6">
                  <c:v>37.500078125195316</c:v>
                </c:pt>
                <c:pt idx="7">
                  <c:v>48.000092160212333</c:v>
                </c:pt>
                <c:pt idx="8">
                  <c:v>52.500077175136148</c:v>
                </c:pt>
                <c:pt idx="9">
                  <c:v>50.040046407547969</c:v>
                </c:pt>
                <c:pt idx="10">
                  <c:v>46.620027571460533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C58-4D06-8D06-CB901B32B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'Lewellings 5000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'Lewellings 5000 HP'!$C$23:$C$35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0</c:v>
                </c:pt>
                <c:pt idx="2">
                  <c:v>0.12</c:v>
                </c:pt>
                <c:pt idx="3">
                  <c:v>0.115</c:v>
                </c:pt>
                <c:pt idx="4">
                  <c:v>0.115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-0.3125</c:v>
                </c:pt>
                <c:pt idx="10">
                  <c:v>-0.375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D-4691-AF01-1B4BD43451D7}"/>
            </c:ext>
          </c:extLst>
        </c:ser>
        <c:ser>
          <c:idx val="1"/>
          <c:order val="1"/>
          <c:tx>
            <c:strRef>
              <c:f>'Lewellings 5000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'Lewellings 5000 HP'!$D$23:$D$35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-0.125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-0.125</c:v>
                </c:pt>
                <c:pt idx="7">
                  <c:v>-0.16700000000000001</c:v>
                </c:pt>
                <c:pt idx="8">
                  <c:v>-0.3125</c:v>
                </c:pt>
                <c:pt idx="9">
                  <c:v>-0.375</c:v>
                </c:pt>
                <c:pt idx="10">
                  <c:v>-0.5</c:v>
                </c:pt>
                <c:pt idx="11">
                  <c:v>-0.625</c:v>
                </c:pt>
                <c:pt idx="12">
                  <c:v>-0.76249999999999996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D-4691-AF01-1B4BD43451D7}"/>
            </c:ext>
          </c:extLst>
        </c:ser>
        <c:ser>
          <c:idx val="2"/>
          <c:order val="2"/>
          <c:tx>
            <c:strRef>
              <c:f>'Lewellings 5000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'Lewellings 5000 HP'!$E$23:$E$35</c:f>
              <c:numCache>
                <c:formatCode>0.000</c:formatCode>
                <c:ptCount val="13"/>
                <c:pt idx="0">
                  <c:v>-0.375</c:v>
                </c:pt>
                <c:pt idx="1">
                  <c:v>-8.3000000000000004E-2</c:v>
                </c:pt>
                <c:pt idx="2">
                  <c:v>6.25E-2</c:v>
                </c:pt>
                <c:pt idx="3">
                  <c:v>6.25E-2</c:v>
                </c:pt>
                <c:pt idx="4">
                  <c:v>0.05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-0.125</c:v>
                </c:pt>
                <c:pt idx="8">
                  <c:v>-0.25</c:v>
                </c:pt>
                <c:pt idx="9">
                  <c:v>-0.375</c:v>
                </c:pt>
                <c:pt idx="10">
                  <c:v>-0.41699999999999998</c:v>
                </c:pt>
                <c:pt idx="11">
                  <c:v>-0.53300000000000003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3D-4691-AF01-1B4BD43451D7}"/>
            </c:ext>
          </c:extLst>
        </c:ser>
        <c:ser>
          <c:idx val="3"/>
          <c:order val="3"/>
          <c:tx>
            <c:strRef>
              <c:f>'Lewellings 5000 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'Lewellings 5000 HP'!$F$23:$F$35</c:f>
              <c:numCache>
                <c:formatCode>0.000</c:formatCode>
                <c:ptCount val="13"/>
                <c:pt idx="0">
                  <c:v>-0.25</c:v>
                </c:pt>
                <c:pt idx="1">
                  <c:v>8.3000000000000004E-2</c:v>
                </c:pt>
                <c:pt idx="2">
                  <c:v>0.16700000000000001</c:v>
                </c:pt>
                <c:pt idx="3">
                  <c:v>0.16700000000000001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-0.125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D-4691-AF01-1B4BD43451D7}"/>
            </c:ext>
          </c:extLst>
        </c:ser>
        <c:ser>
          <c:idx val="4"/>
          <c:order val="4"/>
          <c:tx>
            <c:strRef>
              <c:f>'Lewellings 5000 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'Lewellings 5000 HP'!$G$23:$G$35</c:f>
              <c:numCache>
                <c:formatCode>0.000</c:formatCode>
                <c:ptCount val="13"/>
                <c:pt idx="0">
                  <c:v>-0.125</c:v>
                </c:pt>
                <c:pt idx="1">
                  <c:v>0.16700000000000001</c:v>
                </c:pt>
                <c:pt idx="2">
                  <c:v>0.3125</c:v>
                </c:pt>
                <c:pt idx="3">
                  <c:v>0.3125</c:v>
                </c:pt>
                <c:pt idx="4">
                  <c:v>0.3125</c:v>
                </c:pt>
                <c:pt idx="5">
                  <c:v>0.25</c:v>
                </c:pt>
                <c:pt idx="6">
                  <c:v>0.125</c:v>
                </c:pt>
                <c:pt idx="7">
                  <c:v>8.3000000000000004E-2</c:v>
                </c:pt>
                <c:pt idx="8">
                  <c:v>0</c:v>
                </c:pt>
                <c:pt idx="9">
                  <c:v>-0.11</c:v>
                </c:pt>
                <c:pt idx="10">
                  <c:v>-0.2</c:v>
                </c:pt>
                <c:pt idx="11">
                  <c:v>-0.35</c:v>
                </c:pt>
                <c:pt idx="12">
                  <c:v>-0.41699999999999998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D-4691-AF01-1B4BD43451D7}"/>
            </c:ext>
          </c:extLst>
        </c:ser>
        <c:ser>
          <c:idx val="5"/>
          <c:order val="5"/>
          <c:tx>
            <c:strRef>
              <c:f>'Lewellings 5000 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'Lewellings 5000 HP'!$H$23:$H$35</c:f>
              <c:numCache>
                <c:formatCode>0.000</c:formatCode>
                <c:ptCount val="13"/>
                <c:pt idx="0">
                  <c:v>0.125</c:v>
                </c:pt>
                <c:pt idx="1">
                  <c:v>0.375</c:v>
                </c:pt>
                <c:pt idx="2">
                  <c:v>0.45</c:v>
                </c:pt>
                <c:pt idx="3">
                  <c:v>0.5</c:v>
                </c:pt>
                <c:pt idx="4">
                  <c:v>0.5</c:v>
                </c:pt>
                <c:pt idx="5">
                  <c:v>0.41699999999999998</c:v>
                </c:pt>
                <c:pt idx="6">
                  <c:v>0.375</c:v>
                </c:pt>
                <c:pt idx="7">
                  <c:v>0.33300000000000002</c:v>
                </c:pt>
                <c:pt idx="8">
                  <c:v>0.16700000000000001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300-4A5E-B679-7EAF33ADFE6E}"/>
            </c:ext>
          </c:extLst>
        </c:ser>
        <c:ser>
          <c:idx val="6"/>
          <c:order val="6"/>
          <c:tx>
            <c:strRef>
              <c:f>'Lewellings 5000 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'Lewellings 5000 HP'!$I$23:$I$35</c:f>
              <c:numCache>
                <c:formatCode>0.000</c:formatCode>
                <c:ptCount val="13"/>
                <c:pt idx="0">
                  <c:v>0.35</c:v>
                </c:pt>
                <c:pt idx="1">
                  <c:v>0.625</c:v>
                </c:pt>
                <c:pt idx="2">
                  <c:v>0.6875</c:v>
                </c:pt>
                <c:pt idx="3">
                  <c:v>0.6875</c:v>
                </c:pt>
                <c:pt idx="4">
                  <c:v>0.6875</c:v>
                </c:pt>
                <c:pt idx="5">
                  <c:v>0.625</c:v>
                </c:pt>
                <c:pt idx="6">
                  <c:v>0.6</c:v>
                </c:pt>
                <c:pt idx="7">
                  <c:v>0.52500000000000002</c:v>
                </c:pt>
                <c:pt idx="8">
                  <c:v>0.41699999999999998</c:v>
                </c:pt>
                <c:pt idx="9">
                  <c:v>0.33300000000000002</c:v>
                </c:pt>
                <c:pt idx="10">
                  <c:v>0.25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300-4A5E-B679-7EAF33AD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'Lewellings 5000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93772105009507"/>
                  <c:y val="-0.20418465939932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HP'!$A$80:$A$100</c:f>
              <c:numCache>
                <c:formatCode>0.00</c:formatCode>
                <c:ptCount val="21"/>
                <c:pt idx="0" formatCode="General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'Lewellings 5000 HP'!$D$80:$D$100</c:f>
              <c:numCache>
                <c:formatCode>General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0.7</c:v>
                </c:pt>
                <c:pt idx="4">
                  <c:v>0.5</c:v>
                </c:pt>
                <c:pt idx="5">
                  <c:v>-0.5</c:v>
                </c:pt>
                <c:pt idx="6">
                  <c:v>-2.5</c:v>
                </c:pt>
                <c:pt idx="7">
                  <c:v>-5.3</c:v>
                </c:pt>
                <c:pt idx="8">
                  <c:v>-9.1999999999999993</c:v>
                </c:pt>
                <c:pt idx="9">
                  <c:v>-14</c:v>
                </c:pt>
                <c:pt idx="10">
                  <c:v>-19.7</c:v>
                </c:pt>
                <c:pt idx="11">
                  <c:v>-26.8</c:v>
                </c:pt>
                <c:pt idx="12">
                  <c:v>-34.700000000000003</c:v>
                </c:pt>
                <c:pt idx="13">
                  <c:v>-43.6</c:v>
                </c:pt>
                <c:pt idx="14">
                  <c:v>-54.1</c:v>
                </c:pt>
                <c:pt idx="15">
                  <c:v>-65.5</c:v>
                </c:pt>
                <c:pt idx="16">
                  <c:v>-78</c:v>
                </c:pt>
                <c:pt idx="17">
                  <c:v>-92.3</c:v>
                </c:pt>
                <c:pt idx="18">
                  <c:v>-107.5</c:v>
                </c:pt>
                <c:pt idx="19">
                  <c:v>-123.9</c:v>
                </c:pt>
                <c:pt idx="20">
                  <c:v>-141.80000000000001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FCC-91C1-AC5F927A710A}"/>
            </c:ext>
          </c:extLst>
        </c:ser>
        <c:ser>
          <c:idx val="2"/>
          <c:order val="1"/>
          <c:tx>
            <c:strRef>
              <c:f>'Lewellings 5000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-4.204128963018321</c:v>
                </c:pt>
                <c:pt idx="2">
                  <c:v>0</c:v>
                </c:pt>
                <c:pt idx="3">
                  <c:v>4.5450005563626217</c:v>
                </c:pt>
                <c:pt idx="4">
                  <c:v>5.8075006528996855</c:v>
                </c:pt>
                <c:pt idx="5">
                  <c:v>7.2593758161246065</c:v>
                </c:pt>
                <c:pt idx="6">
                  <c:v>6.2872503681954752</c:v>
                </c:pt>
                <c:pt idx="7">
                  <c:v>0</c:v>
                </c:pt>
                <c:pt idx="8">
                  <c:v>-10.478750613659125</c:v>
                </c:pt>
                <c:pt idx="9">
                  <c:v>-25.300505998237693</c:v>
                </c:pt>
                <c:pt idx="10">
                  <c:v>-55.2344208533871</c:v>
                </c:pt>
                <c:pt idx="11">
                  <c:v>-75.750090553928729</c:v>
                </c:pt>
                <c:pt idx="12">
                  <c:v>-113.62524147741269</c:v>
                </c:pt>
                <c:pt idx="13">
                  <c:v>-157.81302404027585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23-4532-9ACB-13F42D2B3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'Lewellings 5000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-2.5000002083333537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-10.000000833333415</c:v>
                </c:pt>
                <c:pt idx="8">
                  <c:v>-16.700002483980715</c:v>
                </c:pt>
                <c:pt idx="9">
                  <c:v>-37.500019531262211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-152.50047287884288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E-4026-973D-6592106A5735}"/>
            </c:ext>
          </c:extLst>
        </c:ser>
        <c:ser>
          <c:idx val="2"/>
          <c:order val="1"/>
          <c:tx>
            <c:strRef>
              <c:f>'Lewellings 5000 HP'!$A$102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'Lewellings 5000 HP'!$A$104:$A$124</c:f>
              <c:numCache>
                <c:formatCode>General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'Lewellings 5000 HP'!$D$104:$D$124</c:f>
              <c:numCache>
                <c:formatCode>General</c:formatCode>
                <c:ptCount val="21"/>
                <c:pt idx="0">
                  <c:v>-3.8</c:v>
                </c:pt>
                <c:pt idx="1">
                  <c:v>-1.7</c:v>
                </c:pt>
                <c:pt idx="2">
                  <c:v>-0.3</c:v>
                </c:pt>
                <c:pt idx="3">
                  <c:v>0.3</c:v>
                </c:pt>
                <c:pt idx="4">
                  <c:v>0</c:v>
                </c:pt>
                <c:pt idx="5">
                  <c:v>-1.2</c:v>
                </c:pt>
                <c:pt idx="6">
                  <c:v>-3.2</c:v>
                </c:pt>
                <c:pt idx="7">
                  <c:v>-6.2</c:v>
                </c:pt>
                <c:pt idx="8">
                  <c:v>-10.3</c:v>
                </c:pt>
                <c:pt idx="9">
                  <c:v>-15.1</c:v>
                </c:pt>
                <c:pt idx="10">
                  <c:v>-21</c:v>
                </c:pt>
                <c:pt idx="11">
                  <c:v>-28.2</c:v>
                </c:pt>
                <c:pt idx="12">
                  <c:v>-36.200000000000003</c:v>
                </c:pt>
                <c:pt idx="13">
                  <c:v>-45.3</c:v>
                </c:pt>
                <c:pt idx="14">
                  <c:v>-56</c:v>
                </c:pt>
                <c:pt idx="15">
                  <c:v>-67.400000000000006</c:v>
                </c:pt>
                <c:pt idx="16">
                  <c:v>-80.099999999999994</c:v>
                </c:pt>
                <c:pt idx="17">
                  <c:v>-94.5</c:v>
                </c:pt>
                <c:pt idx="18">
                  <c:v>-109.8</c:v>
                </c:pt>
                <c:pt idx="19">
                  <c:v>-126.4</c:v>
                </c:pt>
                <c:pt idx="20">
                  <c:v>-144.4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F3-47E0-8708-CFD25563F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'Lewellings 5000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-1.660000060990616</c:v>
                </c:pt>
                <c:pt idx="3">
                  <c:v>1.8750000390625008</c:v>
                </c:pt>
                <c:pt idx="4">
                  <c:v>2.5000000520833341</c:v>
                </c:pt>
                <c:pt idx="5">
                  <c:v>2.5000000333333343</c:v>
                </c:pt>
                <c:pt idx="6">
                  <c:v>0</c:v>
                </c:pt>
                <c:pt idx="7">
                  <c:v>-6.6400002439624641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-66.720061876730625</c:v>
                </c:pt>
                <c:pt idx="12">
                  <c:v>-95.940145362923829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ED-41C7-99BF-C03A7C9712B7}"/>
            </c:ext>
          </c:extLst>
        </c:ser>
        <c:ser>
          <c:idx val="2"/>
          <c:order val="1"/>
          <c:tx>
            <c:strRef>
              <c:f>'Lewellings 5000 HP'!$A$126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'Lewellings 5000 HP'!$A$128:$A$148</c:f>
              <c:numCache>
                <c:formatCode>General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'Lewellings 5000 HP'!$D$128:$D$148</c:f>
              <c:numCache>
                <c:formatCode>General</c:formatCode>
                <c:ptCount val="21"/>
                <c:pt idx="0">
                  <c:v>-3.8</c:v>
                </c:pt>
                <c:pt idx="1">
                  <c:v>-1.1000000000000001</c:v>
                </c:pt>
                <c:pt idx="2">
                  <c:v>0.8</c:v>
                </c:pt>
                <c:pt idx="3">
                  <c:v>1.9</c:v>
                </c:pt>
                <c:pt idx="4">
                  <c:v>2.2000000000000002</c:v>
                </c:pt>
                <c:pt idx="5">
                  <c:v>1.5</c:v>
                </c:pt>
                <c:pt idx="6">
                  <c:v>0</c:v>
                </c:pt>
                <c:pt idx="7">
                  <c:v>-2.4</c:v>
                </c:pt>
                <c:pt idx="8">
                  <c:v>-5.9</c:v>
                </c:pt>
                <c:pt idx="9">
                  <c:v>-10.3</c:v>
                </c:pt>
                <c:pt idx="10">
                  <c:v>-15.6</c:v>
                </c:pt>
                <c:pt idx="11">
                  <c:v>-22.3</c:v>
                </c:pt>
                <c:pt idx="12">
                  <c:v>-29.7</c:v>
                </c:pt>
                <c:pt idx="13">
                  <c:v>-38.299999999999997</c:v>
                </c:pt>
                <c:pt idx="14">
                  <c:v>-48.4</c:v>
                </c:pt>
                <c:pt idx="15">
                  <c:v>-59.3</c:v>
                </c:pt>
                <c:pt idx="16">
                  <c:v>-71.400000000000006</c:v>
                </c:pt>
                <c:pt idx="17">
                  <c:v>-85.3</c:v>
                </c:pt>
                <c:pt idx="18">
                  <c:v>-100.1</c:v>
                </c:pt>
                <c:pt idx="19">
                  <c:v>-116.1</c:v>
                </c:pt>
                <c:pt idx="20">
                  <c:v>-133.6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37-40CA-86DB-E98CF7781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'Lewellings 5000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1.660000060990616</c:v>
                </c:pt>
                <c:pt idx="3">
                  <c:v>5.0100007451942137</c:v>
                </c:pt>
                <c:pt idx="4">
                  <c:v>6.6800009935922846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-12.500001041666769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E-4AA7-8DD9-A184D6F6F05E}"/>
            </c:ext>
          </c:extLst>
        </c:ser>
        <c:ser>
          <c:idx val="2"/>
          <c:order val="1"/>
          <c:tx>
            <c:strRef>
              <c:f>'Lewellings 5000 HP'!$A$150:$B$150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'Lewellings 5000 HP'!$A$152:$A$172</c:f>
              <c:numCache>
                <c:formatCode>General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'Lewellings 5000 HP'!$D$152:$D$172</c:f>
              <c:numCache>
                <c:formatCode>General</c:formatCode>
                <c:ptCount val="21"/>
                <c:pt idx="0">
                  <c:v>-3.8</c:v>
                </c:pt>
                <c:pt idx="1">
                  <c:v>-0.4</c:v>
                </c:pt>
                <c:pt idx="2">
                  <c:v>2.2999999999999998</c:v>
                </c:pt>
                <c:pt idx="3">
                  <c:v>4.0999999999999996</c:v>
                </c:pt>
                <c:pt idx="4">
                  <c:v>5.0999999999999996</c:v>
                </c:pt>
                <c:pt idx="5">
                  <c:v>5.2</c:v>
                </c:pt>
                <c:pt idx="6">
                  <c:v>4.4000000000000004</c:v>
                </c:pt>
                <c:pt idx="7">
                  <c:v>2.7</c:v>
                </c:pt>
                <c:pt idx="8">
                  <c:v>0</c:v>
                </c:pt>
                <c:pt idx="9">
                  <c:v>-3.6</c:v>
                </c:pt>
                <c:pt idx="10">
                  <c:v>-8.3000000000000007</c:v>
                </c:pt>
                <c:pt idx="11">
                  <c:v>-14.1</c:v>
                </c:pt>
                <c:pt idx="12">
                  <c:v>-20.9</c:v>
                </c:pt>
                <c:pt idx="13">
                  <c:v>-28.7</c:v>
                </c:pt>
                <c:pt idx="14">
                  <c:v>-38.1</c:v>
                </c:pt>
                <c:pt idx="15">
                  <c:v>-48.3</c:v>
                </c:pt>
                <c:pt idx="16">
                  <c:v>-59.7</c:v>
                </c:pt>
                <c:pt idx="17">
                  <c:v>-72.8</c:v>
                </c:pt>
                <c:pt idx="18">
                  <c:v>-86.8</c:v>
                </c:pt>
                <c:pt idx="19">
                  <c:v>-102.2</c:v>
                </c:pt>
                <c:pt idx="20">
                  <c:v>-118.9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3-4203-ADC3-BBB7275A4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'Lewellings 5000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9.3750048828155528</c:v>
                </c:pt>
                <c:pt idx="4">
                  <c:v>12.500006510420736</c:v>
                </c:pt>
                <c:pt idx="5">
                  <c:v>15.625008138025919</c:v>
                </c:pt>
                <c:pt idx="6">
                  <c:v>15.000005000002</c:v>
                </c:pt>
                <c:pt idx="7">
                  <c:v>10.000000833333415</c:v>
                </c:pt>
                <c:pt idx="8">
                  <c:v>8.3000003049530804</c:v>
                </c:pt>
                <c:pt idx="9">
                  <c:v>0</c:v>
                </c:pt>
                <c:pt idx="10">
                  <c:v>-15.400000993813412</c:v>
                </c:pt>
                <c:pt idx="11">
                  <c:v>-32.000006826668411</c:v>
                </c:pt>
                <c:pt idx="12">
                  <c:v>-63.000041160032275</c:v>
                </c:pt>
                <c:pt idx="13">
                  <c:v>-83.400077345913274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9-4B49-A310-17615B48A297}"/>
            </c:ext>
          </c:extLst>
        </c:ser>
        <c:ser>
          <c:idx val="2"/>
          <c:order val="1"/>
          <c:tx>
            <c:strRef>
              <c:f>'Lewellings 5000 HP'!$A$174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'Lewellings 5000 HP'!$A$176:$A$196</c:f>
              <c:numCache>
                <c:formatCode>General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'Lewellings 5000 HP'!$D$176:$D$196</c:f>
              <c:numCache>
                <c:formatCode>General</c:formatCode>
                <c:ptCount val="21"/>
                <c:pt idx="0">
                  <c:v>-3.8</c:v>
                </c:pt>
                <c:pt idx="1">
                  <c:v>1.3</c:v>
                </c:pt>
                <c:pt idx="2">
                  <c:v>5.8</c:v>
                </c:pt>
                <c:pt idx="3">
                  <c:v>9.4</c:v>
                </c:pt>
                <c:pt idx="4">
                  <c:v>12.1</c:v>
                </c:pt>
                <c:pt idx="5">
                  <c:v>14</c:v>
                </c:pt>
                <c:pt idx="6">
                  <c:v>14.9</c:v>
                </c:pt>
                <c:pt idx="7">
                  <c:v>14.9</c:v>
                </c:pt>
                <c:pt idx="8">
                  <c:v>14</c:v>
                </c:pt>
                <c:pt idx="9">
                  <c:v>12.1</c:v>
                </c:pt>
                <c:pt idx="10">
                  <c:v>9.1999999999999993</c:v>
                </c:pt>
                <c:pt idx="11">
                  <c:v>5.0999999999999996</c:v>
                </c:pt>
                <c:pt idx="12">
                  <c:v>0</c:v>
                </c:pt>
                <c:pt idx="13">
                  <c:v>-6.1</c:v>
                </c:pt>
                <c:pt idx="14">
                  <c:v>-13.6</c:v>
                </c:pt>
                <c:pt idx="15">
                  <c:v>-22.1</c:v>
                </c:pt>
                <c:pt idx="16">
                  <c:v>-31.8</c:v>
                </c:pt>
                <c:pt idx="17">
                  <c:v>-43.2</c:v>
                </c:pt>
                <c:pt idx="18">
                  <c:v>-55.4</c:v>
                </c:pt>
                <c:pt idx="19">
                  <c:v>-69.099999999999994</c:v>
                </c:pt>
                <c:pt idx="20">
                  <c:v>-84.1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3E-4963-99E1-143D1F8CF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'Lewellings 5000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9497036203601747"/>
                  <c:y val="-0.15839093030037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1.0937500697835341</c:v>
                </c:pt>
                <c:pt idx="2">
                  <c:v>6.5625037683131442</c:v>
                </c:pt>
                <c:pt idx="3">
                  <c:v>11.81250976747063</c:v>
                </c:pt>
                <c:pt idx="4">
                  <c:v>17.500017864605219</c:v>
                </c:pt>
                <c:pt idx="5">
                  <c:v>21.875022330756526</c:v>
                </c:pt>
                <c:pt idx="6">
                  <c:v>21.892515544711721</c:v>
                </c:pt>
                <c:pt idx="7">
                  <c:v>26.250015073252577</c:v>
                </c:pt>
                <c:pt idx="8">
                  <c:v>29.137513193372477</c:v>
                </c:pt>
                <c:pt idx="9">
                  <c:v>17.535001996887537</c:v>
                </c:pt>
                <c:pt idx="10">
                  <c:v>15.312500976969476</c:v>
                </c:pt>
                <c:pt idx="11">
                  <c:v>0</c:v>
                </c:pt>
                <c:pt idx="12">
                  <c:v>-19.687501256103612</c:v>
                </c:pt>
                <c:pt idx="13">
                  <c:v>-43.750011165368008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EA1-4001-A4D3-B20E76782219}"/>
            </c:ext>
          </c:extLst>
        </c:ser>
        <c:ser>
          <c:idx val="2"/>
          <c:order val="1"/>
          <c:tx>
            <c:strRef>
              <c:f>'Lewellings 5000 HP'!$A$198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'Lewellings 5000 HP'!$A$200:$A$220</c:f>
              <c:numCache>
                <c:formatCode>General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'Lewellings 5000 HP'!$D$200:$D$220</c:f>
              <c:numCache>
                <c:formatCode>General</c:formatCode>
                <c:ptCount val="21"/>
                <c:pt idx="0">
                  <c:v>-3.8</c:v>
                </c:pt>
                <c:pt idx="1">
                  <c:v>3.3</c:v>
                </c:pt>
                <c:pt idx="2">
                  <c:v>9.9</c:v>
                </c:pt>
                <c:pt idx="3">
                  <c:v>15.4</c:v>
                </c:pt>
                <c:pt idx="4">
                  <c:v>20</c:v>
                </c:pt>
                <c:pt idx="5">
                  <c:v>24</c:v>
                </c:pt>
                <c:pt idx="6">
                  <c:v>26.9</c:v>
                </c:pt>
                <c:pt idx="7">
                  <c:v>28.9</c:v>
                </c:pt>
                <c:pt idx="8">
                  <c:v>29.9</c:v>
                </c:pt>
                <c:pt idx="9">
                  <c:v>30</c:v>
                </c:pt>
                <c:pt idx="10">
                  <c:v>29.1</c:v>
                </c:pt>
                <c:pt idx="11">
                  <c:v>27</c:v>
                </c:pt>
                <c:pt idx="12">
                  <c:v>24</c:v>
                </c:pt>
                <c:pt idx="13">
                  <c:v>19.8</c:v>
                </c:pt>
                <c:pt idx="14">
                  <c:v>14.3</c:v>
                </c:pt>
                <c:pt idx="15">
                  <c:v>7.8</c:v>
                </c:pt>
                <c:pt idx="16">
                  <c:v>0.1</c:v>
                </c:pt>
                <c:pt idx="17">
                  <c:v>-9.1999999999999993</c:v>
                </c:pt>
                <c:pt idx="18">
                  <c:v>-19.5</c:v>
                </c:pt>
                <c:pt idx="19">
                  <c:v>-31.2</c:v>
                </c:pt>
                <c:pt idx="20">
                  <c:v>-44.2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8C-4C05-88C5-FF47C5979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'Lewellings 5000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3.5000022866684599</c:v>
                </c:pt>
                <c:pt idx="2">
                  <c:v>12.500026041731772</c:v>
                </c:pt>
                <c:pt idx="3">
                  <c:v>20.625051992344773</c:v>
                </c:pt>
                <c:pt idx="4">
                  <c:v>27.500069323126365</c:v>
                </c:pt>
                <c:pt idx="5">
                  <c:v>34.375086653907957</c:v>
                </c:pt>
                <c:pt idx="6">
                  <c:v>37.500078125195316</c:v>
                </c:pt>
                <c:pt idx="7">
                  <c:v>48.000092160212333</c:v>
                </c:pt>
                <c:pt idx="8">
                  <c:v>52.500077175136148</c:v>
                </c:pt>
                <c:pt idx="9">
                  <c:v>50.040046407547969</c:v>
                </c:pt>
                <c:pt idx="10">
                  <c:v>46.620027571460533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D8-49E5-9864-9116BB66C688}"/>
            </c:ext>
          </c:extLst>
        </c:ser>
        <c:ser>
          <c:idx val="2"/>
          <c:order val="1"/>
          <c:tx>
            <c:strRef>
              <c:f>'Lewellings 5000 HP'!$A$222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'Lewellings 5000 HP'!$A$224:$A$244</c:f>
              <c:numCache>
                <c:formatCode>General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'Lewellings 5000 HP'!$D$224:$D$244</c:f>
              <c:numCache>
                <c:formatCode>General</c:formatCode>
                <c:ptCount val="21"/>
                <c:pt idx="0">
                  <c:v>-3.8</c:v>
                </c:pt>
                <c:pt idx="1">
                  <c:v>5.5</c:v>
                </c:pt>
                <c:pt idx="2">
                  <c:v>14.4</c:v>
                </c:pt>
                <c:pt idx="3">
                  <c:v>22.1</c:v>
                </c:pt>
                <c:pt idx="4">
                  <c:v>28.9</c:v>
                </c:pt>
                <c:pt idx="5">
                  <c:v>35.1</c:v>
                </c:pt>
                <c:pt idx="6">
                  <c:v>40.200000000000003</c:v>
                </c:pt>
                <c:pt idx="7">
                  <c:v>44.4</c:v>
                </c:pt>
                <c:pt idx="8">
                  <c:v>47.8</c:v>
                </c:pt>
                <c:pt idx="9">
                  <c:v>50.1</c:v>
                </c:pt>
                <c:pt idx="10">
                  <c:v>51.3</c:v>
                </c:pt>
                <c:pt idx="11">
                  <c:v>51.6</c:v>
                </c:pt>
                <c:pt idx="12">
                  <c:v>50.7</c:v>
                </c:pt>
                <c:pt idx="13">
                  <c:v>48.8</c:v>
                </c:pt>
                <c:pt idx="14">
                  <c:v>45.5</c:v>
                </c:pt>
                <c:pt idx="15">
                  <c:v>41.2</c:v>
                </c:pt>
                <c:pt idx="16">
                  <c:v>35.700000000000003</c:v>
                </c:pt>
                <c:pt idx="17">
                  <c:v>28.7</c:v>
                </c:pt>
                <c:pt idx="18">
                  <c:v>20.6</c:v>
                </c:pt>
                <c:pt idx="19">
                  <c:v>11.1</c:v>
                </c:pt>
                <c:pt idx="20">
                  <c:v>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A5-4C09-B746-D642AF769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PHP'!$B$22:$B$35</c:f>
              <c:numCache>
                <c:formatCode>0.00</c:formatCode>
                <c:ptCount val="14"/>
                <c:pt idx="0">
                  <c:v>4740.8</c:v>
                </c:pt>
                <c:pt idx="1">
                  <c:v>4618.7</c:v>
                </c:pt>
                <c:pt idx="2">
                  <c:v>4460.3</c:v>
                </c:pt>
                <c:pt idx="3">
                  <c:v>4335.3</c:v>
                </c:pt>
                <c:pt idx="4">
                  <c:v>4190.2</c:v>
                </c:pt>
                <c:pt idx="5">
                  <c:v>4050.5</c:v>
                </c:pt>
                <c:pt idx="6">
                  <c:v>3916.9</c:v>
                </c:pt>
                <c:pt idx="7">
                  <c:v>3666.5</c:v>
                </c:pt>
                <c:pt idx="8">
                  <c:v>3418</c:v>
                </c:pt>
                <c:pt idx="9">
                  <c:v>3190.8</c:v>
                </c:pt>
                <c:pt idx="10">
                  <c:v>2967.2</c:v>
                </c:pt>
                <c:pt idx="11">
                  <c:v>2763.2</c:v>
                </c:pt>
                <c:pt idx="12">
                  <c:v>2576.8000000000002</c:v>
                </c:pt>
                <c:pt idx="13">
                  <c:v>2395.9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08-4D83-8C92-818F62E77023}"/>
            </c:ext>
          </c:extLst>
        </c:ser>
        <c:ser>
          <c:idx val="1"/>
          <c:order val="1"/>
          <c:tx>
            <c:strRef>
              <c:f>'Premier Long Range Speer PHP'!$A$78</c:f>
              <c:strCache>
                <c:ptCount val="1"/>
                <c:pt idx="0">
                  <c:v>50m zero 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PHP'!$C$80:$C$100</c:f>
              <c:numCache>
                <c:formatCode>0.00</c:formatCode>
                <c:ptCount val="21"/>
                <c:pt idx="0">
                  <c:v>4741</c:v>
                </c:pt>
                <c:pt idx="1">
                  <c:v>4589</c:v>
                </c:pt>
                <c:pt idx="2">
                  <c:v>4442</c:v>
                </c:pt>
                <c:pt idx="3">
                  <c:v>4299</c:v>
                </c:pt>
                <c:pt idx="4">
                  <c:v>4160</c:v>
                </c:pt>
                <c:pt idx="5">
                  <c:v>4024</c:v>
                </c:pt>
                <c:pt idx="6">
                  <c:v>3892</c:v>
                </c:pt>
                <c:pt idx="7">
                  <c:v>3764</c:v>
                </c:pt>
                <c:pt idx="8">
                  <c:v>3639</c:v>
                </c:pt>
                <c:pt idx="9">
                  <c:v>3517</c:v>
                </c:pt>
                <c:pt idx="10">
                  <c:v>3398</c:v>
                </c:pt>
                <c:pt idx="11">
                  <c:v>3283</c:v>
                </c:pt>
                <c:pt idx="12">
                  <c:v>3171</c:v>
                </c:pt>
                <c:pt idx="13">
                  <c:v>3062</c:v>
                </c:pt>
                <c:pt idx="14">
                  <c:v>2955</c:v>
                </c:pt>
                <c:pt idx="15">
                  <c:v>2852</c:v>
                </c:pt>
                <c:pt idx="16">
                  <c:v>2751</c:v>
                </c:pt>
                <c:pt idx="17">
                  <c:v>2653</c:v>
                </c:pt>
                <c:pt idx="18">
                  <c:v>2558</c:v>
                </c:pt>
                <c:pt idx="19">
                  <c:v>2466</c:v>
                </c:pt>
                <c:pt idx="20">
                  <c:v>2379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08-4D83-8C92-818F62E77023}"/>
            </c:ext>
          </c:extLst>
        </c:ser>
        <c:ser>
          <c:idx val="2"/>
          <c:order val="2"/>
          <c:tx>
            <c:strRef>
              <c:f>'Premier Long Range Speer PHP'!$K$78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'Premier Long Range Speer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PHP'!$M$80:$M$100</c:f>
              <c:numCache>
                <c:formatCode>0.00</c:formatCode>
                <c:ptCount val="21"/>
                <c:pt idx="0">
                  <c:v>4741</c:v>
                </c:pt>
                <c:pt idx="1">
                  <c:v>4594</c:v>
                </c:pt>
                <c:pt idx="2">
                  <c:v>4450</c:v>
                </c:pt>
                <c:pt idx="3">
                  <c:v>4311</c:v>
                </c:pt>
                <c:pt idx="4">
                  <c:v>4174</c:v>
                </c:pt>
                <c:pt idx="5">
                  <c:v>4041</c:v>
                </c:pt>
                <c:pt idx="6">
                  <c:v>3911</c:v>
                </c:pt>
                <c:pt idx="7">
                  <c:v>3785</c:v>
                </c:pt>
                <c:pt idx="8">
                  <c:v>3661</c:v>
                </c:pt>
                <c:pt idx="9">
                  <c:v>3541</c:v>
                </c:pt>
                <c:pt idx="10">
                  <c:v>3424</c:v>
                </c:pt>
                <c:pt idx="11">
                  <c:v>3309</c:v>
                </c:pt>
                <c:pt idx="12">
                  <c:v>3198</c:v>
                </c:pt>
                <c:pt idx="13">
                  <c:v>3090</c:v>
                </c:pt>
                <c:pt idx="14">
                  <c:v>2984</c:v>
                </c:pt>
                <c:pt idx="15">
                  <c:v>2881</c:v>
                </c:pt>
                <c:pt idx="16">
                  <c:v>2781</c:v>
                </c:pt>
                <c:pt idx="17">
                  <c:v>2683</c:v>
                </c:pt>
                <c:pt idx="18">
                  <c:v>2589</c:v>
                </c:pt>
                <c:pt idx="19">
                  <c:v>2496</c:v>
                </c:pt>
                <c:pt idx="20">
                  <c:v>2410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C08-4D83-8C92-818F62E77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'Premier Long Range Speer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7962056948775092E-3"/>
                  <c:y val="3.5831129964842053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-4.204128963018321</c:v>
                </c:pt>
                <c:pt idx="2">
                  <c:v>0</c:v>
                </c:pt>
                <c:pt idx="3">
                  <c:v>3.1436251840977376</c:v>
                </c:pt>
                <c:pt idx="4">
                  <c:v>4.0400002197975606</c:v>
                </c:pt>
                <c:pt idx="5">
                  <c:v>7.890626048076542</c:v>
                </c:pt>
                <c:pt idx="6">
                  <c:v>9.0900011127252434</c:v>
                </c:pt>
                <c:pt idx="7">
                  <c:v>0</c:v>
                </c:pt>
                <c:pt idx="8">
                  <c:v>-5.3025000795134822</c:v>
                </c:pt>
                <c:pt idx="9">
                  <c:v>-18.937502515383699</c:v>
                </c:pt>
                <c:pt idx="10">
                  <c:v>-44.187523476925776</c:v>
                </c:pt>
                <c:pt idx="11">
                  <c:v>-75.750090553928729</c:v>
                </c:pt>
                <c:pt idx="12">
                  <c:v>-113.62524147741269</c:v>
                </c:pt>
                <c:pt idx="13">
                  <c:v>-157.81302404027585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F7-41F3-9651-404A16600EC7}"/>
            </c:ext>
          </c:extLst>
        </c:ser>
        <c:ser>
          <c:idx val="1"/>
          <c:order val="1"/>
          <c:tx>
            <c:strRef>
              <c:f>'Premier Long Range Speer PHP'!$K$21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-2.5000002083333537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-6.6400002439624641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-99.000159720309227</c:v>
                </c:pt>
                <c:pt idx="13">
                  <c:v>-123.20024932849456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F7-41F3-9651-404A16600EC7}"/>
            </c:ext>
          </c:extLst>
        </c:ser>
        <c:ser>
          <c:idx val="2"/>
          <c:order val="2"/>
          <c:tx>
            <c:strRef>
              <c:f>'Premier Long Range Speer PHP'!$L$21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-3.3600000316108809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-46.620027571460533</c:v>
                </c:pt>
                <c:pt idx="11">
                  <c:v>-66.720061876730625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FF7-41F3-9651-404A16600EC7}"/>
            </c:ext>
          </c:extLst>
        </c:ser>
        <c:ser>
          <c:idx val="3"/>
          <c:order val="3"/>
          <c:tx>
            <c:strRef>
              <c:f>'Premier Long Range Speer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0</c:v>
                </c:pt>
                <c:pt idx="3">
                  <c:v>0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-4.2000000395136006</c:v>
                </c:pt>
                <c:pt idx="9">
                  <c:v>-15.000001250000123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FF7-41F3-9651-404A16600EC7}"/>
            </c:ext>
          </c:extLst>
        </c:ser>
        <c:ser>
          <c:idx val="4"/>
          <c:order val="4"/>
          <c:tx>
            <c:strRef>
              <c:f>'Premier Long Range Speer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7.500002500001</c:v>
                </c:pt>
                <c:pt idx="4">
                  <c:v>10.40000374954829</c:v>
                </c:pt>
                <c:pt idx="5">
                  <c:v>13.000004686935362</c:v>
                </c:pt>
                <c:pt idx="6">
                  <c:v>15.000005000002</c:v>
                </c:pt>
                <c:pt idx="7">
                  <c:v>10.000000833333415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-56.25002929689331</c:v>
                </c:pt>
                <c:pt idx="13">
                  <c:v>-75.000056250050633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FF7-41F3-9651-404A16600EC7}"/>
            </c:ext>
          </c:extLst>
        </c:ser>
        <c:ser>
          <c:idx val="5"/>
          <c:order val="5"/>
          <c:tx>
            <c:strRef>
              <c:f>'Premier Long Range Speer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0.72625002042947373</c:v>
                </c:pt>
                <c:pt idx="2">
                  <c:v>6.5625037683131442</c:v>
                </c:pt>
                <c:pt idx="3">
                  <c:v>10.94625777235586</c:v>
                </c:pt>
                <c:pt idx="4">
                  <c:v>17.500017864605219</c:v>
                </c:pt>
                <c:pt idx="5">
                  <c:v>19.687516279117716</c:v>
                </c:pt>
                <c:pt idx="6">
                  <c:v>21.892515544711721</c:v>
                </c:pt>
                <c:pt idx="7">
                  <c:v>26.250015073252577</c:v>
                </c:pt>
                <c:pt idx="8">
                  <c:v>27.343760903681574</c:v>
                </c:pt>
                <c:pt idx="9">
                  <c:v>17.535001996887537</c:v>
                </c:pt>
                <c:pt idx="10">
                  <c:v>10.167500286012633</c:v>
                </c:pt>
                <c:pt idx="11">
                  <c:v>0</c:v>
                </c:pt>
                <c:pt idx="12">
                  <c:v>-19.687501256103612</c:v>
                </c:pt>
                <c:pt idx="13">
                  <c:v>-43.750011165368008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FF7-41F3-9651-404A16600EC7}"/>
            </c:ext>
          </c:extLst>
        </c:ser>
        <c:ser>
          <c:idx val="6"/>
          <c:order val="6"/>
          <c:tx>
            <c:strRef>
              <c:f>'Premier Long Range Speer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3.3300019693900382</c:v>
                </c:pt>
                <c:pt idx="2">
                  <c:v>12.500026041731772</c:v>
                </c:pt>
                <c:pt idx="3">
                  <c:v>20.700052561600156</c:v>
                </c:pt>
                <c:pt idx="4">
                  <c:v>27.500069323126365</c:v>
                </c:pt>
                <c:pt idx="5">
                  <c:v>34.50008760266693</c:v>
                </c:pt>
                <c:pt idx="6">
                  <c:v>37.500078125195316</c:v>
                </c:pt>
                <c:pt idx="7">
                  <c:v>48.000092160212333</c:v>
                </c:pt>
                <c:pt idx="8">
                  <c:v>50.000066666773321</c:v>
                </c:pt>
                <c:pt idx="9">
                  <c:v>49.920046074480467</c:v>
                </c:pt>
                <c:pt idx="10">
                  <c:v>43.750022786472577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FF7-41F3-9651-404A16600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442931245330408E-2"/>
          <c:y val="8.8309523809523824E-2"/>
          <c:w val="0.78921962530824119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'Premier Long Range Speer PHP'!$C$21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plus>
            <c:min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'Premier Long Range Speer PHP'!$C$23:$C$35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0</c:v>
                </c:pt>
                <c:pt idx="2">
                  <c:v>8.3000000000000004E-2</c:v>
                </c:pt>
                <c:pt idx="3">
                  <c:v>0.08</c:v>
                </c:pt>
                <c:pt idx="4">
                  <c:v>0.125</c:v>
                </c:pt>
                <c:pt idx="5">
                  <c:v>0.12</c:v>
                </c:pt>
                <c:pt idx="6">
                  <c:v>0</c:v>
                </c:pt>
                <c:pt idx="7">
                  <c:v>-4.2000000000000003E-2</c:v>
                </c:pt>
                <c:pt idx="8">
                  <c:v>-0.125</c:v>
                </c:pt>
                <c:pt idx="9">
                  <c:v>-0.25</c:v>
                </c:pt>
                <c:pt idx="10">
                  <c:v>-0.375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29-4FCD-BD6B-8A4D0AC7D233}"/>
            </c:ext>
          </c:extLst>
        </c:ser>
        <c:ser>
          <c:idx val="1"/>
          <c:order val="1"/>
          <c:tx>
            <c:strRef>
              <c:f>'Premier Long Range Speer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plus>
            <c:min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'Premier Long Range Speer PHP'!$D$23:$D$35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-0.125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-0.125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-0.55000000000000004</c:v>
                </c:pt>
                <c:pt idx="12">
                  <c:v>-0.61599999999999999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29-4FCD-BD6B-8A4D0AC7D233}"/>
            </c:ext>
          </c:extLst>
        </c:ser>
        <c:ser>
          <c:idx val="2"/>
          <c:order val="2"/>
          <c:tx>
            <c:strRef>
              <c:f>'Premier Long Range Speer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plus>
            <c:min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'Premier Long Range Speer PHP'!$E$23:$E$35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-4.2000000000000003E-2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-0.33300000000000002</c:v>
                </c:pt>
                <c:pt idx="10">
                  <c:v>-0.41699999999999998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F29-4FCD-BD6B-8A4D0AC7D233}"/>
            </c:ext>
          </c:extLst>
        </c:ser>
        <c:ser>
          <c:idx val="3"/>
          <c:order val="3"/>
          <c:tx>
            <c:strRef>
              <c:f>'Premier Long Range Speer PHP'!$F$21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plus>
            <c:min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'Premier Long Range Speer PHP'!$F$23:$F$35</c:f>
              <c:numCache>
                <c:formatCode>0.000</c:formatCode>
                <c:ptCount val="13"/>
                <c:pt idx="0">
                  <c:v>-0.3125</c:v>
                </c:pt>
                <c:pt idx="1">
                  <c:v>0</c:v>
                </c:pt>
                <c:pt idx="2">
                  <c:v>0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-4.2000000000000003E-2</c:v>
                </c:pt>
                <c:pt idx="8">
                  <c:v>-0.125</c:v>
                </c:pt>
                <c:pt idx="9">
                  <c:v>-0.25</c:v>
                </c:pt>
                <c:pt idx="10">
                  <c:v>-0.375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F29-4FCD-BD6B-8A4D0AC7D233}"/>
            </c:ext>
          </c:extLst>
        </c:ser>
        <c:ser>
          <c:idx val="4"/>
          <c:order val="4"/>
          <c:tx>
            <c:strRef>
              <c:f>'Premier Long Range Speer PHP'!$G$21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plus>
            <c:min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'Premier Long Range Speer PHP'!$G$23:$G$35</c:f>
              <c:numCache>
                <c:formatCode>0.000</c:formatCode>
                <c:ptCount val="13"/>
                <c:pt idx="0">
                  <c:v>-0.125</c:v>
                </c:pt>
                <c:pt idx="1">
                  <c:v>0.16700000000000001</c:v>
                </c:pt>
                <c:pt idx="2">
                  <c:v>0.25</c:v>
                </c:pt>
                <c:pt idx="3">
                  <c:v>0.26</c:v>
                </c:pt>
                <c:pt idx="4">
                  <c:v>0.26</c:v>
                </c:pt>
                <c:pt idx="5">
                  <c:v>0.25</c:v>
                </c:pt>
                <c:pt idx="6">
                  <c:v>0.125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-0.25</c:v>
                </c:pt>
                <c:pt idx="11">
                  <c:v>-0.3125</c:v>
                </c:pt>
                <c:pt idx="12">
                  <c:v>-0.375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F29-4FCD-BD6B-8A4D0AC7D233}"/>
            </c:ext>
          </c:extLst>
        </c:ser>
        <c:ser>
          <c:idx val="5"/>
          <c:order val="5"/>
          <c:tx>
            <c:strRef>
              <c:f>'Premier Long Range Speer PHP'!$H$21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plus>
            <c:min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'Premier Long Range Speer PHP'!$H$23:$H$35</c:f>
              <c:numCache>
                <c:formatCode>0.000</c:formatCode>
                <c:ptCount val="13"/>
                <c:pt idx="0">
                  <c:v>8.3000000000000004E-2</c:v>
                </c:pt>
                <c:pt idx="1">
                  <c:v>0.375</c:v>
                </c:pt>
                <c:pt idx="2">
                  <c:v>0.41699999999999998</c:v>
                </c:pt>
                <c:pt idx="3">
                  <c:v>0.5</c:v>
                </c:pt>
                <c:pt idx="4">
                  <c:v>0.45</c:v>
                </c:pt>
                <c:pt idx="5">
                  <c:v>0.41699999999999998</c:v>
                </c:pt>
                <c:pt idx="6">
                  <c:v>0.375</c:v>
                </c:pt>
                <c:pt idx="7">
                  <c:v>0.3125</c:v>
                </c:pt>
                <c:pt idx="8">
                  <c:v>0.16700000000000001</c:v>
                </c:pt>
                <c:pt idx="9">
                  <c:v>8.3000000000000004E-2</c:v>
                </c:pt>
                <c:pt idx="10">
                  <c:v>0</c:v>
                </c:pt>
                <c:pt idx="11">
                  <c:v>-0.125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F29-4FCD-BD6B-8A4D0AC7D233}"/>
            </c:ext>
          </c:extLst>
        </c:ser>
        <c:ser>
          <c:idx val="6"/>
          <c:order val="6"/>
          <c:tx>
            <c:strRef>
              <c:f>'Premier Long Range Speer PHP'!$I$21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plus>
            <c:minus>
              <c:numRef>
                <c:f>'Premier Long Range Speer PHP'!$C$17</c:f>
                <c:numCache>
                  <c:formatCode>General</c:formatCode>
                  <c:ptCount val="1"/>
                  <c:pt idx="0">
                    <c:v>0.1875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'Premier Long Range Speer PHP'!$I$23:$I$35</c:f>
              <c:numCache>
                <c:formatCode>0.000</c:formatCode>
                <c:ptCount val="13"/>
                <c:pt idx="0">
                  <c:v>0.33300000000000002</c:v>
                </c:pt>
                <c:pt idx="1">
                  <c:v>0.625</c:v>
                </c:pt>
                <c:pt idx="2">
                  <c:v>0.69</c:v>
                </c:pt>
                <c:pt idx="3">
                  <c:v>0.6875</c:v>
                </c:pt>
                <c:pt idx="4">
                  <c:v>0.69</c:v>
                </c:pt>
                <c:pt idx="5">
                  <c:v>0.625</c:v>
                </c:pt>
                <c:pt idx="6">
                  <c:v>0.6</c:v>
                </c:pt>
                <c:pt idx="7">
                  <c:v>0.5</c:v>
                </c:pt>
                <c:pt idx="8">
                  <c:v>0.41599999999999998</c:v>
                </c:pt>
                <c:pt idx="9">
                  <c:v>0.3125</c:v>
                </c:pt>
                <c:pt idx="10">
                  <c:v>0.25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F29-4FCD-BD6B-8A4D0AC7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'Premier Long Range Speer PHP'!$K$78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93772105009507"/>
                  <c:y val="-0.20418465939932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0.7</c:v>
                </c:pt>
                <c:pt idx="4">
                  <c:v>0.7</c:v>
                </c:pt>
                <c:pt idx="5">
                  <c:v>-0.3</c:v>
                </c:pt>
                <c:pt idx="6">
                  <c:v>-2.1</c:v>
                </c:pt>
                <c:pt idx="7">
                  <c:v>-4.7</c:v>
                </c:pt>
                <c:pt idx="8">
                  <c:v>-8.5</c:v>
                </c:pt>
                <c:pt idx="9">
                  <c:v>-13</c:v>
                </c:pt>
                <c:pt idx="10">
                  <c:v>-18.600000000000001</c:v>
                </c:pt>
                <c:pt idx="11">
                  <c:v>-25.4</c:v>
                </c:pt>
                <c:pt idx="12">
                  <c:v>-33.1</c:v>
                </c:pt>
                <c:pt idx="13">
                  <c:v>-41.9</c:v>
                </c:pt>
                <c:pt idx="14">
                  <c:v>-52.2</c:v>
                </c:pt>
                <c:pt idx="15">
                  <c:v>-63.3</c:v>
                </c:pt>
                <c:pt idx="16">
                  <c:v>-75.7</c:v>
                </c:pt>
                <c:pt idx="17">
                  <c:v>-89.9</c:v>
                </c:pt>
                <c:pt idx="18">
                  <c:v>-105</c:v>
                </c:pt>
                <c:pt idx="19">
                  <c:v>-121.5</c:v>
                </c:pt>
                <c:pt idx="20">
                  <c:v>-139.4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5F-4C82-8D51-53C5BE8A6BCE}"/>
            </c:ext>
          </c:extLst>
        </c:ser>
        <c:ser>
          <c:idx val="1"/>
          <c:order val="1"/>
          <c:tx>
            <c:strRef>
              <c:f>'Premier Long Range Speer PHP'!$A$78</c:f>
              <c:strCache>
                <c:ptCount val="1"/>
                <c:pt idx="0">
                  <c:v>50m zero 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0.7</c:v>
                </c:pt>
                <c:pt idx="4">
                  <c:v>0.6</c:v>
                </c:pt>
                <c:pt idx="5">
                  <c:v>-0.3</c:v>
                </c:pt>
                <c:pt idx="6">
                  <c:v>-2.1</c:v>
                </c:pt>
                <c:pt idx="7">
                  <c:v>-4.8</c:v>
                </c:pt>
                <c:pt idx="8">
                  <c:v>-8.5</c:v>
                </c:pt>
                <c:pt idx="9">
                  <c:v>-13.1</c:v>
                </c:pt>
                <c:pt idx="10">
                  <c:v>-18.7</c:v>
                </c:pt>
                <c:pt idx="11">
                  <c:v>-25.6</c:v>
                </c:pt>
                <c:pt idx="12">
                  <c:v>-33.299999999999997</c:v>
                </c:pt>
                <c:pt idx="13">
                  <c:v>-42.2</c:v>
                </c:pt>
                <c:pt idx="14">
                  <c:v>-52.6</c:v>
                </c:pt>
                <c:pt idx="15">
                  <c:v>-63.8</c:v>
                </c:pt>
                <c:pt idx="16">
                  <c:v>-76.3</c:v>
                </c:pt>
                <c:pt idx="17">
                  <c:v>-90.6</c:v>
                </c:pt>
                <c:pt idx="18">
                  <c:v>-105.8</c:v>
                </c:pt>
                <c:pt idx="19">
                  <c:v>-122.4</c:v>
                </c:pt>
                <c:pt idx="20">
                  <c:v>-140.5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5F-4C82-8D51-53C5BE8A6BCE}"/>
            </c:ext>
          </c:extLst>
        </c:ser>
        <c:ser>
          <c:idx val="2"/>
          <c:order val="2"/>
          <c:tx>
            <c:strRef>
              <c:f>'Premier Long Range Speer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-4.204128963018321</c:v>
                </c:pt>
                <c:pt idx="2">
                  <c:v>0</c:v>
                </c:pt>
                <c:pt idx="3">
                  <c:v>3.1436251840977376</c:v>
                </c:pt>
                <c:pt idx="4">
                  <c:v>4.0400002197975606</c:v>
                </c:pt>
                <c:pt idx="5">
                  <c:v>7.890626048076542</c:v>
                </c:pt>
                <c:pt idx="6">
                  <c:v>9.0900011127252434</c:v>
                </c:pt>
                <c:pt idx="7">
                  <c:v>0</c:v>
                </c:pt>
                <c:pt idx="8">
                  <c:v>-5.3025000795134822</c:v>
                </c:pt>
                <c:pt idx="9">
                  <c:v>-18.937502515383699</c:v>
                </c:pt>
                <c:pt idx="10">
                  <c:v>-44.187523476925776</c:v>
                </c:pt>
                <c:pt idx="11">
                  <c:v>-75.750090553928729</c:v>
                </c:pt>
                <c:pt idx="12">
                  <c:v>-113.62524147741269</c:v>
                </c:pt>
                <c:pt idx="13">
                  <c:v>-157.81302404027585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35F-4C82-8D51-53C5BE8A6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'Premier Long Range Speer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-2.5000002083333537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-6.6400002439624641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-99.000159720309227</c:v>
                </c:pt>
                <c:pt idx="13">
                  <c:v>-123.20024932849456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C1-410A-84DF-684EC49309C0}"/>
            </c:ext>
          </c:extLst>
        </c:ser>
        <c:ser>
          <c:idx val="1"/>
          <c:order val="1"/>
          <c:tx>
            <c:strRef>
              <c:f>'Premier Long Range Speer PHP'!$A$102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-1.7</c:v>
                </c:pt>
                <c:pt idx="2">
                  <c:v>-0.3</c:v>
                </c:pt>
                <c:pt idx="3">
                  <c:v>0.2</c:v>
                </c:pt>
                <c:pt idx="4">
                  <c:v>0</c:v>
                </c:pt>
                <c:pt idx="5">
                  <c:v>-1.1000000000000001</c:v>
                </c:pt>
                <c:pt idx="6">
                  <c:v>-3.1</c:v>
                </c:pt>
                <c:pt idx="7">
                  <c:v>-5.9</c:v>
                </c:pt>
                <c:pt idx="8">
                  <c:v>-9.8000000000000007</c:v>
                </c:pt>
                <c:pt idx="9">
                  <c:v>-14.6</c:v>
                </c:pt>
                <c:pt idx="10">
                  <c:v>-20.3</c:v>
                </c:pt>
                <c:pt idx="11">
                  <c:v>-27.4</c:v>
                </c:pt>
                <c:pt idx="12">
                  <c:v>-35.200000000000003</c:v>
                </c:pt>
                <c:pt idx="13">
                  <c:v>-44.2</c:v>
                </c:pt>
                <c:pt idx="14">
                  <c:v>-54.8</c:v>
                </c:pt>
                <c:pt idx="15">
                  <c:v>-66.2</c:v>
                </c:pt>
                <c:pt idx="16">
                  <c:v>-78.8</c:v>
                </c:pt>
                <c:pt idx="17">
                  <c:v>-93.3</c:v>
                </c:pt>
                <c:pt idx="18">
                  <c:v>-108.7</c:v>
                </c:pt>
                <c:pt idx="19">
                  <c:v>-125.5</c:v>
                </c:pt>
                <c:pt idx="20">
                  <c:v>-143.69999999999999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C1-410A-84DF-684EC49309C0}"/>
            </c:ext>
          </c:extLst>
        </c:ser>
        <c:ser>
          <c:idx val="2"/>
          <c:order val="2"/>
          <c:tx>
            <c:strRef>
              <c:f>'Premier Long Range Speer PHP'!$K$102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'Premier Long Range Speer PHP'!$K$104:$K$124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-1.7</c:v>
                </c:pt>
                <c:pt idx="2">
                  <c:v>-0.3</c:v>
                </c:pt>
                <c:pt idx="3">
                  <c:v>0.3</c:v>
                </c:pt>
                <c:pt idx="4">
                  <c:v>0</c:v>
                </c:pt>
                <c:pt idx="5">
                  <c:v>-1.1000000000000001</c:v>
                </c:pt>
                <c:pt idx="6">
                  <c:v>-3</c:v>
                </c:pt>
                <c:pt idx="7">
                  <c:v>-5.9</c:v>
                </c:pt>
                <c:pt idx="8">
                  <c:v>-9.6999999999999993</c:v>
                </c:pt>
                <c:pt idx="9">
                  <c:v>-14.5</c:v>
                </c:pt>
                <c:pt idx="10">
                  <c:v>-20.2</c:v>
                </c:pt>
                <c:pt idx="11">
                  <c:v>-27.2</c:v>
                </c:pt>
                <c:pt idx="12">
                  <c:v>-35</c:v>
                </c:pt>
                <c:pt idx="13">
                  <c:v>-43.9</c:v>
                </c:pt>
                <c:pt idx="14">
                  <c:v>-54.4</c:v>
                </c:pt>
                <c:pt idx="15">
                  <c:v>-65.7</c:v>
                </c:pt>
                <c:pt idx="16">
                  <c:v>-78.3</c:v>
                </c:pt>
                <c:pt idx="17">
                  <c:v>-92.6</c:v>
                </c:pt>
                <c:pt idx="18">
                  <c:v>-107.9</c:v>
                </c:pt>
                <c:pt idx="19">
                  <c:v>-124.5</c:v>
                </c:pt>
                <c:pt idx="20">
                  <c:v>-142.5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9C1-410A-84DF-684EC4930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'Premier Long Range Speer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-3.3600000316108809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-46.620027571460533</c:v>
                </c:pt>
                <c:pt idx="11">
                  <c:v>-66.720061876730625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C1-4E6C-93E7-B6331C68C029}"/>
            </c:ext>
          </c:extLst>
        </c:ser>
        <c:ser>
          <c:idx val="1"/>
          <c:order val="1"/>
          <c:tx>
            <c:strRef>
              <c:f>'Premier Long Range Speer PHP'!$A$126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-1.2</c:v>
                </c:pt>
                <c:pt idx="2">
                  <c:v>0.7</c:v>
                </c:pt>
                <c:pt idx="3">
                  <c:v>1.8</c:v>
                </c:pt>
                <c:pt idx="4">
                  <c:v>2.1</c:v>
                </c:pt>
                <c:pt idx="5">
                  <c:v>1.5</c:v>
                </c:pt>
                <c:pt idx="6">
                  <c:v>0</c:v>
                </c:pt>
                <c:pt idx="7">
                  <c:v>-2.2999999999999998</c:v>
                </c:pt>
                <c:pt idx="8">
                  <c:v>-5.7</c:v>
                </c:pt>
                <c:pt idx="9">
                  <c:v>-10</c:v>
                </c:pt>
                <c:pt idx="10">
                  <c:v>-15.2</c:v>
                </c:pt>
                <c:pt idx="11">
                  <c:v>-21.7</c:v>
                </c:pt>
                <c:pt idx="12">
                  <c:v>-29.1</c:v>
                </c:pt>
                <c:pt idx="13">
                  <c:v>-37.6</c:v>
                </c:pt>
                <c:pt idx="14">
                  <c:v>-47.6</c:v>
                </c:pt>
                <c:pt idx="15">
                  <c:v>-58.5</c:v>
                </c:pt>
                <c:pt idx="16">
                  <c:v>-70.599999999999994</c:v>
                </c:pt>
                <c:pt idx="17">
                  <c:v>-84.6</c:v>
                </c:pt>
                <c:pt idx="18">
                  <c:v>-99.5</c:v>
                </c:pt>
                <c:pt idx="19">
                  <c:v>-115.7</c:v>
                </c:pt>
                <c:pt idx="20">
                  <c:v>-133.5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C1-4E6C-93E7-B6331C68C029}"/>
            </c:ext>
          </c:extLst>
        </c:ser>
        <c:ser>
          <c:idx val="2"/>
          <c:order val="2"/>
          <c:tx>
            <c:strRef>
              <c:f>'Premier Long Range Speer PHP'!$K$126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'Premier Long Range Speer PHP'!$K$128:$K$148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-1.2</c:v>
                </c:pt>
                <c:pt idx="2">
                  <c:v>0.7</c:v>
                </c:pt>
                <c:pt idx="3">
                  <c:v>1.8</c:v>
                </c:pt>
                <c:pt idx="4">
                  <c:v>2</c:v>
                </c:pt>
                <c:pt idx="5">
                  <c:v>1.4</c:v>
                </c:pt>
                <c:pt idx="6">
                  <c:v>0</c:v>
                </c:pt>
                <c:pt idx="7">
                  <c:v>-2.2999999999999998</c:v>
                </c:pt>
                <c:pt idx="8">
                  <c:v>-5.7</c:v>
                </c:pt>
                <c:pt idx="9">
                  <c:v>-9.9</c:v>
                </c:pt>
                <c:pt idx="10">
                  <c:v>-15.1</c:v>
                </c:pt>
                <c:pt idx="11">
                  <c:v>-21.6</c:v>
                </c:pt>
                <c:pt idx="12">
                  <c:v>-29</c:v>
                </c:pt>
                <c:pt idx="13">
                  <c:v>-37.4</c:v>
                </c:pt>
                <c:pt idx="14">
                  <c:v>-47.4</c:v>
                </c:pt>
                <c:pt idx="15">
                  <c:v>-58.2</c:v>
                </c:pt>
                <c:pt idx="16">
                  <c:v>-70.2</c:v>
                </c:pt>
                <c:pt idx="17">
                  <c:v>-84.1</c:v>
                </c:pt>
                <c:pt idx="18">
                  <c:v>-98.8</c:v>
                </c:pt>
                <c:pt idx="19">
                  <c:v>-114.9</c:v>
                </c:pt>
                <c:pt idx="20">
                  <c:v>-132.5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6C1-4E6C-93E7-B6331C68C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'Premier Long Range Speer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0</c:v>
                </c:pt>
                <c:pt idx="3">
                  <c:v>0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-4.2000000395136006</c:v>
                </c:pt>
                <c:pt idx="9">
                  <c:v>-15.000001250000123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2D-4A33-B944-1A423767D0B2}"/>
            </c:ext>
          </c:extLst>
        </c:ser>
        <c:ser>
          <c:idx val="1"/>
          <c:order val="1"/>
          <c:tx>
            <c:strRef>
              <c:f>'Premier Long Range Speer PHP'!$A$150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-0.5</c:v>
                </c:pt>
                <c:pt idx="2">
                  <c:v>2.2000000000000002</c:v>
                </c:pt>
                <c:pt idx="3">
                  <c:v>3.9</c:v>
                </c:pt>
                <c:pt idx="4">
                  <c:v>4.9000000000000004</c:v>
                </c:pt>
                <c:pt idx="5">
                  <c:v>5</c:v>
                </c:pt>
                <c:pt idx="6">
                  <c:v>4.3</c:v>
                </c:pt>
                <c:pt idx="7">
                  <c:v>2.6</c:v>
                </c:pt>
                <c:pt idx="8">
                  <c:v>0</c:v>
                </c:pt>
                <c:pt idx="9">
                  <c:v>-3.6</c:v>
                </c:pt>
                <c:pt idx="10">
                  <c:v>-8.1</c:v>
                </c:pt>
                <c:pt idx="11">
                  <c:v>-13.9</c:v>
                </c:pt>
                <c:pt idx="12">
                  <c:v>-20.6</c:v>
                </c:pt>
                <c:pt idx="13">
                  <c:v>-28.4</c:v>
                </c:pt>
                <c:pt idx="14">
                  <c:v>-37.700000000000003</c:v>
                </c:pt>
                <c:pt idx="15">
                  <c:v>-47.9</c:v>
                </c:pt>
                <c:pt idx="16">
                  <c:v>-59.3</c:v>
                </c:pt>
                <c:pt idx="17">
                  <c:v>-72.599999999999994</c:v>
                </c:pt>
                <c:pt idx="18">
                  <c:v>-86.7</c:v>
                </c:pt>
                <c:pt idx="19">
                  <c:v>-102.3</c:v>
                </c:pt>
                <c:pt idx="20">
                  <c:v>-119.3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E2D-4A33-B944-1A423767D0B2}"/>
            </c:ext>
          </c:extLst>
        </c:ser>
        <c:ser>
          <c:idx val="2"/>
          <c:order val="2"/>
          <c:tx>
            <c:strRef>
              <c:f>'Premier Long Range Speer PHP'!$K$150:$L$150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'Premier Long Range Speer PHP'!$K$152:$K$172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-0.5</c:v>
                </c:pt>
                <c:pt idx="2">
                  <c:v>2.1</c:v>
                </c:pt>
                <c:pt idx="3">
                  <c:v>3.9</c:v>
                </c:pt>
                <c:pt idx="4">
                  <c:v>4.9000000000000004</c:v>
                </c:pt>
                <c:pt idx="5">
                  <c:v>5</c:v>
                </c:pt>
                <c:pt idx="6">
                  <c:v>4.2</c:v>
                </c:pt>
                <c:pt idx="7">
                  <c:v>2.6</c:v>
                </c:pt>
                <c:pt idx="8">
                  <c:v>0</c:v>
                </c:pt>
                <c:pt idx="9">
                  <c:v>-3.6</c:v>
                </c:pt>
                <c:pt idx="10">
                  <c:v>-8.1</c:v>
                </c:pt>
                <c:pt idx="11">
                  <c:v>-13.8</c:v>
                </c:pt>
                <c:pt idx="12">
                  <c:v>-20.5</c:v>
                </c:pt>
                <c:pt idx="13">
                  <c:v>-28.2</c:v>
                </c:pt>
                <c:pt idx="14">
                  <c:v>-37.4</c:v>
                </c:pt>
                <c:pt idx="15">
                  <c:v>-47.5</c:v>
                </c:pt>
                <c:pt idx="16">
                  <c:v>-58.9</c:v>
                </c:pt>
                <c:pt idx="17">
                  <c:v>-72</c:v>
                </c:pt>
                <c:pt idx="18">
                  <c:v>-86.1</c:v>
                </c:pt>
                <c:pt idx="19">
                  <c:v>-101.5</c:v>
                </c:pt>
                <c:pt idx="20">
                  <c:v>-118.3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E2D-4A33-B944-1A423767D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'Premier Long Range Speer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7.500002500001</c:v>
                </c:pt>
                <c:pt idx="4">
                  <c:v>10.40000374954829</c:v>
                </c:pt>
                <c:pt idx="5">
                  <c:v>13.000004686935362</c:v>
                </c:pt>
                <c:pt idx="6">
                  <c:v>15.000005000002</c:v>
                </c:pt>
                <c:pt idx="7">
                  <c:v>10.000000833333415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-56.25002929689331</c:v>
                </c:pt>
                <c:pt idx="13">
                  <c:v>-75.000056250050633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F7-45E0-A756-B3601EBF6A6F}"/>
            </c:ext>
          </c:extLst>
        </c:ser>
        <c:ser>
          <c:idx val="1"/>
          <c:order val="1"/>
          <c:tx>
            <c:strRef>
              <c:f>'Premier Long Range Speer PHP'!$A$174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1.2</c:v>
                </c:pt>
                <c:pt idx="2">
                  <c:v>5.6</c:v>
                </c:pt>
                <c:pt idx="3">
                  <c:v>9.1</c:v>
                </c:pt>
                <c:pt idx="4">
                  <c:v>11.7</c:v>
                </c:pt>
                <c:pt idx="5">
                  <c:v>13.6</c:v>
                </c:pt>
                <c:pt idx="6">
                  <c:v>14.6</c:v>
                </c:pt>
                <c:pt idx="7">
                  <c:v>14.6</c:v>
                </c:pt>
                <c:pt idx="8">
                  <c:v>13.7</c:v>
                </c:pt>
                <c:pt idx="9">
                  <c:v>11.9</c:v>
                </c:pt>
                <c:pt idx="10">
                  <c:v>9</c:v>
                </c:pt>
                <c:pt idx="11">
                  <c:v>5</c:v>
                </c:pt>
                <c:pt idx="12">
                  <c:v>0</c:v>
                </c:pt>
                <c:pt idx="13">
                  <c:v>-6.1</c:v>
                </c:pt>
                <c:pt idx="14">
                  <c:v>-13.6</c:v>
                </c:pt>
                <c:pt idx="15">
                  <c:v>-22.1</c:v>
                </c:pt>
                <c:pt idx="16">
                  <c:v>-31.9</c:v>
                </c:pt>
                <c:pt idx="17">
                  <c:v>-43.4</c:v>
                </c:pt>
                <c:pt idx="18">
                  <c:v>-55.8</c:v>
                </c:pt>
                <c:pt idx="19">
                  <c:v>-69.7</c:v>
                </c:pt>
                <c:pt idx="20">
                  <c:v>-85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F7-45E0-A756-B3601EBF6A6F}"/>
            </c:ext>
          </c:extLst>
        </c:ser>
        <c:ser>
          <c:idx val="2"/>
          <c:order val="2"/>
          <c:tx>
            <c:strRef>
              <c:f>'Premier Long Range Speer PHP'!$K$174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'Premier Long Range Speer PHP'!$K$176:$K$196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1.2</c:v>
                </c:pt>
                <c:pt idx="2">
                  <c:v>5.6</c:v>
                </c:pt>
                <c:pt idx="3">
                  <c:v>9</c:v>
                </c:pt>
                <c:pt idx="4">
                  <c:v>11.7</c:v>
                </c:pt>
                <c:pt idx="5">
                  <c:v>13.5</c:v>
                </c:pt>
                <c:pt idx="6">
                  <c:v>14.5</c:v>
                </c:pt>
                <c:pt idx="7">
                  <c:v>14.5</c:v>
                </c:pt>
                <c:pt idx="8">
                  <c:v>13.6</c:v>
                </c:pt>
                <c:pt idx="9">
                  <c:v>11.8</c:v>
                </c:pt>
                <c:pt idx="10">
                  <c:v>9</c:v>
                </c:pt>
                <c:pt idx="11">
                  <c:v>5</c:v>
                </c:pt>
                <c:pt idx="12">
                  <c:v>0</c:v>
                </c:pt>
                <c:pt idx="13">
                  <c:v>-6</c:v>
                </c:pt>
                <c:pt idx="14">
                  <c:v>-13.5</c:v>
                </c:pt>
                <c:pt idx="15">
                  <c:v>-22</c:v>
                </c:pt>
                <c:pt idx="16">
                  <c:v>-31.6</c:v>
                </c:pt>
                <c:pt idx="17">
                  <c:v>-43</c:v>
                </c:pt>
                <c:pt idx="18">
                  <c:v>-55.4</c:v>
                </c:pt>
                <c:pt idx="19">
                  <c:v>-69.099999999999994</c:v>
                </c:pt>
                <c:pt idx="20">
                  <c:v>-84.3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6F7-45E0-A756-B3601EBF6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'Premier Long Range Speer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9497036203601747"/>
                  <c:y val="-0.15839093030037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0.72625002042947373</c:v>
                </c:pt>
                <c:pt idx="2">
                  <c:v>6.5625037683131442</c:v>
                </c:pt>
                <c:pt idx="3">
                  <c:v>10.94625777235586</c:v>
                </c:pt>
                <c:pt idx="4">
                  <c:v>17.500017864605219</c:v>
                </c:pt>
                <c:pt idx="5">
                  <c:v>19.687516279117716</c:v>
                </c:pt>
                <c:pt idx="6">
                  <c:v>21.892515544711721</c:v>
                </c:pt>
                <c:pt idx="7">
                  <c:v>26.250015073252577</c:v>
                </c:pt>
                <c:pt idx="8">
                  <c:v>27.343760903681574</c:v>
                </c:pt>
                <c:pt idx="9">
                  <c:v>17.535001996887537</c:v>
                </c:pt>
                <c:pt idx="10">
                  <c:v>10.167500286012633</c:v>
                </c:pt>
                <c:pt idx="11">
                  <c:v>0</c:v>
                </c:pt>
                <c:pt idx="12">
                  <c:v>-19.687501256103612</c:v>
                </c:pt>
                <c:pt idx="13">
                  <c:v>-43.750011165368008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7B-4AE6-90E4-1F0460521A61}"/>
            </c:ext>
          </c:extLst>
        </c:ser>
        <c:ser>
          <c:idx val="1"/>
          <c:order val="1"/>
          <c:tx>
            <c:strRef>
              <c:f>'Premier Long Range Speer PHP'!$A$198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935986962025786"/>
                  <c:y val="-0.62377588218139401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3.2</c:v>
                </c:pt>
                <c:pt idx="2">
                  <c:v>9.6999999999999993</c:v>
                </c:pt>
                <c:pt idx="3">
                  <c:v>15.1</c:v>
                </c:pt>
                <c:pt idx="4">
                  <c:v>19.7</c:v>
                </c:pt>
                <c:pt idx="5">
                  <c:v>23.7</c:v>
                </c:pt>
                <c:pt idx="6">
                  <c:v>26.6</c:v>
                </c:pt>
                <c:pt idx="7">
                  <c:v>28.6</c:v>
                </c:pt>
                <c:pt idx="8">
                  <c:v>29.8</c:v>
                </c:pt>
                <c:pt idx="9">
                  <c:v>29.9</c:v>
                </c:pt>
                <c:pt idx="10">
                  <c:v>29</c:v>
                </c:pt>
                <c:pt idx="11">
                  <c:v>27.1</c:v>
                </c:pt>
                <c:pt idx="12">
                  <c:v>24.1</c:v>
                </c:pt>
                <c:pt idx="13">
                  <c:v>19.899999999999999</c:v>
                </c:pt>
                <c:pt idx="14">
                  <c:v>14.4</c:v>
                </c:pt>
                <c:pt idx="15">
                  <c:v>7.9</c:v>
                </c:pt>
                <c:pt idx="16">
                  <c:v>0.1</c:v>
                </c:pt>
                <c:pt idx="17">
                  <c:v>-9.3000000000000007</c:v>
                </c:pt>
                <c:pt idx="18">
                  <c:v>-19.8</c:v>
                </c:pt>
                <c:pt idx="19">
                  <c:v>-31.7</c:v>
                </c:pt>
                <c:pt idx="20">
                  <c:v>-45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7B-4AE6-90E4-1F0460521A61}"/>
            </c:ext>
          </c:extLst>
        </c:ser>
        <c:ser>
          <c:idx val="2"/>
          <c:order val="2"/>
          <c:tx>
            <c:strRef>
              <c:f>'Premier Long Range Speer PHP'!$K$198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'Premier Long Range Speer PHP'!$K$200:$K$220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3.2</c:v>
                </c:pt>
                <c:pt idx="2">
                  <c:v>9.6</c:v>
                </c:pt>
                <c:pt idx="3">
                  <c:v>15</c:v>
                </c:pt>
                <c:pt idx="4">
                  <c:v>19.600000000000001</c:v>
                </c:pt>
                <c:pt idx="5">
                  <c:v>23.5</c:v>
                </c:pt>
                <c:pt idx="6">
                  <c:v>26.4</c:v>
                </c:pt>
                <c:pt idx="7">
                  <c:v>28.4</c:v>
                </c:pt>
                <c:pt idx="8">
                  <c:v>29.6</c:v>
                </c:pt>
                <c:pt idx="9">
                  <c:v>29.7</c:v>
                </c:pt>
                <c:pt idx="10">
                  <c:v>28.8</c:v>
                </c:pt>
                <c:pt idx="11">
                  <c:v>26.8</c:v>
                </c:pt>
                <c:pt idx="12">
                  <c:v>23.8</c:v>
                </c:pt>
                <c:pt idx="13">
                  <c:v>19.7</c:v>
                </c:pt>
                <c:pt idx="14">
                  <c:v>14.3</c:v>
                </c:pt>
                <c:pt idx="15">
                  <c:v>7.8</c:v>
                </c:pt>
                <c:pt idx="16">
                  <c:v>0.1</c:v>
                </c:pt>
                <c:pt idx="17">
                  <c:v>-9.1999999999999993</c:v>
                </c:pt>
                <c:pt idx="18">
                  <c:v>-19.600000000000001</c:v>
                </c:pt>
                <c:pt idx="19">
                  <c:v>-31.4</c:v>
                </c:pt>
                <c:pt idx="20">
                  <c:v>-44.6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7B-4AE6-90E4-1F0460521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'Premier Long Range Speer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3.3300019693900382</c:v>
                </c:pt>
                <c:pt idx="2">
                  <c:v>12.500026041731772</c:v>
                </c:pt>
                <c:pt idx="3">
                  <c:v>20.700052561600156</c:v>
                </c:pt>
                <c:pt idx="4">
                  <c:v>27.500069323126365</c:v>
                </c:pt>
                <c:pt idx="5">
                  <c:v>34.50008760266693</c:v>
                </c:pt>
                <c:pt idx="6">
                  <c:v>37.500078125195316</c:v>
                </c:pt>
                <c:pt idx="7">
                  <c:v>48.000092160212333</c:v>
                </c:pt>
                <c:pt idx="8">
                  <c:v>50.000066666773321</c:v>
                </c:pt>
                <c:pt idx="9">
                  <c:v>49.920046074480467</c:v>
                </c:pt>
                <c:pt idx="10">
                  <c:v>43.750022786472577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BC-4EF2-A689-47942D9F1A5F}"/>
            </c:ext>
          </c:extLst>
        </c:ser>
        <c:ser>
          <c:idx val="1"/>
          <c:order val="1"/>
          <c:tx>
            <c:strRef>
              <c:f>'Premier Long Range Speer PHP'!$A$222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'Premier Long Range Speer PHP'!$A$224:$A$244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5.5</c:v>
                </c:pt>
                <c:pt idx="2">
                  <c:v>14.2</c:v>
                </c:pt>
                <c:pt idx="3">
                  <c:v>21.9</c:v>
                </c:pt>
                <c:pt idx="4">
                  <c:v>28.8</c:v>
                </c:pt>
                <c:pt idx="5">
                  <c:v>35.1</c:v>
                </c:pt>
                <c:pt idx="6">
                  <c:v>40.299999999999997</c:v>
                </c:pt>
                <c:pt idx="7">
                  <c:v>44.5</c:v>
                </c:pt>
                <c:pt idx="8">
                  <c:v>48</c:v>
                </c:pt>
                <c:pt idx="9">
                  <c:v>50.4</c:v>
                </c:pt>
                <c:pt idx="10">
                  <c:v>51.8</c:v>
                </c:pt>
                <c:pt idx="11">
                  <c:v>52.1</c:v>
                </c:pt>
                <c:pt idx="12">
                  <c:v>51.4</c:v>
                </c:pt>
                <c:pt idx="13">
                  <c:v>49.5</c:v>
                </c:pt>
                <c:pt idx="14">
                  <c:v>46.3</c:v>
                </c:pt>
                <c:pt idx="15">
                  <c:v>42</c:v>
                </c:pt>
                <c:pt idx="16">
                  <c:v>36.5</c:v>
                </c:pt>
                <c:pt idx="17">
                  <c:v>29.4</c:v>
                </c:pt>
                <c:pt idx="18">
                  <c:v>21.2</c:v>
                </c:pt>
                <c:pt idx="19">
                  <c:v>11.5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ABC-4EF2-A689-47942D9F1A5F}"/>
            </c:ext>
          </c:extLst>
        </c:ser>
        <c:ser>
          <c:idx val="2"/>
          <c:order val="2"/>
          <c:tx>
            <c:strRef>
              <c:f>'Premier Long Range Speer PHP'!$K$222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'Premier Long Range Speer PHP'!$K$224:$K$244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5.4</c:v>
                </c:pt>
                <c:pt idx="2">
                  <c:v>14.1</c:v>
                </c:pt>
                <c:pt idx="3">
                  <c:v>21.8</c:v>
                </c:pt>
                <c:pt idx="4">
                  <c:v>28.6</c:v>
                </c:pt>
                <c:pt idx="5">
                  <c:v>34.799999999999997</c:v>
                </c:pt>
                <c:pt idx="6">
                  <c:v>40</c:v>
                </c:pt>
                <c:pt idx="7">
                  <c:v>44.2</c:v>
                </c:pt>
                <c:pt idx="8">
                  <c:v>47.6</c:v>
                </c:pt>
                <c:pt idx="9">
                  <c:v>50</c:v>
                </c:pt>
                <c:pt idx="10">
                  <c:v>51.3</c:v>
                </c:pt>
                <c:pt idx="11">
                  <c:v>51.7</c:v>
                </c:pt>
                <c:pt idx="12">
                  <c:v>50.9</c:v>
                </c:pt>
                <c:pt idx="13">
                  <c:v>49.1</c:v>
                </c:pt>
                <c:pt idx="14">
                  <c:v>45.9</c:v>
                </c:pt>
                <c:pt idx="15">
                  <c:v>41.7</c:v>
                </c:pt>
                <c:pt idx="16">
                  <c:v>36.200000000000003</c:v>
                </c:pt>
                <c:pt idx="17">
                  <c:v>29.1</c:v>
                </c:pt>
                <c:pt idx="18">
                  <c:v>21</c:v>
                </c:pt>
                <c:pt idx="19">
                  <c:v>11.4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ABC-4EF2-A689-47942D9F1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PHP'!$B$22:$B$35</c:f>
              <c:numCache>
                <c:formatCode>0.00</c:formatCode>
                <c:ptCount val="14"/>
                <c:pt idx="0">
                  <c:v>4453.2</c:v>
                </c:pt>
                <c:pt idx="1">
                  <c:v>4355.3999999999996</c:v>
                </c:pt>
                <c:pt idx="2">
                  <c:v>4231.3</c:v>
                </c:pt>
                <c:pt idx="3">
                  <c:v>4110.6000000000004</c:v>
                </c:pt>
                <c:pt idx="4">
                  <c:v>4013.3</c:v>
                </c:pt>
                <c:pt idx="5">
                  <c:v>3899.7</c:v>
                </c:pt>
                <c:pt idx="6">
                  <c:v>3790.5</c:v>
                </c:pt>
                <c:pt idx="7">
                  <c:v>3566.3</c:v>
                </c:pt>
                <c:pt idx="8">
                  <c:v>3375.2</c:v>
                </c:pt>
                <c:pt idx="9">
                  <c:v>3183.6</c:v>
                </c:pt>
                <c:pt idx="10">
                  <c:v>3005</c:v>
                </c:pt>
                <c:pt idx="11">
                  <c:v>2826.5</c:v>
                </c:pt>
                <c:pt idx="12">
                  <c:v>2660.8</c:v>
                </c:pt>
                <c:pt idx="13">
                  <c:v>2498.8000000000002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01-4FD8-812D-C214BC6CCD85}"/>
            </c:ext>
          </c:extLst>
        </c:ser>
        <c:ser>
          <c:idx val="1"/>
          <c:order val="1"/>
          <c:tx>
            <c:strRef>
              <c:f>'Terminal Ascent PHP'!$A$78</c:f>
              <c:strCache>
                <c:ptCount val="1"/>
                <c:pt idx="0">
                  <c:v>50m zero (Hornady 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PHP'!$C$80:$C$100</c:f>
              <c:numCache>
                <c:formatCode>0.00</c:formatCode>
                <c:ptCount val="21"/>
                <c:pt idx="0">
                  <c:v>4454</c:v>
                </c:pt>
                <c:pt idx="1">
                  <c:v>4331</c:v>
                </c:pt>
                <c:pt idx="2">
                  <c:v>4213</c:v>
                </c:pt>
                <c:pt idx="3">
                  <c:v>4096</c:v>
                </c:pt>
                <c:pt idx="4">
                  <c:v>3983</c:v>
                </c:pt>
                <c:pt idx="5">
                  <c:v>3872</c:v>
                </c:pt>
                <c:pt idx="6">
                  <c:v>3764</c:v>
                </c:pt>
                <c:pt idx="7">
                  <c:v>3658</c:v>
                </c:pt>
                <c:pt idx="8">
                  <c:v>3555</c:v>
                </c:pt>
                <c:pt idx="9">
                  <c:v>3454</c:v>
                </c:pt>
                <c:pt idx="10">
                  <c:v>3355</c:v>
                </c:pt>
                <c:pt idx="11">
                  <c:v>3258</c:v>
                </c:pt>
                <c:pt idx="12">
                  <c:v>3164</c:v>
                </c:pt>
                <c:pt idx="13">
                  <c:v>3071</c:v>
                </c:pt>
                <c:pt idx="14">
                  <c:v>2981</c:v>
                </c:pt>
                <c:pt idx="15">
                  <c:v>2893</c:v>
                </c:pt>
                <c:pt idx="16">
                  <c:v>2807</c:v>
                </c:pt>
                <c:pt idx="17">
                  <c:v>2723</c:v>
                </c:pt>
                <c:pt idx="18">
                  <c:v>2641</c:v>
                </c:pt>
                <c:pt idx="19">
                  <c:v>2561</c:v>
                </c:pt>
                <c:pt idx="20">
                  <c:v>2485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01-4FD8-812D-C214BC6CCD85}"/>
            </c:ext>
          </c:extLst>
        </c:ser>
        <c:ser>
          <c:idx val="2"/>
          <c:order val="2"/>
          <c:tx>
            <c:strRef>
              <c:f>'Terminal Ascent PHP'!$K$78</c:f>
              <c:strCache>
                <c:ptCount val="1"/>
                <c:pt idx="0">
                  <c:v>50m Zero(Federal G1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PHP'!$S$80:$S$100</c:f>
              <c:numCache>
                <c:formatCode>0.00</c:formatCode>
                <c:ptCount val="21"/>
                <c:pt idx="0">
                  <c:v>4454</c:v>
                </c:pt>
                <c:pt idx="1">
                  <c:v>4333</c:v>
                </c:pt>
                <c:pt idx="2">
                  <c:v>4213</c:v>
                </c:pt>
                <c:pt idx="3">
                  <c:v>4097</c:v>
                </c:pt>
                <c:pt idx="4">
                  <c:v>3986</c:v>
                </c:pt>
                <c:pt idx="5">
                  <c:v>3872</c:v>
                </c:pt>
                <c:pt idx="6">
                  <c:v>3765</c:v>
                </c:pt>
                <c:pt idx="7">
                  <c:v>3661</c:v>
                </c:pt>
                <c:pt idx="8">
                  <c:v>3555</c:v>
                </c:pt>
                <c:pt idx="9">
                  <c:v>3455</c:v>
                </c:pt>
                <c:pt idx="10">
                  <c:v>3357</c:v>
                </c:pt>
                <c:pt idx="11">
                  <c:v>3259</c:v>
                </c:pt>
                <c:pt idx="12">
                  <c:v>3166</c:v>
                </c:pt>
                <c:pt idx="13">
                  <c:v>3075</c:v>
                </c:pt>
                <c:pt idx="14">
                  <c:v>2981</c:v>
                </c:pt>
                <c:pt idx="15">
                  <c:v>2895</c:v>
                </c:pt>
                <c:pt idx="16">
                  <c:v>2811</c:v>
                </c:pt>
                <c:pt idx="17">
                  <c:v>2724</c:v>
                </c:pt>
                <c:pt idx="18">
                  <c:v>2644</c:v>
                </c:pt>
                <c:pt idx="19">
                  <c:v>2564</c:v>
                </c:pt>
                <c:pt idx="20">
                  <c:v>2484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01-4FD8-812D-C214BC6CC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06427995312136"/>
          <c:y val="0.74434101767042538"/>
          <c:w val="0.17814454856979889"/>
          <c:h val="0.170584928791215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788095924507263E-2"/>
          <c:y val="8.6322263222632228E-2"/>
          <c:w val="0.81649571378932073"/>
          <c:h val="0.88169741697416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-3.9453157752419359</c:v>
                </c:pt>
                <c:pt idx="2">
                  <c:v>0</c:v>
                </c:pt>
                <c:pt idx="3">
                  <c:v>3.1436251840977376</c:v>
                </c:pt>
                <c:pt idx="4">
                  <c:v>4.1915002454636499</c:v>
                </c:pt>
                <c:pt idx="5">
                  <c:v>6.3125005366151603</c:v>
                </c:pt>
                <c:pt idx="6">
                  <c:v>0</c:v>
                </c:pt>
                <c:pt idx="7">
                  <c:v>0</c:v>
                </c:pt>
                <c:pt idx="8">
                  <c:v>-12.625001073230321</c:v>
                </c:pt>
                <c:pt idx="9">
                  <c:v>-25.300505998237693</c:v>
                </c:pt>
                <c:pt idx="10">
                  <c:v>-44.187523476925776</c:v>
                </c:pt>
                <c:pt idx="11">
                  <c:v>-75.750090553928729</c:v>
                </c:pt>
                <c:pt idx="12">
                  <c:v>-113.62524147741269</c:v>
                </c:pt>
                <c:pt idx="13">
                  <c:v>-157.81302404027585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5A-44D4-AB6D-69B00D6380DC}"/>
            </c:ext>
          </c:extLst>
        </c:ser>
        <c:ser>
          <c:idx val="1"/>
          <c:order val="1"/>
          <c:tx>
            <c:strRef>
              <c:f>'Terminal Ascent PHP'!$K$21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-4.2187540045211627</c:v>
                </c:pt>
                <c:pt idx="2">
                  <c:v>-1.8675000868401557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-3.3750000569531267</c:v>
                </c:pt>
                <c:pt idx="7">
                  <c:v>-7.4700003473606227</c:v>
                </c:pt>
                <c:pt idx="8">
                  <c:v>-14.625001668347103</c:v>
                </c:pt>
                <c:pt idx="9">
                  <c:v>-33.750014238288458</c:v>
                </c:pt>
                <c:pt idx="10">
                  <c:v>-52.447539257028353</c:v>
                </c:pt>
                <c:pt idx="11">
                  <c:v>-75.060088101855399</c:v>
                </c:pt>
                <c:pt idx="12">
                  <c:v>-103.27518131771762</c:v>
                </c:pt>
                <c:pt idx="13">
                  <c:v>-146.25041708814612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5A-44D4-AB6D-69B00D6380DC}"/>
            </c:ext>
          </c:extLst>
        </c:ser>
        <c:ser>
          <c:idx val="2"/>
          <c:order val="2"/>
          <c:tx>
            <c:strRef>
              <c:f>'Terminal Ascent PHP'!$L$21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-3.3600000316108809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-66.720061876730625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5A-44D4-AB6D-69B00D6380DC}"/>
            </c:ext>
          </c:extLst>
        </c:ser>
        <c:ser>
          <c:idx val="3"/>
          <c:order val="3"/>
          <c:tx>
            <c:strRef>
              <c:f>'Terminal Ascent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-2.3437506866457491</c:v>
                </c:pt>
                <c:pt idx="2">
                  <c:v>0</c:v>
                </c:pt>
                <c:pt idx="3">
                  <c:v>2.334375075382078</c:v>
                </c:pt>
                <c:pt idx="4">
                  <c:v>3.7500001757812602</c:v>
                </c:pt>
                <c:pt idx="5">
                  <c:v>4.6875002197265747</c:v>
                </c:pt>
                <c:pt idx="6">
                  <c:v>5.6250002636718905</c:v>
                </c:pt>
                <c:pt idx="7">
                  <c:v>0</c:v>
                </c:pt>
                <c:pt idx="8">
                  <c:v>-5.8593751072883631</c:v>
                </c:pt>
                <c:pt idx="9">
                  <c:v>-18.78750245608439</c:v>
                </c:pt>
                <c:pt idx="10">
                  <c:v>-32.812509613040483</c:v>
                </c:pt>
                <c:pt idx="11">
                  <c:v>-56.250037078886749</c:v>
                </c:pt>
                <c:pt idx="12">
                  <c:v>-84.375098877092171</c:v>
                </c:pt>
                <c:pt idx="13">
                  <c:v>-117.18771457719266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5A-44D4-AB6D-69B00D6380DC}"/>
            </c:ext>
          </c:extLst>
        </c:ser>
        <c:ser>
          <c:idx val="4"/>
          <c:order val="4"/>
          <c:tx>
            <c:strRef>
              <c:f>'Terminal Ascent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7.500002500001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10.000000833333415</c:v>
                </c:pt>
                <c:pt idx="8">
                  <c:v>8.3000003049530804</c:v>
                </c:pt>
                <c:pt idx="9">
                  <c:v>0</c:v>
                </c:pt>
                <c:pt idx="10">
                  <c:v>-14.000000746666712</c:v>
                </c:pt>
                <c:pt idx="11">
                  <c:v>-30.000005625001268</c:v>
                </c:pt>
                <c:pt idx="12">
                  <c:v>-56.25002929689331</c:v>
                </c:pt>
                <c:pt idx="13">
                  <c:v>-83.400077345913274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5A-44D4-AB6D-69B00D6380DC}"/>
            </c:ext>
          </c:extLst>
        </c:ser>
        <c:ser>
          <c:idx val="5"/>
          <c:order val="5"/>
          <c:tx>
            <c:strRef>
              <c:f>'Terminal Ascent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0.72625002042947373</c:v>
                </c:pt>
                <c:pt idx="2">
                  <c:v>6.5625037683131442</c:v>
                </c:pt>
                <c:pt idx="3">
                  <c:v>10.94625777235586</c:v>
                </c:pt>
                <c:pt idx="4">
                  <c:v>15.750013023294173</c:v>
                </c:pt>
                <c:pt idx="5">
                  <c:v>19.687516279117716</c:v>
                </c:pt>
                <c:pt idx="6">
                  <c:v>23.625019534941259</c:v>
                </c:pt>
                <c:pt idx="7">
                  <c:v>26.250015073252577</c:v>
                </c:pt>
                <c:pt idx="8">
                  <c:v>29.137513193372477</c:v>
                </c:pt>
                <c:pt idx="9">
                  <c:v>17.535001996887537</c:v>
                </c:pt>
                <c:pt idx="10">
                  <c:v>7.6562501221211763</c:v>
                </c:pt>
                <c:pt idx="11">
                  <c:v>0</c:v>
                </c:pt>
                <c:pt idx="12">
                  <c:v>-9.8437501570129413</c:v>
                </c:pt>
                <c:pt idx="13">
                  <c:v>-43.750011165368008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5A-44D4-AB6D-69B00D6380DC}"/>
            </c:ext>
          </c:extLst>
        </c:ser>
        <c:ser>
          <c:idx val="6"/>
          <c:order val="6"/>
          <c:tx>
            <c:strRef>
              <c:f>'Terminal Ascent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3.125001627605184</c:v>
                </c:pt>
                <c:pt idx="2">
                  <c:v>12.000023040053083</c:v>
                </c:pt>
                <c:pt idx="3">
                  <c:v>19.500043940118815</c:v>
                </c:pt>
                <c:pt idx="4">
                  <c:v>26.000058586825087</c:v>
                </c:pt>
                <c:pt idx="5">
                  <c:v>32.50007323353136</c:v>
                </c:pt>
                <c:pt idx="6">
                  <c:v>37.500078125195316</c:v>
                </c:pt>
                <c:pt idx="7">
                  <c:v>48.000092160212333</c:v>
                </c:pt>
                <c:pt idx="8">
                  <c:v>50.000066666773321</c:v>
                </c:pt>
                <c:pt idx="9">
                  <c:v>50.040046407547969</c:v>
                </c:pt>
                <c:pt idx="10">
                  <c:v>46.620027571460533</c:v>
                </c:pt>
                <c:pt idx="11">
                  <c:v>40.000013333338671</c:v>
                </c:pt>
                <c:pt idx="12">
                  <c:v>14.940000548915544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5A-44D4-AB6D-69B00D638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PHP'!$C$23:$C$35</c:f>
              <c:numCache>
                <c:formatCode>0.000</c:formatCode>
                <c:ptCount val="13"/>
                <c:pt idx="0">
                  <c:v>-0.3125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-0.1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F6-4F7D-B5D1-A2997788751B}"/>
            </c:ext>
          </c:extLst>
        </c:ser>
        <c:ser>
          <c:idx val="1"/>
          <c:order val="1"/>
          <c:tx>
            <c:strRef>
              <c:f>'Terminal Ascent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-0.05</c:v>
                </c:pt>
                <c:pt idx="6">
                  <c:v>-8.3000000000000004E-2</c:v>
                </c:pt>
                <c:pt idx="7">
                  <c:v>-0.13</c:v>
                </c:pt>
                <c:pt idx="8">
                  <c:v>-0.25</c:v>
                </c:pt>
                <c:pt idx="9">
                  <c:v>-0.33300000000000002</c:v>
                </c:pt>
                <c:pt idx="10">
                  <c:v>-0.41699999999999998</c:v>
                </c:pt>
                <c:pt idx="11">
                  <c:v>-0.51</c:v>
                </c:pt>
                <c:pt idx="12">
                  <c:v>-0.65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F6-4F7D-B5D1-A2997788751B}"/>
            </c:ext>
          </c:extLst>
        </c:ser>
        <c:ser>
          <c:idx val="2"/>
          <c:order val="2"/>
          <c:tx>
            <c:strRef>
              <c:f>'Terminal Ascent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PHP'!$E$23:$E$35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-4.2000000000000003E-2</c:v>
                </c:pt>
                <c:pt idx="7">
                  <c:v>-0.125</c:v>
                </c:pt>
                <c:pt idx="8">
                  <c:v>-0.25</c:v>
                </c:pt>
                <c:pt idx="9">
                  <c:v>-0.33300000000000002</c:v>
                </c:pt>
                <c:pt idx="10">
                  <c:v>-0.41699999999999998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F6-4F7D-B5D1-A2997788751B}"/>
            </c:ext>
          </c:extLst>
        </c:ser>
        <c:ser>
          <c:idx val="3"/>
          <c:order val="3"/>
          <c:tx>
            <c:strRef>
              <c:f>'Terminal Ascent PHP'!$F$21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PHP'!$F$23:$F$35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</c:v>
                </c:pt>
                <c:pt idx="7">
                  <c:v>-6.25E-2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AF6-4F7D-B5D1-A2997788751B}"/>
            </c:ext>
          </c:extLst>
        </c:ser>
        <c:ser>
          <c:idx val="4"/>
          <c:order val="4"/>
          <c:tx>
            <c:strRef>
              <c:f>'Terminal Ascent PHP'!$G$21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PHP'!$G$23:$G$35</c:f>
              <c:numCache>
                <c:formatCode>0.000</c:formatCode>
                <c:ptCount val="13"/>
                <c:pt idx="0">
                  <c:v>-0.125</c:v>
                </c:pt>
                <c:pt idx="1">
                  <c:v>0.16700000000000001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0.125</c:v>
                </c:pt>
                <c:pt idx="7">
                  <c:v>8.3000000000000004E-2</c:v>
                </c:pt>
                <c:pt idx="8">
                  <c:v>0</c:v>
                </c:pt>
                <c:pt idx="9">
                  <c:v>-0.1</c:v>
                </c:pt>
                <c:pt idx="10">
                  <c:v>-0.1875</c:v>
                </c:pt>
                <c:pt idx="11">
                  <c:v>-0.3125</c:v>
                </c:pt>
                <c:pt idx="12">
                  <c:v>-0.41699999999999998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AF6-4F7D-B5D1-A2997788751B}"/>
            </c:ext>
          </c:extLst>
        </c:ser>
        <c:ser>
          <c:idx val="5"/>
          <c:order val="5"/>
          <c:tx>
            <c:strRef>
              <c:f>'Terminal Ascent PHP'!$H$21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PHP'!$H$23:$H$35</c:f>
              <c:numCache>
                <c:formatCode>0.000</c:formatCode>
                <c:ptCount val="13"/>
                <c:pt idx="0">
                  <c:v>8.3000000000000004E-2</c:v>
                </c:pt>
                <c:pt idx="1">
                  <c:v>0.375</c:v>
                </c:pt>
                <c:pt idx="2">
                  <c:v>0.41699999999999998</c:v>
                </c:pt>
                <c:pt idx="3">
                  <c:v>0.45</c:v>
                </c:pt>
                <c:pt idx="4">
                  <c:v>0.45</c:v>
                </c:pt>
                <c:pt idx="5">
                  <c:v>0.45</c:v>
                </c:pt>
                <c:pt idx="6">
                  <c:v>0.375</c:v>
                </c:pt>
                <c:pt idx="7">
                  <c:v>0.33300000000000002</c:v>
                </c:pt>
                <c:pt idx="8">
                  <c:v>0.16700000000000001</c:v>
                </c:pt>
                <c:pt idx="9">
                  <c:v>6.25E-2</c:v>
                </c:pt>
                <c:pt idx="10">
                  <c:v>0</c:v>
                </c:pt>
                <c:pt idx="11">
                  <c:v>-6.25E-2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AF6-4F7D-B5D1-A2997788751B}"/>
            </c:ext>
          </c:extLst>
        </c:ser>
        <c:ser>
          <c:idx val="6"/>
          <c:order val="6"/>
          <c:tx>
            <c:strRef>
              <c:f>'Terminal Ascent PHP'!$I$21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PHP'!$I$23:$I$35</c:f>
              <c:numCache>
                <c:formatCode>0.000</c:formatCode>
                <c:ptCount val="13"/>
                <c:pt idx="0">
                  <c:v>0.3125</c:v>
                </c:pt>
                <c:pt idx="1">
                  <c:v>0.6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0.625</c:v>
                </c:pt>
                <c:pt idx="6">
                  <c:v>0.6</c:v>
                </c:pt>
                <c:pt idx="7">
                  <c:v>0.5</c:v>
                </c:pt>
                <c:pt idx="8">
                  <c:v>0.41699999999999998</c:v>
                </c:pt>
                <c:pt idx="9">
                  <c:v>0.33300000000000002</c:v>
                </c:pt>
                <c:pt idx="10">
                  <c:v>0.25</c:v>
                </c:pt>
                <c:pt idx="11">
                  <c:v>8.3000000000000004E-2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AF6-4F7D-B5D1-A299778875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'Terminal Ascent PHP'!$A$78</c:f>
              <c:strCache>
                <c:ptCount val="1"/>
                <c:pt idx="0">
                  <c:v>50m zero (Hornady 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0.7</c:v>
                </c:pt>
                <c:pt idx="4">
                  <c:v>0.6</c:v>
                </c:pt>
                <c:pt idx="5">
                  <c:v>-0.5</c:v>
                </c:pt>
                <c:pt idx="6">
                  <c:v>-2.2999999999999998</c:v>
                </c:pt>
                <c:pt idx="7">
                  <c:v>-5.0999999999999996</c:v>
                </c:pt>
                <c:pt idx="8">
                  <c:v>-8.9</c:v>
                </c:pt>
                <c:pt idx="9">
                  <c:v>-13.5</c:v>
                </c:pt>
                <c:pt idx="10">
                  <c:v>-19.2</c:v>
                </c:pt>
                <c:pt idx="11">
                  <c:v>-26.1</c:v>
                </c:pt>
                <c:pt idx="12">
                  <c:v>-33.799999999999997</c:v>
                </c:pt>
                <c:pt idx="13">
                  <c:v>-42.6</c:v>
                </c:pt>
                <c:pt idx="14">
                  <c:v>-52.9</c:v>
                </c:pt>
                <c:pt idx="15">
                  <c:v>-64</c:v>
                </c:pt>
                <c:pt idx="16">
                  <c:v>-76.2</c:v>
                </c:pt>
                <c:pt idx="17">
                  <c:v>-90.3</c:v>
                </c:pt>
                <c:pt idx="18">
                  <c:v>-105.1</c:v>
                </c:pt>
                <c:pt idx="19">
                  <c:v>-121.3</c:v>
                </c:pt>
                <c:pt idx="20">
                  <c:v>-138.80000000000001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E-4CA8-ABC4-F4F41297A0CE}"/>
            </c:ext>
          </c:extLst>
        </c:ser>
        <c:ser>
          <c:idx val="2"/>
          <c:order val="1"/>
          <c:tx>
            <c:strRef>
              <c:f>'Terminal Ascent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-3.9453157752419359</c:v>
                </c:pt>
                <c:pt idx="2">
                  <c:v>0</c:v>
                </c:pt>
                <c:pt idx="3">
                  <c:v>3.1436251840977376</c:v>
                </c:pt>
                <c:pt idx="4">
                  <c:v>4.1915002454636499</c:v>
                </c:pt>
                <c:pt idx="5">
                  <c:v>6.3125005366151603</c:v>
                </c:pt>
                <c:pt idx="6">
                  <c:v>0</c:v>
                </c:pt>
                <c:pt idx="7">
                  <c:v>0</c:v>
                </c:pt>
                <c:pt idx="8">
                  <c:v>-12.625001073230321</c:v>
                </c:pt>
                <c:pt idx="9">
                  <c:v>-25.300505998237693</c:v>
                </c:pt>
                <c:pt idx="10">
                  <c:v>-44.187523476925776</c:v>
                </c:pt>
                <c:pt idx="11">
                  <c:v>-75.750090553928729</c:v>
                </c:pt>
                <c:pt idx="12">
                  <c:v>-113.62524147741269</c:v>
                </c:pt>
                <c:pt idx="13">
                  <c:v>-157.81302404027585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E-4CA8-ABC4-F4F41297A0CE}"/>
            </c:ext>
          </c:extLst>
        </c:ser>
        <c:ser>
          <c:idx val="0"/>
          <c:order val="2"/>
          <c:tx>
            <c:strRef>
              <c:f>'Terminal Ascent PHP'!$K$78</c:f>
              <c:strCache>
                <c:ptCount val="1"/>
                <c:pt idx="0">
                  <c:v>50m Zero(Federal G1 BC)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'Terminal Ascent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PHP'!$L$80:$L$100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0.7</c:v>
                </c:pt>
                <c:pt idx="4">
                  <c:v>0.6</c:v>
                </c:pt>
                <c:pt idx="5">
                  <c:v>-0.4</c:v>
                </c:pt>
                <c:pt idx="6">
                  <c:v>-2.2999999999999998</c:v>
                </c:pt>
                <c:pt idx="7">
                  <c:v>-5</c:v>
                </c:pt>
                <c:pt idx="8">
                  <c:v>-8.8000000000000007</c:v>
                </c:pt>
                <c:pt idx="9">
                  <c:v>-13.3</c:v>
                </c:pt>
                <c:pt idx="10">
                  <c:v>-18.8</c:v>
                </c:pt>
                <c:pt idx="11">
                  <c:v>-25.5</c:v>
                </c:pt>
                <c:pt idx="12">
                  <c:v>-33.1</c:v>
                </c:pt>
                <c:pt idx="13">
                  <c:v>-41.6</c:v>
                </c:pt>
                <c:pt idx="14">
                  <c:v>-51.5</c:v>
                </c:pt>
                <c:pt idx="15">
                  <c:v>-62.3</c:v>
                </c:pt>
                <c:pt idx="16">
                  <c:v>-74.2</c:v>
                </c:pt>
                <c:pt idx="17">
                  <c:v>-87.9</c:v>
                </c:pt>
                <c:pt idx="18">
                  <c:v>-102.3</c:v>
                </c:pt>
                <c:pt idx="19">
                  <c:v>-118</c:v>
                </c:pt>
                <c:pt idx="20">
                  <c:v>-135.6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E-4CA8-ABC4-F4F41297A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-4.2187540045211627</c:v>
                </c:pt>
                <c:pt idx="2">
                  <c:v>-1.8675000868401557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-3.3750000569531267</c:v>
                </c:pt>
                <c:pt idx="7">
                  <c:v>-7.4700003473606227</c:v>
                </c:pt>
                <c:pt idx="8">
                  <c:v>-14.625001668347103</c:v>
                </c:pt>
                <c:pt idx="9">
                  <c:v>-33.750014238288458</c:v>
                </c:pt>
                <c:pt idx="10">
                  <c:v>-52.447539257028353</c:v>
                </c:pt>
                <c:pt idx="11">
                  <c:v>-75.060088101855399</c:v>
                </c:pt>
                <c:pt idx="12">
                  <c:v>-103.27518131771762</c:v>
                </c:pt>
                <c:pt idx="13">
                  <c:v>-146.25041708814612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89-4E98-A835-52037A7F254D}"/>
            </c:ext>
          </c:extLst>
        </c:ser>
        <c:ser>
          <c:idx val="1"/>
          <c:order val="1"/>
          <c:tx>
            <c:strRef>
              <c:f>'Terminal Ascent PHP'!$A$102</c:f>
              <c:strCache>
                <c:ptCount val="1"/>
                <c:pt idx="0">
                  <c:v>100m zero(Hornady 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-1.7</c:v>
                </c:pt>
                <c:pt idx="2">
                  <c:v>-0.3</c:v>
                </c:pt>
                <c:pt idx="3">
                  <c:v>0.3</c:v>
                </c:pt>
                <c:pt idx="4">
                  <c:v>0</c:v>
                </c:pt>
                <c:pt idx="5">
                  <c:v>-1.2</c:v>
                </c:pt>
                <c:pt idx="6">
                  <c:v>-3.2</c:v>
                </c:pt>
                <c:pt idx="7">
                  <c:v>-6</c:v>
                </c:pt>
                <c:pt idx="8">
                  <c:v>-10</c:v>
                </c:pt>
                <c:pt idx="9">
                  <c:v>-14.8</c:v>
                </c:pt>
                <c:pt idx="10">
                  <c:v>-20.6</c:v>
                </c:pt>
                <c:pt idx="11">
                  <c:v>-27.6</c:v>
                </c:pt>
                <c:pt idx="12">
                  <c:v>-35.5</c:v>
                </c:pt>
                <c:pt idx="13">
                  <c:v>-44.4</c:v>
                </c:pt>
                <c:pt idx="14">
                  <c:v>-54.8</c:v>
                </c:pt>
                <c:pt idx="15">
                  <c:v>-66.099999999999994</c:v>
                </c:pt>
                <c:pt idx="16">
                  <c:v>-78.5</c:v>
                </c:pt>
                <c:pt idx="17">
                  <c:v>-92.7</c:v>
                </c:pt>
                <c:pt idx="18">
                  <c:v>-107.6</c:v>
                </c:pt>
                <c:pt idx="19">
                  <c:v>-123.9</c:v>
                </c:pt>
                <c:pt idx="20">
                  <c:v>-141.5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89-4E98-A835-52037A7F254D}"/>
            </c:ext>
          </c:extLst>
        </c:ser>
        <c:ser>
          <c:idx val="2"/>
          <c:order val="2"/>
          <c:tx>
            <c:strRef>
              <c:f>'Terminal Ascent PHP'!$K$102</c:f>
              <c:strCache>
                <c:ptCount val="1"/>
                <c:pt idx="0">
                  <c:v>100m Zero(Federal G1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PHP'!$L$104:$L$124</c:f>
              <c:numCache>
                <c:formatCode>0.00</c:formatCode>
                <c:ptCount val="21"/>
                <c:pt idx="0">
                  <c:v>-3.8</c:v>
                </c:pt>
                <c:pt idx="1">
                  <c:v>-1.7</c:v>
                </c:pt>
                <c:pt idx="2">
                  <c:v>-0.3</c:v>
                </c:pt>
                <c:pt idx="3">
                  <c:v>0.3</c:v>
                </c:pt>
                <c:pt idx="4">
                  <c:v>0</c:v>
                </c:pt>
                <c:pt idx="5">
                  <c:v>-1.2</c:v>
                </c:pt>
                <c:pt idx="6">
                  <c:v>-3.1</c:v>
                </c:pt>
                <c:pt idx="7">
                  <c:v>-6</c:v>
                </c:pt>
                <c:pt idx="8">
                  <c:v>-9.9</c:v>
                </c:pt>
                <c:pt idx="9">
                  <c:v>-14.6</c:v>
                </c:pt>
                <c:pt idx="10">
                  <c:v>-20.3</c:v>
                </c:pt>
                <c:pt idx="11">
                  <c:v>-27.1</c:v>
                </c:pt>
                <c:pt idx="12">
                  <c:v>-34.9</c:v>
                </c:pt>
                <c:pt idx="13">
                  <c:v>-43.4</c:v>
                </c:pt>
                <c:pt idx="14">
                  <c:v>-53.5</c:v>
                </c:pt>
                <c:pt idx="15">
                  <c:v>-64.400000000000006</c:v>
                </c:pt>
                <c:pt idx="16">
                  <c:v>-76.5</c:v>
                </c:pt>
                <c:pt idx="17">
                  <c:v>-90.3</c:v>
                </c:pt>
                <c:pt idx="18">
                  <c:v>-104.9</c:v>
                </c:pt>
                <c:pt idx="19">
                  <c:v>-120.7</c:v>
                </c:pt>
                <c:pt idx="20">
                  <c:v>-138.5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289-4E98-A835-52037A7F2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-3.3600000316108809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-66.720061876730625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36-4C93-BEFF-242CEF60E425}"/>
            </c:ext>
          </c:extLst>
        </c:ser>
        <c:ser>
          <c:idx val="1"/>
          <c:order val="1"/>
          <c:tx>
            <c:strRef>
              <c:f>'Terminal Ascent PHP'!$A$126</c:f>
              <c:strCache>
                <c:ptCount val="1"/>
                <c:pt idx="0">
                  <c:v>150m zero(Hornady 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-1.1000000000000001</c:v>
                </c:pt>
                <c:pt idx="2">
                  <c:v>0.8</c:v>
                </c:pt>
                <c:pt idx="3">
                  <c:v>1.9</c:v>
                </c:pt>
                <c:pt idx="4">
                  <c:v>2.1</c:v>
                </c:pt>
                <c:pt idx="5">
                  <c:v>1.5</c:v>
                </c:pt>
                <c:pt idx="6">
                  <c:v>0</c:v>
                </c:pt>
                <c:pt idx="7">
                  <c:v>-2.2999999999999998</c:v>
                </c:pt>
                <c:pt idx="8">
                  <c:v>-5.8</c:v>
                </c:pt>
                <c:pt idx="9">
                  <c:v>-10</c:v>
                </c:pt>
                <c:pt idx="10">
                  <c:v>-15.3</c:v>
                </c:pt>
                <c:pt idx="11">
                  <c:v>-21.8</c:v>
                </c:pt>
                <c:pt idx="12">
                  <c:v>-29.1</c:v>
                </c:pt>
                <c:pt idx="13">
                  <c:v>-37.5</c:v>
                </c:pt>
                <c:pt idx="14">
                  <c:v>-47.4</c:v>
                </c:pt>
                <c:pt idx="15">
                  <c:v>-58.1</c:v>
                </c:pt>
                <c:pt idx="16">
                  <c:v>-70</c:v>
                </c:pt>
                <c:pt idx="17">
                  <c:v>-83.6</c:v>
                </c:pt>
                <c:pt idx="18">
                  <c:v>-98.1</c:v>
                </c:pt>
                <c:pt idx="19">
                  <c:v>-113.8</c:v>
                </c:pt>
                <c:pt idx="20">
                  <c:v>-130.9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36-4C93-BEFF-242CEF60E425}"/>
            </c:ext>
          </c:extLst>
        </c:ser>
        <c:ser>
          <c:idx val="2"/>
          <c:order val="2"/>
          <c:tx>
            <c:strRef>
              <c:f>'Terminal Ascent PHP'!$K$126</c:f>
              <c:strCache>
                <c:ptCount val="1"/>
                <c:pt idx="0">
                  <c:v>150m Zero(Federal G1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PHP'!$L$128:$L$148</c:f>
              <c:numCache>
                <c:formatCode>0.00</c:formatCode>
                <c:ptCount val="21"/>
                <c:pt idx="0">
                  <c:v>-3.8</c:v>
                </c:pt>
                <c:pt idx="1">
                  <c:v>-1.2</c:v>
                </c:pt>
                <c:pt idx="2">
                  <c:v>0.8</c:v>
                </c:pt>
                <c:pt idx="3">
                  <c:v>1.8</c:v>
                </c:pt>
                <c:pt idx="4">
                  <c:v>2.1</c:v>
                </c:pt>
                <c:pt idx="5">
                  <c:v>1.5</c:v>
                </c:pt>
                <c:pt idx="6">
                  <c:v>0</c:v>
                </c:pt>
                <c:pt idx="7">
                  <c:v>-2.2999999999999998</c:v>
                </c:pt>
                <c:pt idx="8">
                  <c:v>-5.7</c:v>
                </c:pt>
                <c:pt idx="9">
                  <c:v>-9.9</c:v>
                </c:pt>
                <c:pt idx="10">
                  <c:v>-15</c:v>
                </c:pt>
                <c:pt idx="11">
                  <c:v>-21.4</c:v>
                </c:pt>
                <c:pt idx="12">
                  <c:v>-28.6</c:v>
                </c:pt>
                <c:pt idx="13">
                  <c:v>-36.700000000000003</c:v>
                </c:pt>
                <c:pt idx="14">
                  <c:v>-46.2</c:v>
                </c:pt>
                <c:pt idx="15">
                  <c:v>-56.6</c:v>
                </c:pt>
                <c:pt idx="16">
                  <c:v>-68.099999999999994</c:v>
                </c:pt>
                <c:pt idx="17">
                  <c:v>-81.400000000000006</c:v>
                </c:pt>
                <c:pt idx="18">
                  <c:v>-95.4</c:v>
                </c:pt>
                <c:pt idx="19">
                  <c:v>-110.8</c:v>
                </c:pt>
                <c:pt idx="20">
                  <c:v>-128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36-4C93-BEFF-242CEF60E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-2.3437506866457491</c:v>
                </c:pt>
                <c:pt idx="2">
                  <c:v>0</c:v>
                </c:pt>
                <c:pt idx="3">
                  <c:v>2.334375075382078</c:v>
                </c:pt>
                <c:pt idx="4">
                  <c:v>3.7500001757812602</c:v>
                </c:pt>
                <c:pt idx="5">
                  <c:v>4.6875002197265747</c:v>
                </c:pt>
                <c:pt idx="6">
                  <c:v>5.6250002636718905</c:v>
                </c:pt>
                <c:pt idx="7">
                  <c:v>0</c:v>
                </c:pt>
                <c:pt idx="8">
                  <c:v>-5.8593751072883631</c:v>
                </c:pt>
                <c:pt idx="9">
                  <c:v>-18.78750245608439</c:v>
                </c:pt>
                <c:pt idx="10">
                  <c:v>-32.812509613040483</c:v>
                </c:pt>
                <c:pt idx="11">
                  <c:v>-56.250037078886749</c:v>
                </c:pt>
                <c:pt idx="12">
                  <c:v>-84.375098877092171</c:v>
                </c:pt>
                <c:pt idx="13">
                  <c:v>-117.18771457719266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85-47A8-927B-5D2ED22949A4}"/>
            </c:ext>
          </c:extLst>
        </c:ser>
        <c:ser>
          <c:idx val="1"/>
          <c:order val="1"/>
          <c:tx>
            <c:strRef>
              <c:f>'Terminal Ascent PHP'!$A$150</c:f>
              <c:strCache>
                <c:ptCount val="1"/>
                <c:pt idx="0">
                  <c:v>200m zero(Hornady 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-0.4</c:v>
                </c:pt>
                <c:pt idx="2">
                  <c:v>2.2000000000000002</c:v>
                </c:pt>
                <c:pt idx="3">
                  <c:v>4</c:v>
                </c:pt>
                <c:pt idx="4">
                  <c:v>5</c:v>
                </c:pt>
                <c:pt idx="5">
                  <c:v>5.0999999999999996</c:v>
                </c:pt>
                <c:pt idx="6">
                  <c:v>4.3</c:v>
                </c:pt>
                <c:pt idx="7">
                  <c:v>2.7</c:v>
                </c:pt>
                <c:pt idx="8">
                  <c:v>0</c:v>
                </c:pt>
                <c:pt idx="9">
                  <c:v>-3.6</c:v>
                </c:pt>
                <c:pt idx="10">
                  <c:v>-8.1</c:v>
                </c:pt>
                <c:pt idx="11">
                  <c:v>-13.8</c:v>
                </c:pt>
                <c:pt idx="12">
                  <c:v>-20.5</c:v>
                </c:pt>
                <c:pt idx="13">
                  <c:v>-28.2</c:v>
                </c:pt>
                <c:pt idx="14">
                  <c:v>-37.299999999999997</c:v>
                </c:pt>
                <c:pt idx="15">
                  <c:v>-47.3</c:v>
                </c:pt>
                <c:pt idx="16">
                  <c:v>-58.5</c:v>
                </c:pt>
                <c:pt idx="17">
                  <c:v>-71.400000000000006</c:v>
                </c:pt>
                <c:pt idx="18">
                  <c:v>-85.1</c:v>
                </c:pt>
                <c:pt idx="19">
                  <c:v>-100.2</c:v>
                </c:pt>
                <c:pt idx="20">
                  <c:v>-116.6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85-47A8-927B-5D2ED22949A4}"/>
            </c:ext>
          </c:extLst>
        </c:ser>
        <c:ser>
          <c:idx val="2"/>
          <c:order val="2"/>
          <c:tx>
            <c:strRef>
              <c:f>'Terminal Ascent PHP'!$K$150:$L$150</c:f>
              <c:strCache>
                <c:ptCount val="1"/>
                <c:pt idx="0">
                  <c:v>200m zero(Federal G1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PHP'!$L$152:$L$172</c:f>
              <c:numCache>
                <c:formatCode>0.00</c:formatCode>
                <c:ptCount val="21"/>
                <c:pt idx="0">
                  <c:v>-3.8</c:v>
                </c:pt>
                <c:pt idx="1">
                  <c:v>-0.5</c:v>
                </c:pt>
                <c:pt idx="2">
                  <c:v>2.2000000000000002</c:v>
                </c:pt>
                <c:pt idx="3">
                  <c:v>4</c:v>
                </c:pt>
                <c:pt idx="4">
                  <c:v>4.9000000000000004</c:v>
                </c:pt>
                <c:pt idx="5">
                  <c:v>5</c:v>
                </c:pt>
                <c:pt idx="6">
                  <c:v>4.3</c:v>
                </c:pt>
                <c:pt idx="7">
                  <c:v>2.6</c:v>
                </c:pt>
                <c:pt idx="8">
                  <c:v>0</c:v>
                </c:pt>
                <c:pt idx="9">
                  <c:v>-3.5</c:v>
                </c:pt>
                <c:pt idx="10">
                  <c:v>-7.9</c:v>
                </c:pt>
                <c:pt idx="11">
                  <c:v>-13.5</c:v>
                </c:pt>
                <c:pt idx="12">
                  <c:v>-20</c:v>
                </c:pt>
                <c:pt idx="13">
                  <c:v>-27.4</c:v>
                </c:pt>
                <c:pt idx="14">
                  <c:v>-36.200000000000003</c:v>
                </c:pt>
                <c:pt idx="15">
                  <c:v>-45.9</c:v>
                </c:pt>
                <c:pt idx="16">
                  <c:v>-56.7</c:v>
                </c:pt>
                <c:pt idx="17">
                  <c:v>-69.2</c:v>
                </c:pt>
                <c:pt idx="18">
                  <c:v>-82.6</c:v>
                </c:pt>
                <c:pt idx="19">
                  <c:v>-97.2</c:v>
                </c:pt>
                <c:pt idx="20">
                  <c:v>-113.7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85-47A8-927B-5D2ED2294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7.500002500001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10.000000833333415</c:v>
                </c:pt>
                <c:pt idx="8">
                  <c:v>8.3000003049530804</c:v>
                </c:pt>
                <c:pt idx="9">
                  <c:v>0</c:v>
                </c:pt>
                <c:pt idx="10">
                  <c:v>-14.000000746666712</c:v>
                </c:pt>
                <c:pt idx="11">
                  <c:v>-30.000005625001268</c:v>
                </c:pt>
                <c:pt idx="12">
                  <c:v>-56.25002929689331</c:v>
                </c:pt>
                <c:pt idx="13">
                  <c:v>-83.400077345913274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5C-4F2F-BB9B-95C95CAF4943}"/>
            </c:ext>
          </c:extLst>
        </c:ser>
        <c:ser>
          <c:idx val="1"/>
          <c:order val="1"/>
          <c:tx>
            <c:strRef>
              <c:f>'Terminal Ascent PHP'!$A$174</c:f>
              <c:strCache>
                <c:ptCount val="1"/>
                <c:pt idx="0">
                  <c:v>300m zero(Hornady 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1.3</c:v>
                </c:pt>
                <c:pt idx="2">
                  <c:v>5.7</c:v>
                </c:pt>
                <c:pt idx="3">
                  <c:v>9.1</c:v>
                </c:pt>
                <c:pt idx="4">
                  <c:v>11.8</c:v>
                </c:pt>
                <c:pt idx="5">
                  <c:v>13.7</c:v>
                </c:pt>
                <c:pt idx="6">
                  <c:v>14.6</c:v>
                </c:pt>
                <c:pt idx="7">
                  <c:v>14.6</c:v>
                </c:pt>
                <c:pt idx="8">
                  <c:v>13.7</c:v>
                </c:pt>
                <c:pt idx="9">
                  <c:v>11.8</c:v>
                </c:pt>
                <c:pt idx="10">
                  <c:v>9</c:v>
                </c:pt>
                <c:pt idx="11">
                  <c:v>4.9000000000000004</c:v>
                </c:pt>
                <c:pt idx="12">
                  <c:v>0</c:v>
                </c:pt>
                <c:pt idx="13">
                  <c:v>-6</c:v>
                </c:pt>
                <c:pt idx="14">
                  <c:v>-13.4</c:v>
                </c:pt>
                <c:pt idx="15">
                  <c:v>-21.7</c:v>
                </c:pt>
                <c:pt idx="16">
                  <c:v>-31.2</c:v>
                </c:pt>
                <c:pt idx="17">
                  <c:v>-42.4</c:v>
                </c:pt>
                <c:pt idx="18">
                  <c:v>-54.4</c:v>
                </c:pt>
                <c:pt idx="19">
                  <c:v>-67.8</c:v>
                </c:pt>
                <c:pt idx="20">
                  <c:v>-82.5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5C-4F2F-BB9B-95C95CAF4943}"/>
            </c:ext>
          </c:extLst>
        </c:ser>
        <c:ser>
          <c:idx val="2"/>
          <c:order val="2"/>
          <c:tx>
            <c:strRef>
              <c:f>'Terminal Ascent PHP'!$K$174</c:f>
              <c:strCache>
                <c:ptCount val="1"/>
                <c:pt idx="0">
                  <c:v>300m zero(Federal G1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PHP'!$L$176:$L$196</c:f>
              <c:numCache>
                <c:formatCode>0.00</c:formatCode>
                <c:ptCount val="21"/>
                <c:pt idx="0">
                  <c:v>-3.8</c:v>
                </c:pt>
                <c:pt idx="1">
                  <c:v>1.2</c:v>
                </c:pt>
                <c:pt idx="2">
                  <c:v>5.6</c:v>
                </c:pt>
                <c:pt idx="3">
                  <c:v>9</c:v>
                </c:pt>
                <c:pt idx="4">
                  <c:v>11.6</c:v>
                </c:pt>
                <c:pt idx="5">
                  <c:v>13.4</c:v>
                </c:pt>
                <c:pt idx="6">
                  <c:v>14.3</c:v>
                </c:pt>
                <c:pt idx="7">
                  <c:v>14.3</c:v>
                </c:pt>
                <c:pt idx="8">
                  <c:v>13.4</c:v>
                </c:pt>
                <c:pt idx="9">
                  <c:v>11.5</c:v>
                </c:pt>
                <c:pt idx="10">
                  <c:v>8.6999999999999993</c:v>
                </c:pt>
                <c:pt idx="11">
                  <c:v>4.9000000000000004</c:v>
                </c:pt>
                <c:pt idx="12">
                  <c:v>0</c:v>
                </c:pt>
                <c:pt idx="13">
                  <c:v>-5.7</c:v>
                </c:pt>
                <c:pt idx="14">
                  <c:v>-12.8</c:v>
                </c:pt>
                <c:pt idx="15">
                  <c:v>-20.9</c:v>
                </c:pt>
                <c:pt idx="16">
                  <c:v>-30.1</c:v>
                </c:pt>
                <c:pt idx="17">
                  <c:v>-40.9</c:v>
                </c:pt>
                <c:pt idx="18">
                  <c:v>-52.6</c:v>
                </c:pt>
                <c:pt idx="19">
                  <c:v>-65.5</c:v>
                </c:pt>
                <c:pt idx="20">
                  <c:v>-80.3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15C-4F2F-BB9B-95C95CAF4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9497036203601747"/>
                  <c:y val="-0.15839093030037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0.72625002042947373</c:v>
                </c:pt>
                <c:pt idx="2">
                  <c:v>6.5625037683131442</c:v>
                </c:pt>
                <c:pt idx="3">
                  <c:v>10.94625777235586</c:v>
                </c:pt>
                <c:pt idx="4">
                  <c:v>15.750013023294173</c:v>
                </c:pt>
                <c:pt idx="5">
                  <c:v>19.687516279117716</c:v>
                </c:pt>
                <c:pt idx="6">
                  <c:v>23.625019534941259</c:v>
                </c:pt>
                <c:pt idx="7">
                  <c:v>26.250015073252577</c:v>
                </c:pt>
                <c:pt idx="8">
                  <c:v>29.137513193372477</c:v>
                </c:pt>
                <c:pt idx="9">
                  <c:v>17.535001996887537</c:v>
                </c:pt>
                <c:pt idx="10">
                  <c:v>7.6562501221211763</c:v>
                </c:pt>
                <c:pt idx="11">
                  <c:v>0</c:v>
                </c:pt>
                <c:pt idx="12">
                  <c:v>-9.8437501570129413</c:v>
                </c:pt>
                <c:pt idx="13">
                  <c:v>-43.750011165368008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33-441B-AF81-BCF45E0E5391}"/>
            </c:ext>
          </c:extLst>
        </c:ser>
        <c:ser>
          <c:idx val="1"/>
          <c:order val="1"/>
          <c:tx>
            <c:strRef>
              <c:f>'Terminal Ascent PHP'!$A$198</c:f>
              <c:strCache>
                <c:ptCount val="1"/>
                <c:pt idx="0">
                  <c:v>400m zero(Hornady 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935986962025786"/>
                  <c:y val="-0.62377588218139401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3.2</c:v>
                </c:pt>
                <c:pt idx="2">
                  <c:v>9.6999999999999993</c:v>
                </c:pt>
                <c:pt idx="3">
                  <c:v>15.1</c:v>
                </c:pt>
                <c:pt idx="4">
                  <c:v>19.600000000000001</c:v>
                </c:pt>
                <c:pt idx="5">
                  <c:v>23.5</c:v>
                </c:pt>
                <c:pt idx="6">
                  <c:v>26.4</c:v>
                </c:pt>
                <c:pt idx="7">
                  <c:v>28.4</c:v>
                </c:pt>
                <c:pt idx="8">
                  <c:v>29.4</c:v>
                </c:pt>
                <c:pt idx="9">
                  <c:v>29.5</c:v>
                </c:pt>
                <c:pt idx="10">
                  <c:v>28.6</c:v>
                </c:pt>
                <c:pt idx="11">
                  <c:v>26.6</c:v>
                </c:pt>
                <c:pt idx="12">
                  <c:v>23.6</c:v>
                </c:pt>
                <c:pt idx="13">
                  <c:v>19.5</c:v>
                </c:pt>
                <c:pt idx="14">
                  <c:v>14.1</c:v>
                </c:pt>
                <c:pt idx="15">
                  <c:v>7.8</c:v>
                </c:pt>
                <c:pt idx="16">
                  <c:v>0.2</c:v>
                </c:pt>
                <c:pt idx="17">
                  <c:v>-8.9</c:v>
                </c:pt>
                <c:pt idx="18">
                  <c:v>-19</c:v>
                </c:pt>
                <c:pt idx="19">
                  <c:v>-30.5</c:v>
                </c:pt>
                <c:pt idx="20">
                  <c:v>-43.2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33-441B-AF81-BCF45E0E5391}"/>
            </c:ext>
          </c:extLst>
        </c:ser>
        <c:ser>
          <c:idx val="2"/>
          <c:order val="2"/>
          <c:tx>
            <c:strRef>
              <c:f>'Terminal Ascent PHP'!$K$198</c:f>
              <c:strCache>
                <c:ptCount val="1"/>
                <c:pt idx="0">
                  <c:v>400m zero(Federal G1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PHP'!$L$200:$L$220</c:f>
              <c:numCache>
                <c:formatCode>0.00</c:formatCode>
                <c:ptCount val="21"/>
                <c:pt idx="0">
                  <c:v>-3.8</c:v>
                </c:pt>
                <c:pt idx="1">
                  <c:v>3</c:v>
                </c:pt>
                <c:pt idx="2">
                  <c:v>9.3000000000000007</c:v>
                </c:pt>
                <c:pt idx="3">
                  <c:v>14.6</c:v>
                </c:pt>
                <c:pt idx="4">
                  <c:v>19.100000000000001</c:v>
                </c:pt>
                <c:pt idx="5">
                  <c:v>22.8</c:v>
                </c:pt>
                <c:pt idx="6">
                  <c:v>25.6</c:v>
                </c:pt>
                <c:pt idx="7">
                  <c:v>27.4</c:v>
                </c:pt>
                <c:pt idx="8">
                  <c:v>28.4</c:v>
                </c:pt>
                <c:pt idx="9">
                  <c:v>28.4</c:v>
                </c:pt>
                <c:pt idx="10">
                  <c:v>27.5</c:v>
                </c:pt>
                <c:pt idx="11">
                  <c:v>25.6</c:v>
                </c:pt>
                <c:pt idx="12">
                  <c:v>22.6</c:v>
                </c:pt>
                <c:pt idx="13">
                  <c:v>18.7</c:v>
                </c:pt>
                <c:pt idx="14">
                  <c:v>13.5</c:v>
                </c:pt>
                <c:pt idx="15">
                  <c:v>7.3</c:v>
                </c:pt>
                <c:pt idx="16">
                  <c:v>0</c:v>
                </c:pt>
                <c:pt idx="17">
                  <c:v>-8.9</c:v>
                </c:pt>
                <c:pt idx="18">
                  <c:v>-18.7</c:v>
                </c:pt>
                <c:pt idx="19">
                  <c:v>-29.8</c:v>
                </c:pt>
                <c:pt idx="20">
                  <c:v>-42.7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33-441B-AF81-BCF45E0E5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3.125001627605184</c:v>
                </c:pt>
                <c:pt idx="2">
                  <c:v>12.000023040053083</c:v>
                </c:pt>
                <c:pt idx="3">
                  <c:v>19.500043940118815</c:v>
                </c:pt>
                <c:pt idx="4">
                  <c:v>26.000058586825087</c:v>
                </c:pt>
                <c:pt idx="5">
                  <c:v>32.50007323353136</c:v>
                </c:pt>
                <c:pt idx="6">
                  <c:v>37.500078125195316</c:v>
                </c:pt>
                <c:pt idx="7">
                  <c:v>48.000092160212333</c:v>
                </c:pt>
                <c:pt idx="8">
                  <c:v>50.000066666773321</c:v>
                </c:pt>
                <c:pt idx="9">
                  <c:v>50.040046407547969</c:v>
                </c:pt>
                <c:pt idx="10">
                  <c:v>46.620027571460533</c:v>
                </c:pt>
                <c:pt idx="11">
                  <c:v>40.000013333338671</c:v>
                </c:pt>
                <c:pt idx="12">
                  <c:v>14.940000548915544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C1-4109-8485-3823EB510088}"/>
            </c:ext>
          </c:extLst>
        </c:ser>
        <c:ser>
          <c:idx val="1"/>
          <c:order val="1"/>
          <c:tx>
            <c:strRef>
              <c:f>'Terminal Ascent PHP'!$A$222</c:f>
              <c:strCache>
                <c:ptCount val="1"/>
                <c:pt idx="0">
                  <c:v>500m zero(Hornady 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5.4</c:v>
                </c:pt>
                <c:pt idx="2">
                  <c:v>14.1</c:v>
                </c:pt>
                <c:pt idx="3">
                  <c:v>21.6</c:v>
                </c:pt>
                <c:pt idx="4">
                  <c:v>28.4</c:v>
                </c:pt>
                <c:pt idx="5">
                  <c:v>34.5</c:v>
                </c:pt>
                <c:pt idx="6">
                  <c:v>39.5</c:v>
                </c:pt>
                <c:pt idx="7">
                  <c:v>43.6</c:v>
                </c:pt>
                <c:pt idx="8">
                  <c:v>46.9</c:v>
                </c:pt>
                <c:pt idx="9">
                  <c:v>49.2</c:v>
                </c:pt>
                <c:pt idx="10">
                  <c:v>50.4</c:v>
                </c:pt>
                <c:pt idx="11">
                  <c:v>50.6</c:v>
                </c:pt>
                <c:pt idx="12">
                  <c:v>49.8</c:v>
                </c:pt>
                <c:pt idx="13">
                  <c:v>47.9</c:v>
                </c:pt>
                <c:pt idx="14">
                  <c:v>44.7</c:v>
                </c:pt>
                <c:pt idx="15">
                  <c:v>40.5</c:v>
                </c:pt>
                <c:pt idx="16">
                  <c:v>35.1</c:v>
                </c:pt>
                <c:pt idx="17">
                  <c:v>28.2</c:v>
                </c:pt>
                <c:pt idx="18">
                  <c:v>20.2</c:v>
                </c:pt>
                <c:pt idx="19">
                  <c:v>11</c:v>
                </c:pt>
                <c:pt idx="20">
                  <c:v>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C1-4109-8485-3823EB510088}"/>
            </c:ext>
          </c:extLst>
        </c:ser>
        <c:ser>
          <c:idx val="2"/>
          <c:order val="2"/>
          <c:tx>
            <c:strRef>
              <c:f>'Terminal Ascent PHP'!$K$222</c:f>
              <c:strCache>
                <c:ptCount val="1"/>
                <c:pt idx="0">
                  <c:v>500m zero(Federal G1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PHP'!$K$225:$K$245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PHP'!$L$225:$L$245</c:f>
              <c:numCache>
                <c:formatCode>0.00</c:formatCode>
                <c:ptCount val="21"/>
                <c:pt idx="0">
                  <c:v>-3.8</c:v>
                </c:pt>
                <c:pt idx="1">
                  <c:v>5.0999999999999996</c:v>
                </c:pt>
                <c:pt idx="2">
                  <c:v>13.6</c:v>
                </c:pt>
                <c:pt idx="3">
                  <c:v>21</c:v>
                </c:pt>
                <c:pt idx="4">
                  <c:v>27.6</c:v>
                </c:pt>
                <c:pt idx="5">
                  <c:v>33.5</c:v>
                </c:pt>
                <c:pt idx="6">
                  <c:v>38.4</c:v>
                </c:pt>
                <c:pt idx="7">
                  <c:v>42.4</c:v>
                </c:pt>
                <c:pt idx="8">
                  <c:v>45.5</c:v>
                </c:pt>
                <c:pt idx="9">
                  <c:v>47.7</c:v>
                </c:pt>
                <c:pt idx="10">
                  <c:v>48.8</c:v>
                </c:pt>
                <c:pt idx="11">
                  <c:v>49.1</c:v>
                </c:pt>
                <c:pt idx="12">
                  <c:v>48.2</c:v>
                </c:pt>
                <c:pt idx="13">
                  <c:v>46.4</c:v>
                </c:pt>
                <c:pt idx="14">
                  <c:v>43.4</c:v>
                </c:pt>
                <c:pt idx="15">
                  <c:v>39.4</c:v>
                </c:pt>
                <c:pt idx="16">
                  <c:v>34.1</c:v>
                </c:pt>
                <c:pt idx="17">
                  <c:v>27.4</c:v>
                </c:pt>
                <c:pt idx="18">
                  <c:v>19.7</c:v>
                </c:pt>
                <c:pt idx="19">
                  <c:v>10.7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FC1-4109-8485-3823EB510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'Lewellings 5000 HP'!$B$1:$D$1</c:f>
              <c:strCache>
                <c:ptCount val="1"/>
                <c:pt idx="0">
                  <c:v>7mm PRC Lewellings Firefly 5000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'Lewellings 5000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'Lewellings 5000 HP'!$B$22:$B$35</c:f>
              <c:numCache>
                <c:formatCode>0.00</c:formatCode>
                <c:ptCount val="14"/>
                <c:pt idx="0">
                  <c:v>4558</c:v>
                </c:pt>
                <c:pt idx="1">
                  <c:v>4454.5</c:v>
                </c:pt>
                <c:pt idx="2">
                  <c:v>4321.7</c:v>
                </c:pt>
                <c:pt idx="3">
                  <c:v>4191.8</c:v>
                </c:pt>
                <c:pt idx="4">
                  <c:v>4067.1</c:v>
                </c:pt>
                <c:pt idx="5">
                  <c:v>3947.4</c:v>
                </c:pt>
                <c:pt idx="6">
                  <c:v>3832.1</c:v>
                </c:pt>
                <c:pt idx="7">
                  <c:v>3614.3</c:v>
                </c:pt>
                <c:pt idx="8">
                  <c:v>3396</c:v>
                </c:pt>
                <c:pt idx="9">
                  <c:v>3194.4</c:v>
                </c:pt>
                <c:pt idx="10">
                  <c:v>2993.4</c:v>
                </c:pt>
                <c:pt idx="11">
                  <c:v>2808.6</c:v>
                </c:pt>
                <c:pt idx="12">
                  <c:v>2638.7</c:v>
                </c:pt>
                <c:pt idx="13">
                  <c:v>2471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D7-4951-A4CF-7F178218F6F8}"/>
            </c:ext>
          </c:extLst>
        </c:ser>
        <c:ser>
          <c:idx val="1"/>
          <c:order val="1"/>
          <c:tx>
            <c:strRef>
              <c:f>'Premier Long Range Speer PHP'!$B$1:$D$1</c:f>
              <c:strCache>
                <c:ptCount val="1"/>
                <c:pt idx="0">
                  <c:v>7mm PRC Remington Premier Long Range Speer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'Premier Long Range Speer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'Premier Long Range Speer PHP'!$B$22:$B$35</c:f>
              <c:numCache>
                <c:formatCode>0.00</c:formatCode>
                <c:ptCount val="14"/>
                <c:pt idx="0">
                  <c:v>4740.8</c:v>
                </c:pt>
                <c:pt idx="1">
                  <c:v>4618.7</c:v>
                </c:pt>
                <c:pt idx="2">
                  <c:v>4460.3</c:v>
                </c:pt>
                <c:pt idx="3">
                  <c:v>4335.3</c:v>
                </c:pt>
                <c:pt idx="4">
                  <c:v>4190.2</c:v>
                </c:pt>
                <c:pt idx="5">
                  <c:v>4050.5</c:v>
                </c:pt>
                <c:pt idx="6">
                  <c:v>3916.9</c:v>
                </c:pt>
                <c:pt idx="7">
                  <c:v>3666.5</c:v>
                </c:pt>
                <c:pt idx="8">
                  <c:v>3418</c:v>
                </c:pt>
                <c:pt idx="9">
                  <c:v>3190.8</c:v>
                </c:pt>
                <c:pt idx="10">
                  <c:v>2967.2</c:v>
                </c:pt>
                <c:pt idx="11">
                  <c:v>2763.2</c:v>
                </c:pt>
                <c:pt idx="12">
                  <c:v>2576.8000000000002</c:v>
                </c:pt>
                <c:pt idx="13">
                  <c:v>2395.9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D7-4951-A4CF-7F178218F6F8}"/>
            </c:ext>
          </c:extLst>
        </c:ser>
        <c:ser>
          <c:idx val="2"/>
          <c:order val="2"/>
          <c:tx>
            <c:strRef>
              <c:f>'Terminal Ascent PHP'!$B$1:$E$1</c:f>
              <c:strCache>
                <c:ptCount val="1"/>
                <c:pt idx="0">
                  <c:v>7mm PRC Federal Terminal Ascent Polymer-Tipped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PHP'!$B$22:$B$35</c:f>
              <c:numCache>
                <c:formatCode>0.00</c:formatCode>
                <c:ptCount val="14"/>
                <c:pt idx="0">
                  <c:v>4453.2</c:v>
                </c:pt>
                <c:pt idx="1">
                  <c:v>4355.3999999999996</c:v>
                </c:pt>
                <c:pt idx="2">
                  <c:v>4231.3</c:v>
                </c:pt>
                <c:pt idx="3">
                  <c:v>4110.6000000000004</c:v>
                </c:pt>
                <c:pt idx="4">
                  <c:v>4013.3</c:v>
                </c:pt>
                <c:pt idx="5">
                  <c:v>3899.7</c:v>
                </c:pt>
                <c:pt idx="6">
                  <c:v>3790.5</c:v>
                </c:pt>
                <c:pt idx="7">
                  <c:v>3566.3</c:v>
                </c:pt>
                <c:pt idx="8">
                  <c:v>3375.2</c:v>
                </c:pt>
                <c:pt idx="9">
                  <c:v>3183.6</c:v>
                </c:pt>
                <c:pt idx="10">
                  <c:v>3005</c:v>
                </c:pt>
                <c:pt idx="11">
                  <c:v>2826.5</c:v>
                </c:pt>
                <c:pt idx="12">
                  <c:v>2660.8</c:v>
                </c:pt>
                <c:pt idx="13">
                  <c:v>2498.8000000000002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D7-4951-A4CF-7F178218F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703215"/>
        <c:axId val="925701775"/>
      </c:scatterChart>
      <c:valAx>
        <c:axId val="925703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701775"/>
        <c:crosses val="autoZero"/>
        <c:crossBetween val="midCat"/>
      </c:valAx>
      <c:valAx>
        <c:axId val="925701775"/>
        <c:scaling>
          <c:orientation val="minMax"/>
          <c:min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7032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Calculated Energy vs Range: Hornady BC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'Lewellings 5000 HP'!$B$1:$D$1</c:f>
              <c:strCache>
                <c:ptCount val="1"/>
                <c:pt idx="0">
                  <c:v>7mm PRC Lewellings Firefly 5000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'Lewellings 5000 HP'!$A$80:$A$100</c:f>
              <c:numCache>
                <c:formatCode>0.00</c:formatCode>
                <c:ptCount val="21"/>
                <c:pt idx="0" formatCode="General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'Lewellings 5000 HP'!$C$80:$C$100</c:f>
              <c:numCache>
                <c:formatCode>0.00</c:formatCode>
                <c:ptCount val="21"/>
                <c:pt idx="0" formatCode="General">
                  <c:v>4559</c:v>
                </c:pt>
                <c:pt idx="1">
                  <c:v>4433</c:v>
                </c:pt>
                <c:pt idx="2">
                  <c:v>4311</c:v>
                </c:pt>
                <c:pt idx="3">
                  <c:v>4192</c:v>
                </c:pt>
                <c:pt idx="4">
                  <c:v>4075</c:v>
                </c:pt>
                <c:pt idx="5">
                  <c:v>3962</c:v>
                </c:pt>
                <c:pt idx="6">
                  <c:v>3851</c:v>
                </c:pt>
                <c:pt idx="7">
                  <c:v>3742</c:v>
                </c:pt>
                <c:pt idx="8">
                  <c:v>3636</c:v>
                </c:pt>
                <c:pt idx="9">
                  <c:v>3532</c:v>
                </c:pt>
                <c:pt idx="10">
                  <c:v>3430</c:v>
                </c:pt>
                <c:pt idx="11">
                  <c:v>3331</c:v>
                </c:pt>
                <c:pt idx="12">
                  <c:v>3234</c:v>
                </c:pt>
                <c:pt idx="13">
                  <c:v>3140</c:v>
                </c:pt>
                <c:pt idx="14">
                  <c:v>3047</c:v>
                </c:pt>
                <c:pt idx="15">
                  <c:v>2957</c:v>
                </c:pt>
                <c:pt idx="16">
                  <c:v>2868</c:v>
                </c:pt>
                <c:pt idx="17">
                  <c:v>2782</c:v>
                </c:pt>
                <c:pt idx="18">
                  <c:v>2698</c:v>
                </c:pt>
                <c:pt idx="19">
                  <c:v>2615</c:v>
                </c:pt>
                <c:pt idx="20">
                  <c:v>2538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76-4A97-BBF9-CA48BFDE3717}"/>
            </c:ext>
          </c:extLst>
        </c:ser>
        <c:ser>
          <c:idx val="1"/>
          <c:order val="1"/>
          <c:tx>
            <c:strRef>
              <c:f>'Premier Long Range Speer PHP'!$B$1:$D$1</c:f>
              <c:strCache>
                <c:ptCount val="1"/>
                <c:pt idx="0">
                  <c:v>7mm PRC Remington Premier Long Range Speer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'Premier Long Range Speer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'Premier Long Range Speer PHP'!$C$80:$C$100</c:f>
              <c:numCache>
                <c:formatCode>0.00</c:formatCode>
                <c:ptCount val="21"/>
                <c:pt idx="0">
                  <c:v>4741</c:v>
                </c:pt>
                <c:pt idx="1">
                  <c:v>4589</c:v>
                </c:pt>
                <c:pt idx="2">
                  <c:v>4442</c:v>
                </c:pt>
                <c:pt idx="3">
                  <c:v>4299</c:v>
                </c:pt>
                <c:pt idx="4">
                  <c:v>4160</c:v>
                </c:pt>
                <c:pt idx="5">
                  <c:v>4024</c:v>
                </c:pt>
                <c:pt idx="6">
                  <c:v>3892</c:v>
                </c:pt>
                <c:pt idx="7">
                  <c:v>3764</c:v>
                </c:pt>
                <c:pt idx="8">
                  <c:v>3639</c:v>
                </c:pt>
                <c:pt idx="9">
                  <c:v>3517</c:v>
                </c:pt>
                <c:pt idx="10">
                  <c:v>3398</c:v>
                </c:pt>
                <c:pt idx="11">
                  <c:v>3283</c:v>
                </c:pt>
                <c:pt idx="12">
                  <c:v>3171</c:v>
                </c:pt>
                <c:pt idx="13">
                  <c:v>3062</c:v>
                </c:pt>
                <c:pt idx="14">
                  <c:v>2955</c:v>
                </c:pt>
                <c:pt idx="15">
                  <c:v>2852</c:v>
                </c:pt>
                <c:pt idx="16">
                  <c:v>2751</c:v>
                </c:pt>
                <c:pt idx="17">
                  <c:v>2653</c:v>
                </c:pt>
                <c:pt idx="18">
                  <c:v>2558</c:v>
                </c:pt>
                <c:pt idx="19">
                  <c:v>2466</c:v>
                </c:pt>
                <c:pt idx="20">
                  <c:v>2379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76-4A97-BBF9-CA48BFDE3717}"/>
            </c:ext>
          </c:extLst>
        </c:ser>
        <c:ser>
          <c:idx val="2"/>
          <c:order val="2"/>
          <c:tx>
            <c:strRef>
              <c:f>'Terminal Ascent PHP'!$B$1:$E$1</c:f>
              <c:strCache>
                <c:ptCount val="1"/>
                <c:pt idx="0">
                  <c:v>7mm PRC Federal Terminal Ascent Polymer-Tipped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PHP'!$C$80:$C$100</c:f>
              <c:numCache>
                <c:formatCode>0.00</c:formatCode>
                <c:ptCount val="21"/>
                <c:pt idx="0">
                  <c:v>4454</c:v>
                </c:pt>
                <c:pt idx="1">
                  <c:v>4331</c:v>
                </c:pt>
                <c:pt idx="2">
                  <c:v>4213</c:v>
                </c:pt>
                <c:pt idx="3">
                  <c:v>4096</c:v>
                </c:pt>
                <c:pt idx="4">
                  <c:v>3983</c:v>
                </c:pt>
                <c:pt idx="5">
                  <c:v>3872</c:v>
                </c:pt>
                <c:pt idx="6">
                  <c:v>3764</c:v>
                </c:pt>
                <c:pt idx="7">
                  <c:v>3658</c:v>
                </c:pt>
                <c:pt idx="8">
                  <c:v>3555</c:v>
                </c:pt>
                <c:pt idx="9">
                  <c:v>3454</c:v>
                </c:pt>
                <c:pt idx="10">
                  <c:v>3355</c:v>
                </c:pt>
                <c:pt idx="11">
                  <c:v>3258</c:v>
                </c:pt>
                <c:pt idx="12">
                  <c:v>3164</c:v>
                </c:pt>
                <c:pt idx="13">
                  <c:v>3071</c:v>
                </c:pt>
                <c:pt idx="14">
                  <c:v>2981</c:v>
                </c:pt>
                <c:pt idx="15">
                  <c:v>2893</c:v>
                </c:pt>
                <c:pt idx="16">
                  <c:v>2807</c:v>
                </c:pt>
                <c:pt idx="17">
                  <c:v>2723</c:v>
                </c:pt>
                <c:pt idx="18">
                  <c:v>2641</c:v>
                </c:pt>
                <c:pt idx="19">
                  <c:v>2561</c:v>
                </c:pt>
                <c:pt idx="20">
                  <c:v>2485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76-4A97-BBF9-CA48BFDE3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703215"/>
        <c:axId val="925701775"/>
      </c:scatterChart>
      <c:valAx>
        <c:axId val="925703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701775"/>
        <c:crosses val="autoZero"/>
        <c:crossBetween val="midCat"/>
      </c:valAx>
      <c:valAx>
        <c:axId val="925701775"/>
        <c:scaling>
          <c:orientation val="minMax"/>
          <c:min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7032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790575</xdr:colOff>
      <xdr:row>10</xdr:row>
      <xdr:rowOff>0</xdr:rowOff>
    </xdr:from>
    <xdr:to>
      <xdr:col>31</xdr:col>
      <xdr:colOff>438150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098F43-EFBF-DE4D-691E-C2D9C0098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981074</xdr:colOff>
      <xdr:row>41</xdr:row>
      <xdr:rowOff>85725</xdr:rowOff>
    </xdr:from>
    <xdr:to>
      <xdr:col>23</xdr:col>
      <xdr:colOff>171450</xdr:colOff>
      <xdr:row>68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575255-F922-B6C3-A896-0FA4931C0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0F64AC-E628-369F-4E98-7D698B26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366711</xdr:colOff>
      <xdr:row>68</xdr:row>
      <xdr:rowOff>190499</xdr:rowOff>
    </xdr:from>
    <xdr:to>
      <xdr:col>23</xdr:col>
      <xdr:colOff>438149</xdr:colOff>
      <xdr:row>89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B3A43-BB22-24CE-3613-DEF4F54EC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547687</xdr:colOff>
      <xdr:row>90</xdr:row>
      <xdr:rowOff>38100</xdr:rowOff>
    </xdr:from>
    <xdr:to>
      <xdr:col>24</xdr:col>
      <xdr:colOff>409575</xdr:colOff>
      <xdr:row>111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E9B954-9AF9-B1ED-3AC4-87EFE8B79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466725</xdr:colOff>
      <xdr:row>112</xdr:row>
      <xdr:rowOff>161925</xdr:rowOff>
    </xdr:from>
    <xdr:to>
      <xdr:col>24</xdr:col>
      <xdr:colOff>328613</xdr:colOff>
      <xdr:row>134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1DD0A29-7169-4506-85CC-D46382D77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285750</xdr:colOff>
      <xdr:row>137</xdr:row>
      <xdr:rowOff>171450</xdr:rowOff>
    </xdr:from>
    <xdr:to>
      <xdr:col>28</xdr:col>
      <xdr:colOff>157163</xdr:colOff>
      <xdr:row>159</xdr:row>
      <xdr:rowOff>95250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EE5B267-40D3-4087-B5F0-D2B36164F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609600</xdr:colOff>
      <xdr:row>161</xdr:row>
      <xdr:rowOff>57150</xdr:rowOff>
    </xdr:from>
    <xdr:to>
      <xdr:col>24</xdr:col>
      <xdr:colOff>471488</xdr:colOff>
      <xdr:row>182</xdr:row>
      <xdr:rowOff>171450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050A10-EB7C-4447-AAFF-BADA92BBD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723901</xdr:colOff>
      <xdr:row>185</xdr:row>
      <xdr:rowOff>152400</xdr:rowOff>
    </xdr:from>
    <xdr:to>
      <xdr:col>27</xdr:col>
      <xdr:colOff>161926</xdr:colOff>
      <xdr:row>207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990DC25-0AF9-447D-8DED-552E09B21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733425</xdr:colOff>
      <xdr:row>209</xdr:row>
      <xdr:rowOff>76200</xdr:rowOff>
    </xdr:from>
    <xdr:to>
      <xdr:col>25</xdr:col>
      <xdr:colOff>538163</xdr:colOff>
      <xdr:row>233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D5C4E7E-9BCB-4F1F-81D2-2C1CA23A7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104775</xdr:colOff>
      <xdr:row>41</xdr:row>
      <xdr:rowOff>38100</xdr:rowOff>
    </xdr:from>
    <xdr:to>
      <xdr:col>37</xdr:col>
      <xdr:colOff>257175</xdr:colOff>
      <xdr:row>64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C4B695-B3C2-45DF-9B12-A46DA628C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962024</xdr:colOff>
      <xdr:row>40</xdr:row>
      <xdr:rowOff>180975</xdr:rowOff>
    </xdr:from>
    <xdr:to>
      <xdr:col>20</xdr:col>
      <xdr:colOff>419100</xdr:colOff>
      <xdr:row>68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90380A-0DB2-439F-9285-7C42D325FF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7879F98-B1C9-4D0C-B8F0-7B849AEF1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404811</xdr:colOff>
      <xdr:row>67</xdr:row>
      <xdr:rowOff>47624</xdr:rowOff>
    </xdr:from>
    <xdr:to>
      <xdr:col>40</xdr:col>
      <xdr:colOff>371474</xdr:colOff>
      <xdr:row>87</xdr:row>
      <xdr:rowOff>152399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8816629-7DC8-409E-B5AA-E666731A9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100012</xdr:colOff>
      <xdr:row>93</xdr:row>
      <xdr:rowOff>38100</xdr:rowOff>
    </xdr:from>
    <xdr:to>
      <xdr:col>40</xdr:col>
      <xdr:colOff>466725</xdr:colOff>
      <xdr:row>114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B1F087F-D62A-4617-AD0E-DCD2BA24E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133350</xdr:colOff>
      <xdr:row>117</xdr:row>
      <xdr:rowOff>0</xdr:rowOff>
    </xdr:from>
    <xdr:to>
      <xdr:col>40</xdr:col>
      <xdr:colOff>500063</xdr:colOff>
      <xdr:row>138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AA2A4A5-5BE2-42AF-9811-3F62FF9716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9525</xdr:colOff>
      <xdr:row>140</xdr:row>
      <xdr:rowOff>180975</xdr:rowOff>
    </xdr:from>
    <xdr:to>
      <xdr:col>44</xdr:col>
      <xdr:colOff>385763</xdr:colOff>
      <xdr:row>162</xdr:row>
      <xdr:rowOff>104775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24C8886-3B2C-4DD9-80BE-0C8B45F0A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19050</xdr:colOff>
      <xdr:row>165</xdr:row>
      <xdr:rowOff>19050</xdr:rowOff>
    </xdr:from>
    <xdr:to>
      <xdr:col>40</xdr:col>
      <xdr:colOff>385763</xdr:colOff>
      <xdr:row>186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BC4FD82-3640-4AA2-A307-90285E4875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9526</xdr:colOff>
      <xdr:row>188</xdr:row>
      <xdr:rowOff>123825</xdr:rowOff>
    </xdr:from>
    <xdr:to>
      <xdr:col>42</xdr:col>
      <xdr:colOff>561976</xdr:colOff>
      <xdr:row>210</xdr:row>
      <xdr:rowOff>47625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ED19131-3CA7-4148-BE8C-DC4E6AB686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590550</xdr:colOff>
      <xdr:row>212</xdr:row>
      <xdr:rowOff>114300</xdr:rowOff>
    </xdr:from>
    <xdr:to>
      <xdr:col>40</xdr:col>
      <xdr:colOff>347663</xdr:colOff>
      <xdr:row>236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7E85642-E2A9-4C65-A852-C7C03C384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590550</xdr:colOff>
      <xdr:row>10</xdr:row>
      <xdr:rowOff>0</xdr:rowOff>
    </xdr:from>
    <xdr:to>
      <xdr:col>33</xdr:col>
      <xdr:colOff>219075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77A7FD-CDDF-498A-B9C3-3FF7B3860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246160B-C24C-4547-81BB-F08B25ED4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2ED2E4-B7DB-47CF-B671-93A97DEBDC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404811</xdr:colOff>
      <xdr:row>68</xdr:row>
      <xdr:rowOff>47624</xdr:rowOff>
    </xdr:from>
    <xdr:to>
      <xdr:col>40</xdr:col>
      <xdr:colOff>371474</xdr:colOff>
      <xdr:row>88</xdr:row>
      <xdr:rowOff>152399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0758AD0-2802-48A0-9FDF-D2C73494F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100012</xdr:colOff>
      <xdr:row>94</xdr:row>
      <xdr:rowOff>38100</xdr:rowOff>
    </xdr:from>
    <xdr:to>
      <xdr:col>40</xdr:col>
      <xdr:colOff>466725</xdr:colOff>
      <xdr:row>115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A2FFA5-CED2-4CD2-A49D-557BA3B6B5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133350</xdr:colOff>
      <xdr:row>118</xdr:row>
      <xdr:rowOff>0</xdr:rowOff>
    </xdr:from>
    <xdr:to>
      <xdr:col>40</xdr:col>
      <xdr:colOff>500063</xdr:colOff>
      <xdr:row>139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93B0F05-882D-4420-91A1-53D4C7F16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9525</xdr:colOff>
      <xdr:row>141</xdr:row>
      <xdr:rowOff>180975</xdr:rowOff>
    </xdr:from>
    <xdr:to>
      <xdr:col>44</xdr:col>
      <xdr:colOff>385763</xdr:colOff>
      <xdr:row>163</xdr:row>
      <xdr:rowOff>104775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CF6F9C5-800A-4A60-A271-B69302652E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19050</xdr:colOff>
      <xdr:row>166</xdr:row>
      <xdr:rowOff>19050</xdr:rowOff>
    </xdr:from>
    <xdr:to>
      <xdr:col>40</xdr:col>
      <xdr:colOff>385763</xdr:colOff>
      <xdr:row>187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A1602AB-F243-4D06-B242-8F97E0168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9526</xdr:colOff>
      <xdr:row>189</xdr:row>
      <xdr:rowOff>123825</xdr:rowOff>
    </xdr:from>
    <xdr:to>
      <xdr:col>42</xdr:col>
      <xdr:colOff>561976</xdr:colOff>
      <xdr:row>211</xdr:row>
      <xdr:rowOff>47625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EB7F17B-8C9A-427E-A892-CA243BC144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590550</xdr:colOff>
      <xdr:row>213</xdr:row>
      <xdr:rowOff>114300</xdr:rowOff>
    </xdr:from>
    <xdr:to>
      <xdr:col>40</xdr:col>
      <xdr:colOff>347663</xdr:colOff>
      <xdr:row>237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F8E8DE4-2FC0-49F6-8DA2-4F12B70012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2</xdr:row>
      <xdr:rowOff>104774</xdr:rowOff>
    </xdr:from>
    <xdr:to>
      <xdr:col>15</xdr:col>
      <xdr:colOff>114300</xdr:colOff>
      <xdr:row>34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80CC53-7B1A-D9F2-79C5-3B4A7BB73F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304800</xdr:colOff>
      <xdr:row>2</xdr:row>
      <xdr:rowOff>95250</xdr:rowOff>
    </xdr:from>
    <xdr:to>
      <xdr:col>33</xdr:col>
      <xdr:colOff>95250</xdr:colOff>
      <xdr:row>34</xdr:row>
      <xdr:rowOff>85725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44589D-9318-4496-8602-1EE689800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A446-FEBC-405E-9524-8BE549C2CC28}">
  <sheetPr codeName="Sheet1"/>
  <dimension ref="A1:W282"/>
  <sheetViews>
    <sheetView workbookViewId="0">
      <selection activeCell="F1" sqref="F1:I7"/>
    </sheetView>
  </sheetViews>
  <sheetFormatPr defaultRowHeight="15" x14ac:dyDescent="0.25"/>
  <cols>
    <col min="1" max="1" width="37.7109375" customWidth="1"/>
    <col min="2" max="2" width="26.28515625" customWidth="1"/>
    <col min="3" max="3" width="23.28515625" customWidth="1"/>
    <col min="4" max="4" width="16.42578125" customWidth="1"/>
    <col min="5" max="5" width="15.7109375" customWidth="1"/>
    <col min="6" max="6" width="2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20.42578125" customWidth="1"/>
    <col min="13" max="13" width="19.7109375" customWidth="1"/>
    <col min="14" max="14" width="21.42578125" customWidth="1"/>
    <col min="15" max="15" width="19" customWidth="1"/>
    <col min="16" max="16" width="17.140625" customWidth="1"/>
    <col min="17" max="17" width="22.5703125" customWidth="1"/>
    <col min="18" max="18" width="17.140625" customWidth="1"/>
    <col min="19" max="19" width="22.140625" customWidth="1"/>
    <col min="20" max="20" width="17" customWidth="1"/>
    <col min="21" max="21" width="17.42578125" customWidth="1"/>
    <col min="22" max="22" width="10.85546875" customWidth="1"/>
  </cols>
  <sheetData>
    <row r="1" spans="1:9" x14ac:dyDescent="0.25">
      <c r="A1" t="s">
        <v>17</v>
      </c>
      <c r="B1" t="s">
        <v>55</v>
      </c>
      <c r="C1" t="s">
        <v>77</v>
      </c>
      <c r="D1" t="s">
        <v>32</v>
      </c>
      <c r="F1" s="54" t="s">
        <v>105</v>
      </c>
      <c r="G1" s="54"/>
      <c r="H1" s="54"/>
      <c r="I1" s="54"/>
    </row>
    <row r="2" spans="1:9" x14ac:dyDescent="0.25">
      <c r="A2" t="s">
        <v>58</v>
      </c>
      <c r="B2" s="2">
        <v>177</v>
      </c>
      <c r="C2" s="2">
        <f>CONVERT($B$2,"grain","g")</f>
        <v>11.469407070000001</v>
      </c>
      <c r="D2" s="2"/>
      <c r="E2" s="2"/>
      <c r="F2" t="s">
        <v>58</v>
      </c>
      <c r="G2" s="2">
        <v>177</v>
      </c>
      <c r="H2" s="2">
        <f>CONVERT($G$2,"grain","g")</f>
        <v>11.469407070000001</v>
      </c>
    </row>
    <row r="3" spans="1:9" x14ac:dyDescent="0.25">
      <c r="A3" t="s">
        <v>59</v>
      </c>
      <c r="B3" s="2">
        <v>0.28399999999999997</v>
      </c>
      <c r="C3" s="2">
        <f>CONVERT($B$3,"in","mm")</f>
        <v>7.2135999999999996</v>
      </c>
      <c r="D3" s="2"/>
      <c r="E3" s="2"/>
      <c r="F3" t="s">
        <v>59</v>
      </c>
      <c r="G3" s="2">
        <v>0.28399999999999997</v>
      </c>
      <c r="H3" s="2">
        <f>CONVERT($G$3,"in","mm")</f>
        <v>7.2135999999999996</v>
      </c>
    </row>
    <row r="4" spans="1:9" x14ac:dyDescent="0.25">
      <c r="A4" t="s">
        <v>10</v>
      </c>
      <c r="B4" s="2"/>
      <c r="C4" s="2"/>
      <c r="F4" t="s">
        <v>10</v>
      </c>
      <c r="G4" s="2" t="s">
        <v>106</v>
      </c>
      <c r="H4" s="2"/>
    </row>
    <row r="5" spans="1:9" x14ac:dyDescent="0.25">
      <c r="A5" t="s">
        <v>18</v>
      </c>
      <c r="B5" s="2">
        <v>0.64600000000000002</v>
      </c>
      <c r="C5" s="2"/>
      <c r="D5" s="2"/>
      <c r="F5" t="s">
        <v>18</v>
      </c>
      <c r="G5" s="2">
        <v>0.64600000000000002</v>
      </c>
      <c r="H5" s="2"/>
    </row>
    <row r="6" spans="1:9" x14ac:dyDescent="0.25">
      <c r="A6" t="s">
        <v>56</v>
      </c>
      <c r="B6" s="2">
        <v>3137.5</v>
      </c>
      <c r="C6" s="2">
        <f>CONVERT($B$6,"J","flb")</f>
        <v>2314.1012433574201</v>
      </c>
      <c r="D6" s="2"/>
      <c r="E6" s="30"/>
      <c r="F6" t="s">
        <v>107</v>
      </c>
      <c r="G6" s="2" cm="1">
        <f t="array" ref="G6">MuzzleVelocityToMuzzleEnergyFtLb(G7,G2)</f>
        <v>3419.664892117667</v>
      </c>
      <c r="H6" s="2" cm="1">
        <f t="array" ref="H6">MuzzleVelocityToMuzzleEnergyJoules(H7,H2)</f>
        <v>4636.4430380118947</v>
      </c>
    </row>
    <row r="7" spans="1:9" x14ac:dyDescent="0.25">
      <c r="A7" t="s">
        <v>57</v>
      </c>
      <c r="B7" s="2" cm="1">
        <f t="array" ref="B7">MuzzleEnergyToMuzzleVelocityMPS(B6,C2)</f>
        <v>739.66723570442025</v>
      </c>
      <c r="C7" s="2" cm="1">
        <f t="array" ref="C7">MuzzleEnergyToMuzzleVelocityFPS(C6,B2)</f>
        <v>2426.7297759331373</v>
      </c>
      <c r="D7" s="41"/>
      <c r="E7" s="30"/>
      <c r="F7" t="s">
        <v>108</v>
      </c>
      <c r="G7" s="2">
        <v>2950</v>
      </c>
      <c r="H7" s="2">
        <f>CONVERT($G$7,"ft","m")</f>
        <v>899.16</v>
      </c>
    </row>
    <row r="8" spans="1:9" x14ac:dyDescent="0.25">
      <c r="A8" t="s">
        <v>0</v>
      </c>
      <c r="B8" s="2">
        <v>0</v>
      </c>
      <c r="C8" s="2"/>
    </row>
    <row r="9" spans="1:9" x14ac:dyDescent="0.25">
      <c r="A9" t="s">
        <v>1</v>
      </c>
      <c r="B9" s="2">
        <v>3.9</v>
      </c>
      <c r="C9" s="2">
        <f>CONVERT($B$9,"m/sec","km/hr")</f>
        <v>14.040000000000001</v>
      </c>
    </row>
    <row r="10" spans="1:9" x14ac:dyDescent="0.25">
      <c r="A10" t="s">
        <v>2</v>
      </c>
      <c r="B10" s="2">
        <v>90</v>
      </c>
      <c r="C10" s="2"/>
    </row>
    <row r="11" spans="1:9" x14ac:dyDescent="0.25">
      <c r="A11" s="37" t="s">
        <v>93</v>
      </c>
      <c r="B11" s="2">
        <v>1</v>
      </c>
      <c r="C11" s="38"/>
    </row>
    <row r="12" spans="1:9" x14ac:dyDescent="0.25">
      <c r="A12" s="37" t="s">
        <v>94</v>
      </c>
      <c r="B12" s="2" cm="1">
        <f t="array" ref="B12">MOAToMRAD($B$11)</f>
        <v>0.29088820866572157</v>
      </c>
      <c r="C12" s="38">
        <f>$B$11/2</f>
        <v>0.5</v>
      </c>
    </row>
    <row r="13" spans="1:9" x14ac:dyDescent="0.25">
      <c r="A13" s="37" t="s">
        <v>22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37" t="s">
        <v>4</v>
      </c>
      <c r="B14" t="s">
        <v>95</v>
      </c>
    </row>
    <row r="15" spans="1:9" x14ac:dyDescent="0.25">
      <c r="A15" t="s">
        <v>96</v>
      </c>
      <c r="B15" s="39" t="s">
        <v>97</v>
      </c>
      <c r="C15" s="39" t="s">
        <v>98</v>
      </c>
      <c r="D15" s="39" t="s">
        <v>99</v>
      </c>
      <c r="E15" s="39" t="s">
        <v>100</v>
      </c>
    </row>
    <row r="16" spans="1:9" x14ac:dyDescent="0.25">
      <c r="A16" s="37" t="s">
        <v>101</v>
      </c>
      <c r="B16" s="2">
        <v>0.95</v>
      </c>
      <c r="C16">
        <f>$B16/2</f>
        <v>0.47499999999999998</v>
      </c>
      <c r="D16" s="2">
        <f>$B$16 * $B$18</f>
        <v>0.73691679528649467</v>
      </c>
      <c r="E16" s="21">
        <f>$D16/2</f>
        <v>0.36845839764324734</v>
      </c>
    </row>
    <row r="17" spans="1:17" x14ac:dyDescent="0.25">
      <c r="A17" s="37" t="s">
        <v>102</v>
      </c>
      <c r="B17" s="2">
        <v>0.375</v>
      </c>
      <c r="C17">
        <f t="shared" ref="C17" si="0">$B17/2</f>
        <v>0.1875</v>
      </c>
      <c r="D17" s="2">
        <f>$B$16 * $B$17</f>
        <v>0.35624999999999996</v>
      </c>
      <c r="E17" s="21">
        <f>$D17/2</f>
        <v>0.17812499999999998</v>
      </c>
    </row>
    <row r="18" spans="1:17" x14ac:dyDescent="0.25">
      <c r="A18" s="11" t="s">
        <v>103</v>
      </c>
      <c r="B18" s="12">
        <f>$B$12/$B$17</f>
        <v>0.77570188977525756</v>
      </c>
      <c r="C18" s="2"/>
      <c r="J18" s="2">
        <v>5.05</v>
      </c>
      <c r="K18" s="2">
        <v>4</v>
      </c>
      <c r="L18" s="2">
        <v>4</v>
      </c>
      <c r="M18" s="2">
        <v>4</v>
      </c>
      <c r="N18" s="2">
        <v>4</v>
      </c>
      <c r="O18" s="2">
        <v>3.5</v>
      </c>
      <c r="P18" s="2">
        <v>4</v>
      </c>
    </row>
    <row r="19" spans="1:17" x14ac:dyDescent="0.25">
      <c r="A19" s="40" t="s">
        <v>104</v>
      </c>
      <c r="B19" s="41"/>
      <c r="C19" s="2">
        <f>$C$17*0.61+$C16*0.39</f>
        <v>0.29962500000000003</v>
      </c>
      <c r="D19" s="2"/>
      <c r="E19" s="2" cm="1">
        <f t="array" ref="E19">ProbableAngularPOIError(D17,D16,B12,0.68)</f>
        <v>0.33771286446148363</v>
      </c>
      <c r="J19" s="2"/>
      <c r="K19" s="2"/>
      <c r="L19" s="2"/>
      <c r="M19" s="2"/>
      <c r="N19" s="2"/>
      <c r="O19" s="2"/>
      <c r="P19" s="2"/>
    </row>
    <row r="20" spans="1:17" x14ac:dyDescent="0.25">
      <c r="C20" s="51" t="s">
        <v>20</v>
      </c>
      <c r="D20" s="51"/>
      <c r="E20" s="51"/>
      <c r="F20" s="51"/>
      <c r="G20" s="51"/>
      <c r="H20" s="13"/>
      <c r="I20" s="13"/>
      <c r="J20" s="51" t="s">
        <v>21</v>
      </c>
      <c r="K20" s="51"/>
      <c r="L20" s="51"/>
      <c r="M20" s="51"/>
      <c r="N20" s="51"/>
      <c r="O20" s="13"/>
      <c r="P20" s="13"/>
      <c r="Q20" s="42" t="s">
        <v>24</v>
      </c>
    </row>
    <row r="21" spans="1:17" x14ac:dyDescent="0.25">
      <c r="A21" t="s">
        <v>3</v>
      </c>
      <c r="B21" t="s">
        <v>19</v>
      </c>
      <c r="C21" t="s">
        <v>5</v>
      </c>
      <c r="D21" t="s">
        <v>6</v>
      </c>
      <c r="E21" t="s">
        <v>7</v>
      </c>
      <c r="F21" t="s">
        <v>8</v>
      </c>
      <c r="G21" t="s">
        <v>9</v>
      </c>
      <c r="H21" t="s">
        <v>27</v>
      </c>
      <c r="I21" t="s">
        <v>28</v>
      </c>
      <c r="J21" s="16" t="s">
        <v>5</v>
      </c>
      <c r="K21" s="16" t="s">
        <v>6</v>
      </c>
      <c r="L21" s="16" t="s">
        <v>7</v>
      </c>
      <c r="M21" s="16" t="s">
        <v>8</v>
      </c>
      <c r="N21" s="16" t="s">
        <v>9</v>
      </c>
      <c r="O21" s="16" t="s">
        <v>27</v>
      </c>
      <c r="P21" s="43" t="s">
        <v>28</v>
      </c>
      <c r="Q21" s="42" t="s">
        <v>25</v>
      </c>
    </row>
    <row r="22" spans="1:17" x14ac:dyDescent="0.25">
      <c r="A22" s="1">
        <v>0</v>
      </c>
      <c r="B22" s="1">
        <v>4558</v>
      </c>
      <c r="C22" s="3"/>
      <c r="D22" s="4"/>
      <c r="E22" s="4"/>
      <c r="F22" s="4"/>
      <c r="G22" s="5"/>
      <c r="H22" s="5"/>
      <c r="I22" s="4"/>
      <c r="J22" s="8">
        <f>$B$13*(-1)</f>
        <v>-3.81</v>
      </c>
      <c r="K22" s="8">
        <f t="shared" ref="K22:P22" si="1">$B$13*(-1)</f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44">
        <f t="shared" si="1"/>
        <v>-3.81</v>
      </c>
      <c r="Q22" s="45">
        <v>0</v>
      </c>
    </row>
    <row r="23" spans="1:17" x14ac:dyDescent="0.25">
      <c r="A23" s="1">
        <v>25</v>
      </c>
      <c r="B23" s="1">
        <v>4454.5</v>
      </c>
      <c r="C23" s="6">
        <v>-0.33300000000000002</v>
      </c>
      <c r="D23" s="6">
        <v>-0.375</v>
      </c>
      <c r="E23" s="6">
        <v>-0.375</v>
      </c>
      <c r="F23" s="6">
        <v>-0.25</v>
      </c>
      <c r="G23" s="6">
        <v>-0.125</v>
      </c>
      <c r="H23" s="6">
        <v>0.125</v>
      </c>
      <c r="I23" s="14">
        <v>0.35</v>
      </c>
      <c r="J23" s="9" cm="1">
        <f t="array" ref="J23">TrajectoryDropInCM(C23,$A23,J$18)</f>
        <v>-4.204128963018321</v>
      </c>
      <c r="K23" s="9" cm="1">
        <f t="array" ref="K23">TrajectoryDropInCM(D23,$A23,K$18)</f>
        <v>-3.7500028125025313</v>
      </c>
      <c r="L23" s="9" cm="1">
        <f t="array" ref="L23">TrajectoryDropInCM(E23,$A23,L$18)</f>
        <v>-3.7500028125025313</v>
      </c>
      <c r="M23" s="9" cm="1">
        <f t="array" ref="M23">TrajectoryDropInCM(F23,$A23,M$18)</f>
        <v>-2.500000833333667</v>
      </c>
      <c r="N23" s="9" cm="1">
        <f t="array" ref="N23">TrajectoryDropInCM(G23,$A23,N$18)</f>
        <v>-1.2500001041666768</v>
      </c>
      <c r="O23" s="9" cm="1">
        <f t="array" ref="O23">TrajectoryDropInCM(H23,$A23,O$18)</f>
        <v>1.0937500697835341</v>
      </c>
      <c r="P23" s="46" cm="1">
        <f t="array" ref="P23">TrajectoryDropInCM(I23,$A23,P$18)</f>
        <v>3.5000022866684599</v>
      </c>
      <c r="Q23" s="45" cm="1">
        <f t="array" ref="Q23">TrajectoryErrorCM($E$19,1,$A23)</f>
        <v>0.84428216115370902</v>
      </c>
    </row>
    <row r="24" spans="1:17" x14ac:dyDescent="0.25">
      <c r="A24" s="1">
        <v>50</v>
      </c>
      <c r="B24" s="1">
        <v>4321.7</v>
      </c>
      <c r="C24" s="7">
        <v>0</v>
      </c>
      <c r="D24" s="6">
        <v>-0.125</v>
      </c>
      <c r="E24" s="6">
        <v>-8.3000000000000004E-2</v>
      </c>
      <c r="F24" s="6">
        <v>8.3000000000000004E-2</v>
      </c>
      <c r="G24" s="6">
        <v>0.16700000000000001</v>
      </c>
      <c r="H24" s="6">
        <v>0.375</v>
      </c>
      <c r="I24" s="14">
        <v>0.625</v>
      </c>
      <c r="J24" s="9" cm="1">
        <f t="array" ref="J24">TrajectoryDropInCM(C24,$A24,J$18)</f>
        <v>0</v>
      </c>
      <c r="K24" s="9" cm="1">
        <f t="array" ref="K24">TrajectoryDropInCM(D24,$A24,K$18)</f>
        <v>-2.5000002083333537</v>
      </c>
      <c r="L24" s="9" cm="1">
        <f t="array" ref="L24">TrajectoryDropInCM(E24,$A24,L$18)</f>
        <v>-1.660000060990616</v>
      </c>
      <c r="M24" s="9" cm="1">
        <f t="array" ref="M24">TrajectoryDropInCM(F24,$A24,M$18)</f>
        <v>1.660000060990616</v>
      </c>
      <c r="N24" s="9" cm="1">
        <f t="array" ref="N24">TrajectoryDropInCM(G24,$A24,N$18)</f>
        <v>3.3400004967961423</v>
      </c>
      <c r="O24" s="9" cm="1">
        <f t="array" ref="O24">TrajectoryDropInCM(H24,$A24,O$18)</f>
        <v>6.5625037683131442</v>
      </c>
      <c r="P24" s="46" cm="1">
        <f t="array" ref="P24">TrajectoryDropInCM(I24,$A24,P$18)</f>
        <v>12.500026041731772</v>
      </c>
      <c r="Q24" s="45" cm="1">
        <f t="array" ref="Q24">TrajectoryErrorCM($E$19,1,$A24)</f>
        <v>1.688564322307418</v>
      </c>
    </row>
    <row r="25" spans="1:17" x14ac:dyDescent="0.25">
      <c r="A25" s="1">
        <v>75</v>
      </c>
      <c r="B25" s="1">
        <v>4191.8</v>
      </c>
      <c r="C25" s="6">
        <v>0.12</v>
      </c>
      <c r="D25" s="6">
        <v>0</v>
      </c>
      <c r="E25" s="6">
        <v>6.25E-2</v>
      </c>
      <c r="F25" s="6">
        <v>0.16700000000000001</v>
      </c>
      <c r="G25" s="6">
        <v>0.3125</v>
      </c>
      <c r="H25" s="6">
        <v>0.45</v>
      </c>
      <c r="I25" s="14">
        <v>0.6875</v>
      </c>
      <c r="J25" s="9" cm="1">
        <f t="array" ref="J25">TrajectoryDropInCM(C25,$A25,J$18)</f>
        <v>4.5450005563626217</v>
      </c>
      <c r="K25" s="9" cm="1">
        <f t="array" ref="K25">TrajectoryDropInCM(D25,$A25,K$18)</f>
        <v>0</v>
      </c>
      <c r="L25" s="9" cm="1">
        <f t="array" ref="L25">TrajectoryDropInCM(E25,$A25,L$18)</f>
        <v>1.8750000390625008</v>
      </c>
      <c r="M25" s="9" cm="1">
        <f t="array" ref="M25">TrajectoryDropInCM(F25,$A25,M$18)</f>
        <v>5.0100007451942137</v>
      </c>
      <c r="N25" s="9" cm="1">
        <f t="array" ref="N25">TrajectoryDropInCM(G25,$A25,N$18)</f>
        <v>9.3750048828155528</v>
      </c>
      <c r="O25" s="9" cm="1">
        <f t="array" ref="O25">TrajectoryDropInCM(H25,$A25,O$18)</f>
        <v>11.81250976747063</v>
      </c>
      <c r="P25" s="46" cm="1">
        <f t="array" ref="P25">TrajectoryDropInCM(I25,$A25,P$18)</f>
        <v>20.625051992344773</v>
      </c>
      <c r="Q25" s="45" cm="1">
        <f t="array" ref="Q25">TrajectoryErrorCM($E$19,1,$A25)</f>
        <v>2.5328464834611273</v>
      </c>
    </row>
    <row r="26" spans="1:17" x14ac:dyDescent="0.25">
      <c r="A26" s="1">
        <v>100</v>
      </c>
      <c r="B26" s="1">
        <v>4067.1</v>
      </c>
      <c r="C26" s="6">
        <v>0.115</v>
      </c>
      <c r="D26" s="7">
        <v>0</v>
      </c>
      <c r="E26" s="6">
        <v>6.25E-2</v>
      </c>
      <c r="F26" s="6">
        <v>0.16700000000000001</v>
      </c>
      <c r="G26" s="6">
        <v>0.3125</v>
      </c>
      <c r="H26" s="6">
        <v>0.5</v>
      </c>
      <c r="I26" s="14">
        <v>0.6875</v>
      </c>
      <c r="J26" s="9" cm="1">
        <f t="array" ref="J26">TrajectoryDropInCM(C26,$A26,J$18)</f>
        <v>5.8075006528996855</v>
      </c>
      <c r="K26" s="9" cm="1">
        <f t="array" ref="K26">TrajectoryDropInCM(D26,$A26,K$18)</f>
        <v>0</v>
      </c>
      <c r="L26" s="9" cm="1">
        <f t="array" ref="L26">TrajectoryDropInCM(E26,$A26,L$18)</f>
        <v>2.5000000520833341</v>
      </c>
      <c r="M26" s="9" cm="1">
        <f t="array" ref="M26">TrajectoryDropInCM(F26,$A26,M$18)</f>
        <v>6.6800009935922846</v>
      </c>
      <c r="N26" s="9" cm="1">
        <f t="array" ref="N26">TrajectoryDropInCM(G26,$A26,N$18)</f>
        <v>12.500006510420736</v>
      </c>
      <c r="O26" s="9" cm="1">
        <f t="array" ref="O26">TrajectoryDropInCM(H26,$A26,O$18)</f>
        <v>17.500017864605219</v>
      </c>
      <c r="P26" s="46" cm="1">
        <f t="array" ref="P26">TrajectoryDropInCM(I26,$A26,P$18)</f>
        <v>27.500069323126365</v>
      </c>
      <c r="Q26" s="45" cm="1">
        <f t="array" ref="Q26">TrajectoryErrorCM($E$19,1,$A26)</f>
        <v>3.3771286446148361</v>
      </c>
    </row>
    <row r="27" spans="1:17" x14ac:dyDescent="0.25">
      <c r="A27" s="1">
        <v>125</v>
      </c>
      <c r="B27" s="1">
        <v>3947.4</v>
      </c>
      <c r="C27" s="6">
        <v>0.115</v>
      </c>
      <c r="D27" s="6">
        <v>0</v>
      </c>
      <c r="E27" s="6">
        <v>0.05</v>
      </c>
      <c r="F27" s="6">
        <v>0.125</v>
      </c>
      <c r="G27" s="6">
        <v>0.3125</v>
      </c>
      <c r="H27" s="6">
        <v>0.5</v>
      </c>
      <c r="I27" s="14">
        <v>0.6875</v>
      </c>
      <c r="J27" s="9" cm="1">
        <f t="array" ref="J27">TrajectoryDropInCM(C27,$A27,J$18)</f>
        <v>7.2593758161246065</v>
      </c>
      <c r="K27" s="9" cm="1">
        <f t="array" ref="K27">TrajectoryDropInCM(D27,$A27,K$18)</f>
        <v>0</v>
      </c>
      <c r="L27" s="9" cm="1">
        <f t="array" ref="L27">TrajectoryDropInCM(E27,$A27,L$18)</f>
        <v>2.5000000333333343</v>
      </c>
      <c r="M27" s="9" cm="1">
        <f t="array" ref="M27">TrajectoryDropInCM(F27,$A27,M$18)</f>
        <v>6.2500005208333844</v>
      </c>
      <c r="N27" s="9" cm="1">
        <f t="array" ref="N27">TrajectoryDropInCM(G27,$A27,N$18)</f>
        <v>15.625008138025919</v>
      </c>
      <c r="O27" s="9" cm="1">
        <f t="array" ref="O27">TrajectoryDropInCM(H27,$A27,O$18)</f>
        <v>21.875022330756526</v>
      </c>
      <c r="P27" s="46" cm="1">
        <f t="array" ref="P27">TrajectoryDropInCM(I27,$A27,P$18)</f>
        <v>34.375086653907957</v>
      </c>
      <c r="Q27" s="45" cm="1">
        <f t="array" ref="Q27">TrajectoryErrorCM($E$19,1,$A27)</f>
        <v>4.2214108057685458</v>
      </c>
    </row>
    <row r="28" spans="1:17" x14ac:dyDescent="0.25">
      <c r="A28" s="1">
        <v>150</v>
      </c>
      <c r="B28" s="1">
        <v>3832.1</v>
      </c>
      <c r="C28" s="6">
        <v>8.3000000000000004E-2</v>
      </c>
      <c r="D28" s="6">
        <v>-6.25E-2</v>
      </c>
      <c r="E28" s="7">
        <v>0</v>
      </c>
      <c r="F28" s="6">
        <v>8.3000000000000004E-2</v>
      </c>
      <c r="G28" s="6">
        <v>0.25</v>
      </c>
      <c r="H28" s="6">
        <v>0.41699999999999998</v>
      </c>
      <c r="I28" s="14">
        <v>0.625</v>
      </c>
      <c r="J28" s="9" cm="1">
        <f t="array" ref="J28">TrajectoryDropInCM(C28,$A28,J$18)</f>
        <v>6.2872503681954752</v>
      </c>
      <c r="K28" s="9" cm="1">
        <f t="array" ref="K28">TrajectoryDropInCM(D28,$A28,K$18)</f>
        <v>-3.7500000781250016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15.000005000002</v>
      </c>
      <c r="O28" s="9" cm="1">
        <f t="array" ref="O28">TrajectoryDropInCM(H28,$A28,O$18)</f>
        <v>21.892515544711721</v>
      </c>
      <c r="P28" s="46" cm="1">
        <f t="array" ref="P28">TrajectoryDropInCM(I28,$A28,P$18)</f>
        <v>37.500078125195316</v>
      </c>
      <c r="Q28" s="45" cm="1">
        <f t="array" ref="Q28">TrajectoryErrorCM($E$19,1,$A28)</f>
        <v>5.0656929669222546</v>
      </c>
    </row>
    <row r="29" spans="1:17" x14ac:dyDescent="0.25">
      <c r="A29" s="1">
        <v>200</v>
      </c>
      <c r="B29" s="1">
        <v>3614.3</v>
      </c>
      <c r="C29" s="6">
        <v>0</v>
      </c>
      <c r="D29" s="6">
        <v>-0.125</v>
      </c>
      <c r="E29" s="6">
        <v>-8.3000000000000004E-2</v>
      </c>
      <c r="F29" s="7">
        <v>0</v>
      </c>
      <c r="G29" s="6">
        <v>0.125</v>
      </c>
      <c r="H29" s="6">
        <v>0.375</v>
      </c>
      <c r="I29" s="14">
        <v>0.6</v>
      </c>
      <c r="J29" s="9" cm="1">
        <f t="array" ref="J29">TrajectoryDropInCM(C29,$A29,J$18)</f>
        <v>0</v>
      </c>
      <c r="K29" s="9" cm="1">
        <f t="array" ref="K29">TrajectoryDropInCM(D29,$A29,K$18)</f>
        <v>-10.000000833333415</v>
      </c>
      <c r="L29" s="9" cm="1">
        <f t="array" ref="L29">TrajectoryDropInCM(E29,$A29,L$18)</f>
        <v>-6.6400002439624641</v>
      </c>
      <c r="M29" s="9" cm="1">
        <f t="array" ref="M29">TrajectoryDropInCM(F29,$A29,M$18)</f>
        <v>0</v>
      </c>
      <c r="N29" s="9" cm="1">
        <f t="array" ref="N29">TrajectoryDropInCM(G29,$A29,N$18)</f>
        <v>10.000000833333415</v>
      </c>
      <c r="O29" s="9" cm="1">
        <f t="array" ref="O29">TrajectoryDropInCM(H29,$A29,O$18)</f>
        <v>26.250015073252577</v>
      </c>
      <c r="P29" s="46" cm="1">
        <f t="array" ref="P29">TrajectoryDropInCM(I29,$A29,P$18)</f>
        <v>48.000092160212333</v>
      </c>
      <c r="Q29" s="45" cm="1">
        <f t="array" ref="Q29">TrajectoryErrorCM($E$19,1,$A29)</f>
        <v>6.7542572892296722</v>
      </c>
    </row>
    <row r="30" spans="1:17" x14ac:dyDescent="0.25">
      <c r="A30" s="1">
        <v>250</v>
      </c>
      <c r="B30" s="1">
        <v>3396</v>
      </c>
      <c r="C30" s="6">
        <v>-8.3000000000000004E-2</v>
      </c>
      <c r="D30" s="6">
        <v>-0.16700000000000001</v>
      </c>
      <c r="E30" s="6">
        <v>-0.125</v>
      </c>
      <c r="F30" s="6">
        <v>-0.125</v>
      </c>
      <c r="G30" s="6">
        <v>8.3000000000000004E-2</v>
      </c>
      <c r="H30" s="6">
        <v>0.33300000000000002</v>
      </c>
      <c r="I30" s="14">
        <v>0.52500000000000002</v>
      </c>
      <c r="J30" s="9" cm="1">
        <f t="array" ref="J30">TrajectoryDropInCM(C30,$A30,J$18)</f>
        <v>-10.478750613659125</v>
      </c>
      <c r="K30" s="9" cm="1">
        <f t="array" ref="K30">TrajectoryDropInCM(D30,$A30,K$18)</f>
        <v>-16.700002483980715</v>
      </c>
      <c r="L30" s="9" cm="1">
        <f t="array" ref="L30">TrajectoryDropInCM(E30,$A30,L$18)</f>
        <v>-12.500001041666769</v>
      </c>
      <c r="M30" s="9" cm="1">
        <f t="array" ref="M30">TrajectoryDropInCM(F30,$A30,M$18)</f>
        <v>-12.500001041666769</v>
      </c>
      <c r="N30" s="9" cm="1">
        <f t="array" ref="N30">TrajectoryDropInCM(G30,$A30,N$18)</f>
        <v>8.3000003049530804</v>
      </c>
      <c r="O30" s="9" cm="1">
        <f t="array" ref="O30">TrajectoryDropInCM(H30,$A30,O$18)</f>
        <v>29.137513193372477</v>
      </c>
      <c r="P30" s="46" cm="1">
        <f t="array" ref="P30">TrajectoryDropInCM(I30,$A30,P$18)</f>
        <v>52.500077175136148</v>
      </c>
      <c r="Q30" s="45" cm="1">
        <f t="array" ref="Q30">TrajectoryErrorCM($E$19,1,$A30)</f>
        <v>8.4428216115370915</v>
      </c>
    </row>
    <row r="31" spans="1:17" x14ac:dyDescent="0.25">
      <c r="A31" s="1">
        <v>300</v>
      </c>
      <c r="B31" s="1">
        <v>3194.4</v>
      </c>
      <c r="C31" s="6">
        <v>-0.16700000000000001</v>
      </c>
      <c r="D31" s="6">
        <v>-0.3125</v>
      </c>
      <c r="E31" s="6">
        <v>-0.25</v>
      </c>
      <c r="F31" s="6">
        <v>-0.16700000000000001</v>
      </c>
      <c r="G31" s="7">
        <v>0</v>
      </c>
      <c r="H31" s="17">
        <v>0.16700000000000001</v>
      </c>
      <c r="I31" s="18">
        <v>0.41699999999999998</v>
      </c>
      <c r="J31" s="9" cm="1">
        <f t="array" ref="J31">TrajectoryDropInCM(C31,$A31,J$18)</f>
        <v>-25.300505998237693</v>
      </c>
      <c r="K31" s="9" cm="1">
        <f t="array" ref="K31">TrajectoryDropInCM(D31,$A31,K$18)</f>
        <v>-37.500019531262211</v>
      </c>
      <c r="L31" s="9" cm="1">
        <f t="array" ref="L31">TrajectoryDropInCM(E31,$A31,L$18)</f>
        <v>-30.000010000004</v>
      </c>
      <c r="M31" s="9" cm="1">
        <f t="array" ref="M31">TrajectoryDropInCM(F31,$A31,M$18)</f>
        <v>-20.040002980776855</v>
      </c>
      <c r="N31" s="9" cm="1">
        <f t="array" ref="N31">TrajectoryDropInCM(G31,$A31,N$18)</f>
        <v>0</v>
      </c>
      <c r="O31" s="9" cm="1">
        <f t="array" ref="O31">TrajectoryDropInCM(H31,$A31,O$18)</f>
        <v>17.535001996887537</v>
      </c>
      <c r="P31" s="46" cm="1">
        <f t="array" ref="P31">TrajectoryDropInCM(I31,$A31,P$18)</f>
        <v>50.040046407547969</v>
      </c>
      <c r="Q31" s="45" cm="1">
        <f t="array" ref="Q31">TrajectoryErrorCM($E$19,1,$A31)</f>
        <v>10.131385933844509</v>
      </c>
    </row>
    <row r="32" spans="1:17" x14ac:dyDescent="0.25">
      <c r="A32" s="1">
        <v>350</v>
      </c>
      <c r="B32" s="1">
        <v>2993.4</v>
      </c>
      <c r="C32" s="6">
        <v>-0.3125</v>
      </c>
      <c r="D32" s="6">
        <v>-0.375</v>
      </c>
      <c r="E32" s="6">
        <v>-0.375</v>
      </c>
      <c r="F32" s="6">
        <v>-0.25</v>
      </c>
      <c r="G32" s="6">
        <v>-0.11</v>
      </c>
      <c r="H32" s="6">
        <v>0.125</v>
      </c>
      <c r="I32" s="14">
        <v>0.33300000000000002</v>
      </c>
      <c r="J32" s="9" cm="1">
        <f t="array" ref="J32">TrajectoryDropInCM(C32,$A32,J$18)</f>
        <v>-55.2344208533871</v>
      </c>
      <c r="K32" s="9" cm="1">
        <f t="array" ref="K32">TrajectoryDropInCM(D32,$A32,K$18)</f>
        <v>-52.500039375035435</v>
      </c>
      <c r="L32" s="9" cm="1">
        <f t="array" ref="L32">TrajectoryDropInCM(E32,$A32,L$18)</f>
        <v>-52.500039375035435</v>
      </c>
      <c r="M32" s="9" cm="1">
        <f t="array" ref="M32">TrajectoryDropInCM(F32,$A32,M$18)</f>
        <v>-35.000011666671341</v>
      </c>
      <c r="N32" s="9" cm="1">
        <f t="array" ref="N32">TrajectoryDropInCM(G32,$A32,N$18)</f>
        <v>-15.400000993813412</v>
      </c>
      <c r="O32" s="9" cm="1">
        <f t="array" ref="O32">TrajectoryDropInCM(H32,$A32,O$18)</f>
        <v>15.312500976969476</v>
      </c>
      <c r="P32" s="46" cm="1">
        <f t="array" ref="P32">TrajectoryDropInCM(I32,$A32,P$18)</f>
        <v>46.620027571460533</v>
      </c>
      <c r="Q32" s="45" cm="1">
        <f t="array" ref="Q32">TrajectoryErrorCM($E$19,1,$A32)</f>
        <v>11.819950256151927</v>
      </c>
    </row>
    <row r="33" spans="1:17" x14ac:dyDescent="0.25">
      <c r="A33" s="1">
        <v>400</v>
      </c>
      <c r="B33" s="1">
        <v>2808.6</v>
      </c>
      <c r="C33" s="6">
        <v>-0.375</v>
      </c>
      <c r="D33" s="6">
        <v>-0.5</v>
      </c>
      <c r="E33" s="6">
        <v>-0.41699999999999998</v>
      </c>
      <c r="F33" s="6">
        <v>-0.375</v>
      </c>
      <c r="G33" s="6">
        <v>-0.2</v>
      </c>
      <c r="H33" s="7">
        <v>0</v>
      </c>
      <c r="I33" s="14">
        <v>0.25</v>
      </c>
      <c r="J33" s="9" cm="1">
        <f t="array" ref="J33">TrajectoryDropInCM(C33,$A33,J$18)</f>
        <v>-75.750090553928729</v>
      </c>
      <c r="K33" s="9" cm="1">
        <f t="array" ref="K33">TrajectoryDropInCM(D33,$A33,K$18)</f>
        <v>-80.000106666837326</v>
      </c>
      <c r="L33" s="9" cm="1">
        <f t="array" ref="L33">TrajectoryDropInCM(E33,$A33,L$18)</f>
        <v>-66.720061876730625</v>
      </c>
      <c r="M33" s="9" cm="1">
        <f t="array" ref="M33">TrajectoryDropInCM(F33,$A33,M$18)</f>
        <v>-60.000045000040501</v>
      </c>
      <c r="N33" s="9" cm="1">
        <f t="array" ref="N33">TrajectoryDropInCM(G33,$A33,N$18)</f>
        <v>-32.000006826668411</v>
      </c>
      <c r="O33" s="9" cm="1">
        <f t="array" ref="O33">TrajectoryDropInCM(H33,$A33,O$18)</f>
        <v>0</v>
      </c>
      <c r="P33" s="46" cm="1">
        <f t="array" ref="P33">TrajectoryDropInCM(I33,$A33,P$18)</f>
        <v>40.000013333338671</v>
      </c>
      <c r="Q33" s="45" cm="1">
        <f t="array" ref="Q33">TrajectoryErrorCM($E$19,1,$A33)</f>
        <v>13.508514578459344</v>
      </c>
    </row>
    <row r="34" spans="1:17" x14ac:dyDescent="0.25">
      <c r="A34" s="1">
        <v>450</v>
      </c>
      <c r="B34" s="1">
        <v>2638.7</v>
      </c>
      <c r="C34" s="6">
        <v>-0.5</v>
      </c>
      <c r="D34" s="6">
        <v>-0.625</v>
      </c>
      <c r="E34" s="6">
        <v>-0.53300000000000003</v>
      </c>
      <c r="F34" s="6">
        <v>-0.5</v>
      </c>
      <c r="G34" s="6">
        <v>-0.35</v>
      </c>
      <c r="H34" s="6">
        <v>-0.125</v>
      </c>
      <c r="I34" s="14">
        <v>0.125</v>
      </c>
      <c r="J34" s="9" cm="1">
        <f t="array" ref="J34">TrajectoryDropInCM(C34,$A34,J$18)</f>
        <v>-113.62524147741269</v>
      </c>
      <c r="K34" s="9" cm="1">
        <f t="array" ref="K34">TrajectoryDropInCM(D34,$A34,K$18)</f>
        <v>-112.50023437558593</v>
      </c>
      <c r="L34" s="9" cm="1">
        <f t="array" ref="L34">TrajectoryDropInCM(E34,$A34,L$18)</f>
        <v>-95.940145362923829</v>
      </c>
      <c r="M34" s="9" cm="1">
        <f t="array" ref="M34">TrajectoryDropInCM(F34,$A34,M$18)</f>
        <v>-90.000120000191998</v>
      </c>
      <c r="N34" s="9" cm="1">
        <f t="array" ref="N34">TrajectoryDropInCM(G34,$A34,N$18)</f>
        <v>-63.000041160032275</v>
      </c>
      <c r="O34" s="9" cm="1">
        <f t="array" ref="O34">TrajectoryDropInCM(H34,$A34,O$18)</f>
        <v>-19.687501256103612</v>
      </c>
      <c r="P34" s="46" cm="1">
        <f t="array" ref="P34">TrajectoryDropInCM(I34,$A34,P$18)</f>
        <v>22.500001875000187</v>
      </c>
      <c r="Q34" s="45" cm="1">
        <f t="array" ref="Q34">TrajectoryErrorCM($E$19,1,$A34)</f>
        <v>15.197078900766764</v>
      </c>
    </row>
    <row r="35" spans="1:17" x14ac:dyDescent="0.25">
      <c r="A35" s="1">
        <v>500</v>
      </c>
      <c r="B35" s="1">
        <v>2471</v>
      </c>
      <c r="C35" s="6">
        <v>-0.625</v>
      </c>
      <c r="D35" s="6">
        <v>-0.76249999999999996</v>
      </c>
      <c r="E35" s="6">
        <v>-0.625</v>
      </c>
      <c r="F35" s="6">
        <v>-0.625</v>
      </c>
      <c r="G35" s="6">
        <v>-0.41699999999999998</v>
      </c>
      <c r="H35" s="6">
        <v>-0.25</v>
      </c>
      <c r="I35" s="15">
        <v>0</v>
      </c>
      <c r="J35" s="9" cm="1">
        <f t="array" ref="J35">TrajectoryDropInCM(C35,$A35,J$18)</f>
        <v>-157.81302404027585</v>
      </c>
      <c r="K35" s="9" cm="1">
        <f t="array" ref="K35">TrajectoryDropInCM(D35,$A35,K$18)</f>
        <v>-152.50047287884288</v>
      </c>
      <c r="L35" s="9" cm="1">
        <f t="array" ref="L35">TrajectoryDropInCM(E35,$A35,L$18)</f>
        <v>-125.0002604173177</v>
      </c>
      <c r="M35" s="9" cm="1">
        <f t="array" ref="M35">TrajectoryDropInCM(F35,$A35,M$18)</f>
        <v>-125.0002604173177</v>
      </c>
      <c r="N35" s="9" cm="1">
        <f t="array" ref="N35">TrajectoryDropInCM(G35,$A35,N$18)</f>
        <v>-83.400077345913274</v>
      </c>
      <c r="O35" s="9" cm="1">
        <f t="array" ref="O35">TrajectoryDropInCM(H35,$A35,O$18)</f>
        <v>-43.750011165368008</v>
      </c>
      <c r="P35" s="46" cm="1">
        <f t="array" ref="P35">TrajectoryDropInCM(I35,$A35,P$18)</f>
        <v>0</v>
      </c>
      <c r="Q35" s="45" cm="1">
        <f t="array" ref="Q35">TrajectoryErrorCM($E$19,1,$A35)</f>
        <v>16.885643223074183</v>
      </c>
    </row>
    <row r="70" spans="1:23" x14ac:dyDescent="0.25">
      <c r="T70" s="1"/>
      <c r="U70" s="1"/>
      <c r="V70" s="1"/>
      <c r="W70" s="1"/>
    </row>
    <row r="71" spans="1:23" x14ac:dyDescent="0.25">
      <c r="T71" s="1"/>
      <c r="U71" s="1"/>
      <c r="V71" s="1"/>
      <c r="W71" s="1"/>
    </row>
    <row r="72" spans="1:23" x14ac:dyDescent="0.25">
      <c r="T72" s="1"/>
      <c r="U72" s="1"/>
      <c r="V72" s="1"/>
      <c r="W72" s="1"/>
    </row>
    <row r="73" spans="1:23" x14ac:dyDescent="0.25">
      <c r="T73" s="1"/>
      <c r="U73" s="1"/>
      <c r="V73" s="1"/>
      <c r="W73" s="1"/>
    </row>
    <row r="74" spans="1:23" x14ac:dyDescent="0.25">
      <c r="T74" s="1"/>
      <c r="U74" s="1"/>
      <c r="V74" s="1"/>
      <c r="W74" s="1"/>
    </row>
    <row r="75" spans="1:23" x14ac:dyDescent="0.25">
      <c r="T75" s="1"/>
      <c r="U75" s="1"/>
      <c r="V75" s="1"/>
      <c r="W75" s="1"/>
    </row>
    <row r="76" spans="1:23" x14ac:dyDescent="0.25">
      <c r="T76" s="1"/>
      <c r="U76" s="1"/>
      <c r="V76" s="1"/>
      <c r="W76" s="1"/>
    </row>
    <row r="77" spans="1:23" x14ac:dyDescent="0.25">
      <c r="A77" t="s">
        <v>61</v>
      </c>
      <c r="T77" s="1"/>
      <c r="U77" s="1"/>
      <c r="V77" s="1"/>
      <c r="W77" s="1"/>
    </row>
    <row r="78" spans="1:23" x14ac:dyDescent="0.25">
      <c r="A78" t="s">
        <v>109</v>
      </c>
      <c r="T78" s="1"/>
      <c r="U78" s="1"/>
      <c r="V78" s="1"/>
      <c r="W78" s="1"/>
    </row>
    <row r="79" spans="1:23" x14ac:dyDescent="0.25">
      <c r="A79" s="13" t="s">
        <v>11</v>
      </c>
      <c r="B79" s="13" t="s">
        <v>12</v>
      </c>
      <c r="C79" s="13" t="s">
        <v>13</v>
      </c>
      <c r="D79" s="13" t="s">
        <v>14</v>
      </c>
      <c r="E79" s="13" t="s">
        <v>15</v>
      </c>
      <c r="F79" s="13" t="s">
        <v>16</v>
      </c>
      <c r="G79" s="13" t="s">
        <v>29</v>
      </c>
      <c r="H79" t="s">
        <v>30</v>
      </c>
      <c r="I79" t="s">
        <v>31</v>
      </c>
      <c r="J79" s="13"/>
      <c r="T79" s="1"/>
      <c r="U79" s="1"/>
      <c r="V79" s="1"/>
      <c r="W79" s="1"/>
    </row>
    <row r="80" spans="1:23" x14ac:dyDescent="0.25">
      <c r="A80">
        <v>0</v>
      </c>
      <c r="B80">
        <v>892</v>
      </c>
      <c r="C80">
        <v>4559</v>
      </c>
      <c r="D80">
        <v>-3.8</v>
      </c>
      <c r="E80">
        <v>0</v>
      </c>
      <c r="F80">
        <v>0</v>
      </c>
      <c r="G80">
        <v>0</v>
      </c>
      <c r="H80" s="1">
        <v>0</v>
      </c>
      <c r="I80" s="1">
        <v>0</v>
      </c>
      <c r="T80" s="1"/>
      <c r="U80" s="1"/>
      <c r="V80" s="1"/>
      <c r="W80" s="1"/>
    </row>
    <row r="81" spans="1:23" x14ac:dyDescent="0.25">
      <c r="A81" s="1">
        <v>25</v>
      </c>
      <c r="B81" s="1">
        <v>879</v>
      </c>
      <c r="C81" s="1">
        <v>4433</v>
      </c>
      <c r="D81">
        <v>-1.5</v>
      </c>
      <c r="E81" s="1">
        <v>2.1</v>
      </c>
      <c r="F81" s="1">
        <v>0.6</v>
      </c>
      <c r="G81" s="1">
        <v>0</v>
      </c>
      <c r="H81" s="1">
        <v>0</v>
      </c>
      <c r="I81" s="1">
        <v>0</v>
      </c>
      <c r="J81" s="1"/>
      <c r="T81" s="1"/>
      <c r="U81" s="1"/>
      <c r="V81" s="1"/>
      <c r="W81" s="1"/>
    </row>
    <row r="82" spans="1:23" x14ac:dyDescent="0.25">
      <c r="A82" s="10">
        <v>50</v>
      </c>
      <c r="B82" s="10">
        <v>867</v>
      </c>
      <c r="C82" s="10">
        <v>4311</v>
      </c>
      <c r="D82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0"/>
      <c r="T82" s="1"/>
      <c r="U82" s="1"/>
      <c r="V82" s="1"/>
      <c r="W82" s="1"/>
    </row>
    <row r="83" spans="1:23" x14ac:dyDescent="0.25">
      <c r="A83" s="1">
        <v>75</v>
      </c>
      <c r="B83" s="1">
        <v>855</v>
      </c>
      <c r="C83" s="1">
        <v>4192</v>
      </c>
      <c r="D83">
        <v>0.7</v>
      </c>
      <c r="E83" s="1">
        <v>-0.3</v>
      </c>
      <c r="F83" s="1">
        <v>-0.1</v>
      </c>
      <c r="G83" s="1">
        <v>1</v>
      </c>
      <c r="H83" s="1">
        <v>0</v>
      </c>
      <c r="I83" s="1">
        <v>0</v>
      </c>
      <c r="J83" s="1"/>
      <c r="T83" s="1"/>
      <c r="U83" s="1"/>
      <c r="V83" s="1"/>
      <c r="W83" s="1"/>
    </row>
    <row r="84" spans="1:23" x14ac:dyDescent="0.25">
      <c r="A84" s="1">
        <v>100</v>
      </c>
      <c r="B84" s="1">
        <v>843</v>
      </c>
      <c r="C84" s="1">
        <v>4075</v>
      </c>
      <c r="D84">
        <v>0.5</v>
      </c>
      <c r="E84" s="1">
        <v>-0.2</v>
      </c>
      <c r="F84" s="1">
        <v>-0.1</v>
      </c>
      <c r="G84" s="1">
        <v>1</v>
      </c>
      <c r="H84" s="1">
        <v>0</v>
      </c>
      <c r="I84" s="1">
        <v>0</v>
      </c>
      <c r="J84" s="1"/>
      <c r="T84" s="1"/>
      <c r="U84" s="1"/>
      <c r="V84" s="1"/>
      <c r="W84" s="1"/>
    </row>
    <row r="85" spans="1:23" x14ac:dyDescent="0.25">
      <c r="A85" s="1">
        <v>125</v>
      </c>
      <c r="B85" s="1">
        <v>831</v>
      </c>
      <c r="C85" s="1">
        <v>3962</v>
      </c>
      <c r="D85">
        <v>-0.5</v>
      </c>
      <c r="E85" s="1">
        <v>0.1</v>
      </c>
      <c r="F85" s="1">
        <v>0</v>
      </c>
      <c r="G85" s="1">
        <v>2</v>
      </c>
      <c r="H85" s="1">
        <v>1</v>
      </c>
      <c r="I85" s="1">
        <v>0</v>
      </c>
      <c r="J85" s="1"/>
      <c r="T85" s="1"/>
      <c r="U85" s="1"/>
      <c r="V85" s="1"/>
      <c r="W85" s="1"/>
    </row>
    <row r="86" spans="1:23" x14ac:dyDescent="0.25">
      <c r="A86" s="1">
        <v>150</v>
      </c>
      <c r="B86" s="1">
        <v>819</v>
      </c>
      <c r="C86" s="1">
        <v>3851</v>
      </c>
      <c r="D86">
        <v>-2.5</v>
      </c>
      <c r="E86" s="1">
        <v>0.6</v>
      </c>
      <c r="F86" s="1">
        <v>0.2</v>
      </c>
      <c r="G86" s="1">
        <v>3</v>
      </c>
      <c r="H86" s="1">
        <v>1</v>
      </c>
      <c r="I86" s="1">
        <v>0</v>
      </c>
      <c r="J86" s="1"/>
      <c r="T86" s="1"/>
      <c r="U86" s="1"/>
      <c r="V86" s="1"/>
      <c r="W86" s="1"/>
    </row>
    <row r="87" spans="1:23" x14ac:dyDescent="0.25">
      <c r="A87" s="1">
        <v>175</v>
      </c>
      <c r="B87" s="1">
        <v>808</v>
      </c>
      <c r="C87" s="1">
        <v>3742</v>
      </c>
      <c r="D87">
        <v>-5.3</v>
      </c>
      <c r="E87" s="1">
        <v>1</v>
      </c>
      <c r="F87" s="1">
        <v>0.3</v>
      </c>
      <c r="G87" s="1">
        <v>4</v>
      </c>
      <c r="H87" s="1">
        <v>1</v>
      </c>
      <c r="I87" s="1">
        <v>0</v>
      </c>
      <c r="J87" s="1"/>
      <c r="T87" s="1"/>
      <c r="U87" s="1"/>
      <c r="V87" s="1"/>
      <c r="W87" s="1"/>
    </row>
    <row r="88" spans="1:23" x14ac:dyDescent="0.25">
      <c r="A88" s="1">
        <v>200</v>
      </c>
      <c r="B88" s="1">
        <v>796</v>
      </c>
      <c r="C88" s="1">
        <v>3636</v>
      </c>
      <c r="D88">
        <v>-9.1999999999999993</v>
      </c>
      <c r="E88" s="1">
        <v>1.6</v>
      </c>
      <c r="F88" s="1">
        <v>0.5</v>
      </c>
      <c r="G88" s="1">
        <v>5</v>
      </c>
      <c r="H88" s="1">
        <v>1</v>
      </c>
      <c r="I88" s="1">
        <v>0</v>
      </c>
      <c r="J88" s="1"/>
      <c r="T88" s="1"/>
      <c r="U88" s="1"/>
      <c r="V88" s="1"/>
      <c r="W88" s="1"/>
    </row>
    <row r="89" spans="1:23" x14ac:dyDescent="0.25">
      <c r="A89" s="1">
        <v>225</v>
      </c>
      <c r="B89" s="1">
        <v>785</v>
      </c>
      <c r="C89" s="1">
        <v>3532</v>
      </c>
      <c r="D89">
        <v>-14</v>
      </c>
      <c r="E89" s="1">
        <v>2.1</v>
      </c>
      <c r="F89" s="1">
        <v>0.6</v>
      </c>
      <c r="G89" s="1">
        <v>6</v>
      </c>
      <c r="H89" s="1">
        <v>1</v>
      </c>
      <c r="I89" s="1">
        <v>0</v>
      </c>
      <c r="J89" s="1"/>
      <c r="T89" s="1"/>
      <c r="U89" s="1"/>
      <c r="V89" s="1"/>
      <c r="W89" s="1"/>
    </row>
    <row r="90" spans="1:23" x14ac:dyDescent="0.25">
      <c r="A90" s="1">
        <v>250</v>
      </c>
      <c r="B90" s="1">
        <v>773</v>
      </c>
      <c r="C90" s="1">
        <v>3430</v>
      </c>
      <c r="D90">
        <v>-19.7</v>
      </c>
      <c r="E90" s="1">
        <v>2.7</v>
      </c>
      <c r="F90" s="1">
        <v>0.8</v>
      </c>
      <c r="G90" s="1">
        <v>8</v>
      </c>
      <c r="H90" s="1">
        <v>1</v>
      </c>
      <c r="I90" s="1">
        <v>0</v>
      </c>
      <c r="J90" s="1"/>
      <c r="T90" s="1"/>
      <c r="U90" s="1"/>
      <c r="V90" s="1"/>
      <c r="W90" s="1"/>
    </row>
    <row r="91" spans="1:23" x14ac:dyDescent="0.25">
      <c r="A91" s="1">
        <v>275</v>
      </c>
      <c r="B91" s="1">
        <v>762</v>
      </c>
      <c r="C91" s="1">
        <v>3331</v>
      </c>
      <c r="D91">
        <v>-26.8</v>
      </c>
      <c r="E91" s="1">
        <v>3.3</v>
      </c>
      <c r="F91" s="1">
        <v>1</v>
      </c>
      <c r="G91" s="1">
        <v>9</v>
      </c>
      <c r="H91" s="1">
        <v>1</v>
      </c>
      <c r="I91" s="1">
        <v>0</v>
      </c>
      <c r="J91" s="1"/>
    </row>
    <row r="92" spans="1:23" x14ac:dyDescent="0.25">
      <c r="A92" s="1">
        <v>300</v>
      </c>
      <c r="B92" s="1">
        <v>751</v>
      </c>
      <c r="C92" s="1">
        <v>3234</v>
      </c>
      <c r="D92">
        <v>-34.700000000000003</v>
      </c>
      <c r="E92" s="1">
        <v>4</v>
      </c>
      <c r="F92" s="1">
        <v>1.2</v>
      </c>
      <c r="G92" s="1">
        <v>11</v>
      </c>
      <c r="H92" s="1">
        <v>1</v>
      </c>
      <c r="I92" s="1">
        <v>0</v>
      </c>
      <c r="J92" s="1"/>
    </row>
    <row r="93" spans="1:23" x14ac:dyDescent="0.25">
      <c r="A93" s="1">
        <v>325</v>
      </c>
      <c r="B93" s="1">
        <v>740</v>
      </c>
      <c r="C93" s="1">
        <v>3140</v>
      </c>
      <c r="D93">
        <v>-43.6</v>
      </c>
      <c r="E93" s="1">
        <v>4.5999999999999996</v>
      </c>
      <c r="F93" s="1">
        <v>1.3</v>
      </c>
      <c r="G93" s="1">
        <v>13</v>
      </c>
      <c r="H93" s="1">
        <v>2</v>
      </c>
      <c r="I93" s="1">
        <v>0</v>
      </c>
      <c r="J93" s="1"/>
    </row>
    <row r="94" spans="1:23" x14ac:dyDescent="0.25">
      <c r="A94" s="1">
        <v>350</v>
      </c>
      <c r="B94" s="1">
        <v>729</v>
      </c>
      <c r="C94" s="1">
        <v>3047</v>
      </c>
      <c r="D94">
        <v>-54.1</v>
      </c>
      <c r="E94" s="1">
        <v>5.3</v>
      </c>
      <c r="F94" s="1">
        <v>1.5</v>
      </c>
      <c r="G94" s="1">
        <v>15</v>
      </c>
      <c r="H94" s="1">
        <v>2</v>
      </c>
      <c r="I94" s="1">
        <v>0</v>
      </c>
      <c r="J94" s="1"/>
      <c r="T94" s="1"/>
      <c r="U94" s="1"/>
      <c r="V94" s="1"/>
      <c r="W94" s="1"/>
    </row>
    <row r="95" spans="1:23" x14ac:dyDescent="0.25">
      <c r="A95" s="1">
        <v>375</v>
      </c>
      <c r="B95" s="1">
        <v>718</v>
      </c>
      <c r="C95" s="1">
        <v>2957</v>
      </c>
      <c r="D95">
        <v>-65.5</v>
      </c>
      <c r="E95" s="1">
        <v>6</v>
      </c>
      <c r="F95" s="1">
        <v>1.7</v>
      </c>
      <c r="G95" s="1">
        <v>17</v>
      </c>
      <c r="H95" s="1">
        <v>2</v>
      </c>
      <c r="I95" s="1">
        <v>0</v>
      </c>
      <c r="J95" s="1"/>
      <c r="T95" s="1"/>
      <c r="U95" s="1"/>
      <c r="V95" s="1"/>
      <c r="W95" s="1"/>
    </row>
    <row r="96" spans="1:23" x14ac:dyDescent="0.25">
      <c r="A96" s="1">
        <v>400</v>
      </c>
      <c r="B96" s="1">
        <v>707</v>
      </c>
      <c r="C96" s="1">
        <v>2868</v>
      </c>
      <c r="D96">
        <v>-78</v>
      </c>
      <c r="E96" s="1">
        <v>6.7</v>
      </c>
      <c r="F96" s="1">
        <v>2</v>
      </c>
      <c r="G96" s="1">
        <v>20</v>
      </c>
      <c r="H96" s="1">
        <v>2</v>
      </c>
      <c r="I96" s="1">
        <v>0</v>
      </c>
      <c r="J96" s="1"/>
      <c r="T96" s="1"/>
      <c r="U96" s="1"/>
      <c r="V96" s="1"/>
      <c r="W96" s="1"/>
    </row>
    <row r="97" spans="1:23" x14ac:dyDescent="0.25">
      <c r="A97" s="1">
        <v>425</v>
      </c>
      <c r="B97" s="1">
        <v>696</v>
      </c>
      <c r="C97" s="1">
        <v>2782</v>
      </c>
      <c r="D97">
        <v>-92.3</v>
      </c>
      <c r="E97" s="1">
        <v>7.5</v>
      </c>
      <c r="F97" s="1">
        <v>2.2000000000000002</v>
      </c>
      <c r="G97" s="1">
        <v>22</v>
      </c>
      <c r="H97" s="1">
        <v>2</v>
      </c>
      <c r="I97" s="1">
        <v>1</v>
      </c>
      <c r="J97" s="1"/>
      <c r="T97" s="1"/>
      <c r="U97" s="1"/>
      <c r="V97" s="1"/>
      <c r="W97" s="1"/>
    </row>
    <row r="98" spans="1:23" x14ac:dyDescent="0.25">
      <c r="A98" s="1">
        <v>450</v>
      </c>
      <c r="B98" s="1">
        <v>686</v>
      </c>
      <c r="C98" s="1">
        <v>2698</v>
      </c>
      <c r="D98">
        <v>-107.5</v>
      </c>
      <c r="E98" s="1">
        <v>8.1999999999999993</v>
      </c>
      <c r="F98" s="1">
        <v>2.4</v>
      </c>
      <c r="G98" s="1">
        <v>25</v>
      </c>
      <c r="H98" s="1">
        <v>2</v>
      </c>
      <c r="I98" s="1">
        <v>1</v>
      </c>
      <c r="J98" s="1"/>
      <c r="T98" s="1"/>
      <c r="U98" s="1"/>
      <c r="V98" s="1"/>
      <c r="W98" s="1"/>
    </row>
    <row r="99" spans="1:23" x14ac:dyDescent="0.25">
      <c r="A99" s="1">
        <v>475</v>
      </c>
      <c r="B99" s="1">
        <v>675</v>
      </c>
      <c r="C99" s="1">
        <v>2615</v>
      </c>
      <c r="D99">
        <v>-123.9</v>
      </c>
      <c r="E99" s="1">
        <v>9</v>
      </c>
      <c r="F99" s="1">
        <v>2.6</v>
      </c>
      <c r="G99" s="1">
        <v>28</v>
      </c>
      <c r="H99" s="1">
        <v>2</v>
      </c>
      <c r="I99" s="1">
        <v>1</v>
      </c>
      <c r="J99" s="1"/>
      <c r="T99" s="1"/>
      <c r="U99" s="1"/>
      <c r="V99" s="1"/>
      <c r="W99" s="1"/>
    </row>
    <row r="100" spans="1:23" x14ac:dyDescent="0.25">
      <c r="A100" s="1">
        <v>500</v>
      </c>
      <c r="B100" s="1">
        <v>665</v>
      </c>
      <c r="C100" s="1">
        <v>2538</v>
      </c>
      <c r="D100">
        <v>-141.80000000000001</v>
      </c>
      <c r="E100" s="1">
        <v>9.8000000000000007</v>
      </c>
      <c r="F100" s="1">
        <v>2.8</v>
      </c>
      <c r="G100" s="1">
        <v>32</v>
      </c>
      <c r="H100" s="1">
        <v>2</v>
      </c>
      <c r="I100" s="1">
        <v>1</v>
      </c>
      <c r="J100" s="1"/>
      <c r="T100" s="1"/>
      <c r="U100" s="1"/>
      <c r="V100" s="1"/>
      <c r="W100" s="1"/>
    </row>
    <row r="101" spans="1:23" x14ac:dyDescent="0.25">
      <c r="T101" s="1"/>
      <c r="U101" s="1"/>
      <c r="V101" s="1"/>
      <c r="W101" s="1"/>
    </row>
    <row r="102" spans="1:23" x14ac:dyDescent="0.25">
      <c r="A102" t="s">
        <v>110</v>
      </c>
      <c r="T102" s="1"/>
      <c r="U102" s="1"/>
      <c r="V102" s="1"/>
      <c r="W102" s="1"/>
    </row>
    <row r="103" spans="1:23" x14ac:dyDescent="0.25">
      <c r="A103" t="s">
        <v>11</v>
      </c>
      <c r="B103" t="s">
        <v>12</v>
      </c>
      <c r="C103" t="s">
        <v>13</v>
      </c>
      <c r="D103" t="s">
        <v>14</v>
      </c>
      <c r="E103" t="s">
        <v>15</v>
      </c>
      <c r="F103" t="s">
        <v>16</v>
      </c>
      <c r="G103" t="s">
        <v>29</v>
      </c>
      <c r="H103" t="s">
        <v>30</v>
      </c>
      <c r="I103" t="s">
        <v>31</v>
      </c>
      <c r="T103" s="1"/>
      <c r="U103" s="1"/>
      <c r="V103" s="1"/>
      <c r="W103" s="1"/>
    </row>
    <row r="104" spans="1:23" x14ac:dyDescent="0.25">
      <c r="A104">
        <v>0</v>
      </c>
      <c r="B104">
        <v>892</v>
      </c>
      <c r="C104">
        <v>4559</v>
      </c>
      <c r="D104">
        <v>-3.8</v>
      </c>
      <c r="E104">
        <v>0</v>
      </c>
      <c r="F104">
        <v>0</v>
      </c>
      <c r="G104" s="1">
        <v>0</v>
      </c>
      <c r="H104" s="1">
        <v>0</v>
      </c>
      <c r="I104" s="1">
        <v>0</v>
      </c>
      <c r="T104" s="1"/>
      <c r="U104" s="1"/>
      <c r="V104" s="1"/>
      <c r="W104" s="1"/>
    </row>
    <row r="105" spans="1:23" x14ac:dyDescent="0.25">
      <c r="A105">
        <v>25</v>
      </c>
      <c r="B105">
        <v>879</v>
      </c>
      <c r="C105">
        <v>4433</v>
      </c>
      <c r="D105">
        <v>-1.7</v>
      </c>
      <c r="E105" s="1">
        <v>2.2999999999999998</v>
      </c>
      <c r="F105" s="1">
        <v>0.7</v>
      </c>
      <c r="G105" s="1">
        <v>0</v>
      </c>
      <c r="H105" s="1">
        <v>0</v>
      </c>
      <c r="I105" s="1">
        <v>0</v>
      </c>
      <c r="T105" s="1"/>
      <c r="U105" s="1"/>
      <c r="V105" s="1"/>
      <c r="W105" s="1"/>
    </row>
    <row r="106" spans="1:23" x14ac:dyDescent="0.25">
      <c r="A106">
        <v>50</v>
      </c>
      <c r="B106">
        <v>867</v>
      </c>
      <c r="C106">
        <v>4311</v>
      </c>
      <c r="D106">
        <v>-0.3</v>
      </c>
      <c r="E106" s="1">
        <v>0.2</v>
      </c>
      <c r="F106" s="1">
        <v>0</v>
      </c>
      <c r="G106" s="1">
        <v>0</v>
      </c>
      <c r="H106" s="1">
        <v>0</v>
      </c>
      <c r="I106" s="1">
        <v>0</v>
      </c>
      <c r="T106" s="1"/>
      <c r="U106" s="1"/>
      <c r="V106" s="1"/>
      <c r="W106" s="1"/>
    </row>
    <row r="107" spans="1:23" x14ac:dyDescent="0.25">
      <c r="A107">
        <v>75</v>
      </c>
      <c r="B107">
        <v>855</v>
      </c>
      <c r="C107">
        <v>4192</v>
      </c>
      <c r="D107">
        <v>0.3</v>
      </c>
      <c r="E107" s="1">
        <v>-0.1</v>
      </c>
      <c r="F107" s="1">
        <v>0</v>
      </c>
      <c r="G107" s="1">
        <v>1</v>
      </c>
      <c r="H107" s="1">
        <v>0</v>
      </c>
      <c r="I107" s="1">
        <v>0</v>
      </c>
      <c r="T107" s="1"/>
      <c r="U107" s="1"/>
      <c r="V107" s="1"/>
      <c r="W107" s="1"/>
    </row>
    <row r="108" spans="1:23" x14ac:dyDescent="0.25">
      <c r="A108">
        <v>100</v>
      </c>
      <c r="B108">
        <v>843</v>
      </c>
      <c r="C108">
        <v>4075</v>
      </c>
      <c r="D108">
        <v>0</v>
      </c>
      <c r="E108" s="1">
        <v>0</v>
      </c>
      <c r="F108" s="1">
        <v>0</v>
      </c>
      <c r="G108" s="1">
        <v>1</v>
      </c>
      <c r="H108" s="1">
        <v>0</v>
      </c>
      <c r="I108" s="1">
        <v>0</v>
      </c>
      <c r="T108" s="1"/>
      <c r="U108" s="1"/>
      <c r="V108" s="1"/>
      <c r="W108" s="1"/>
    </row>
    <row r="109" spans="1:23" x14ac:dyDescent="0.25">
      <c r="A109">
        <v>125</v>
      </c>
      <c r="B109">
        <v>831</v>
      </c>
      <c r="C109">
        <v>3962</v>
      </c>
      <c r="D109">
        <v>-1.2</v>
      </c>
      <c r="E109" s="1">
        <v>0.3</v>
      </c>
      <c r="F109" s="1">
        <v>0.1</v>
      </c>
      <c r="G109" s="1">
        <v>2</v>
      </c>
      <c r="H109" s="1">
        <v>1</v>
      </c>
      <c r="I109" s="1">
        <v>0</v>
      </c>
      <c r="T109" s="1"/>
      <c r="U109" s="1"/>
      <c r="V109" s="1"/>
      <c r="W109" s="1"/>
    </row>
    <row r="110" spans="1:23" x14ac:dyDescent="0.25">
      <c r="A110">
        <v>150</v>
      </c>
      <c r="B110">
        <v>819</v>
      </c>
      <c r="C110">
        <v>3851</v>
      </c>
      <c r="D110">
        <v>-3.2</v>
      </c>
      <c r="E110" s="1">
        <v>0.7</v>
      </c>
      <c r="F110" s="1">
        <v>0.2</v>
      </c>
      <c r="G110" s="1">
        <v>3</v>
      </c>
      <c r="H110" s="1">
        <v>1</v>
      </c>
      <c r="I110" s="1">
        <v>0</v>
      </c>
      <c r="T110" s="1"/>
      <c r="U110" s="1"/>
      <c r="V110" s="1"/>
      <c r="W110" s="1"/>
    </row>
    <row r="111" spans="1:23" x14ac:dyDescent="0.25">
      <c r="A111">
        <v>175</v>
      </c>
      <c r="B111">
        <v>808</v>
      </c>
      <c r="C111">
        <v>3742</v>
      </c>
      <c r="D111">
        <v>-6.2</v>
      </c>
      <c r="E111" s="1">
        <v>1.2</v>
      </c>
      <c r="F111" s="1">
        <v>0.4</v>
      </c>
      <c r="G111" s="1">
        <v>4</v>
      </c>
      <c r="H111" s="1">
        <v>1</v>
      </c>
      <c r="I111" s="1">
        <v>0</v>
      </c>
      <c r="T111" s="1"/>
      <c r="U111" s="1"/>
      <c r="V111" s="1"/>
      <c r="W111" s="1"/>
    </row>
    <row r="112" spans="1:23" x14ac:dyDescent="0.25">
      <c r="A112">
        <v>200</v>
      </c>
      <c r="B112">
        <v>796</v>
      </c>
      <c r="C112">
        <v>3636</v>
      </c>
      <c r="D112">
        <v>-10.3</v>
      </c>
      <c r="E112" s="1">
        <v>1.8</v>
      </c>
      <c r="F112" s="1">
        <v>0.5</v>
      </c>
      <c r="G112" s="1">
        <v>5</v>
      </c>
      <c r="H112" s="1">
        <v>1</v>
      </c>
      <c r="I112" s="1">
        <v>0</v>
      </c>
      <c r="T112" s="1"/>
      <c r="U112" s="1"/>
      <c r="V112" s="1"/>
      <c r="W112" s="1"/>
    </row>
    <row r="113" spans="1:23" x14ac:dyDescent="0.25">
      <c r="A113">
        <v>225</v>
      </c>
      <c r="B113">
        <v>785</v>
      </c>
      <c r="C113">
        <v>3532</v>
      </c>
      <c r="D113">
        <v>-15.1</v>
      </c>
      <c r="E113" s="1">
        <v>2.2999999999999998</v>
      </c>
      <c r="F113" s="1">
        <v>0.7</v>
      </c>
      <c r="G113" s="1">
        <v>6</v>
      </c>
      <c r="H113" s="1">
        <v>1</v>
      </c>
      <c r="I113" s="1">
        <v>0</v>
      </c>
      <c r="T113" s="1"/>
      <c r="U113" s="1"/>
      <c r="V113" s="1"/>
      <c r="W113" s="1"/>
    </row>
    <row r="114" spans="1:23" x14ac:dyDescent="0.25">
      <c r="A114">
        <v>250</v>
      </c>
      <c r="B114">
        <v>773</v>
      </c>
      <c r="C114">
        <v>3430</v>
      </c>
      <c r="D114">
        <v>-21</v>
      </c>
      <c r="E114" s="1">
        <v>2.9</v>
      </c>
      <c r="F114" s="1">
        <v>0.8</v>
      </c>
      <c r="G114" s="1">
        <v>8</v>
      </c>
      <c r="H114" s="1">
        <v>1</v>
      </c>
      <c r="I114" s="1">
        <v>0</v>
      </c>
      <c r="T114" s="1"/>
      <c r="U114" s="1"/>
      <c r="V114" s="1"/>
      <c r="W114" s="1"/>
    </row>
    <row r="115" spans="1:23" x14ac:dyDescent="0.25">
      <c r="A115">
        <v>275</v>
      </c>
      <c r="B115">
        <v>762</v>
      </c>
      <c r="C115">
        <v>3331</v>
      </c>
      <c r="D115">
        <v>-28.2</v>
      </c>
      <c r="E115" s="1">
        <v>3.5</v>
      </c>
      <c r="F115" s="1">
        <v>1</v>
      </c>
      <c r="G115" s="1">
        <v>9</v>
      </c>
      <c r="H115" s="1">
        <v>1</v>
      </c>
      <c r="I115" s="1">
        <v>0</v>
      </c>
    </row>
    <row r="116" spans="1:23" x14ac:dyDescent="0.25">
      <c r="A116">
        <v>300</v>
      </c>
      <c r="B116">
        <v>751</v>
      </c>
      <c r="C116">
        <v>3234</v>
      </c>
      <c r="D116">
        <v>-36.200000000000003</v>
      </c>
      <c r="E116" s="1">
        <v>4.0999999999999996</v>
      </c>
      <c r="F116" s="1">
        <v>1.2</v>
      </c>
      <c r="G116" s="1">
        <v>11</v>
      </c>
      <c r="H116" s="1">
        <v>1</v>
      </c>
      <c r="I116" s="1">
        <v>0</v>
      </c>
    </row>
    <row r="117" spans="1:23" x14ac:dyDescent="0.25">
      <c r="A117">
        <v>325</v>
      </c>
      <c r="B117">
        <v>740</v>
      </c>
      <c r="C117">
        <v>3140</v>
      </c>
      <c r="D117">
        <v>-45.3</v>
      </c>
      <c r="E117" s="1">
        <v>4.8</v>
      </c>
      <c r="F117" s="1">
        <v>1.4</v>
      </c>
      <c r="G117" s="1">
        <v>13</v>
      </c>
      <c r="H117" s="1">
        <v>2</v>
      </c>
      <c r="I117" s="1">
        <v>0</v>
      </c>
    </row>
    <row r="118" spans="1:23" x14ac:dyDescent="0.25">
      <c r="A118">
        <v>350</v>
      </c>
      <c r="B118">
        <v>729</v>
      </c>
      <c r="C118">
        <v>3047</v>
      </c>
      <c r="D118">
        <v>-56</v>
      </c>
      <c r="E118" s="1">
        <v>5.5</v>
      </c>
      <c r="F118" s="1">
        <v>1.6</v>
      </c>
      <c r="G118" s="1">
        <v>15</v>
      </c>
      <c r="H118" s="1">
        <v>2</v>
      </c>
      <c r="I118" s="1">
        <v>0</v>
      </c>
      <c r="T118" s="1"/>
      <c r="U118" s="1"/>
      <c r="V118" s="1"/>
      <c r="W118" s="1"/>
    </row>
    <row r="119" spans="1:23" x14ac:dyDescent="0.25">
      <c r="A119">
        <v>375</v>
      </c>
      <c r="B119">
        <v>718</v>
      </c>
      <c r="C119">
        <v>2957</v>
      </c>
      <c r="D119">
        <v>-67.400000000000006</v>
      </c>
      <c r="E119" s="1">
        <v>6.2</v>
      </c>
      <c r="F119" s="1">
        <v>1.8</v>
      </c>
      <c r="G119" s="1">
        <v>17</v>
      </c>
      <c r="H119" s="1">
        <v>2</v>
      </c>
      <c r="I119" s="1">
        <v>0</v>
      </c>
      <c r="T119" s="1"/>
      <c r="U119" s="1"/>
      <c r="V119" s="1"/>
      <c r="W119" s="1"/>
    </row>
    <row r="120" spans="1:23" x14ac:dyDescent="0.25">
      <c r="A120">
        <v>400</v>
      </c>
      <c r="B120">
        <v>707</v>
      </c>
      <c r="C120">
        <v>2868</v>
      </c>
      <c r="D120">
        <v>-80.099999999999994</v>
      </c>
      <c r="E120" s="1">
        <v>6.9</v>
      </c>
      <c r="F120" s="1">
        <v>2</v>
      </c>
      <c r="G120" s="1">
        <v>20</v>
      </c>
      <c r="H120" s="1">
        <v>2</v>
      </c>
      <c r="I120" s="1">
        <v>0</v>
      </c>
      <c r="T120" s="1"/>
      <c r="U120" s="1"/>
      <c r="V120" s="1"/>
      <c r="W120" s="1"/>
    </row>
    <row r="121" spans="1:23" x14ac:dyDescent="0.25">
      <c r="A121">
        <v>425</v>
      </c>
      <c r="B121">
        <v>696</v>
      </c>
      <c r="C121">
        <v>2782</v>
      </c>
      <c r="D121">
        <v>-94.5</v>
      </c>
      <c r="E121" s="1">
        <v>7.6</v>
      </c>
      <c r="F121" s="1">
        <v>2.2000000000000002</v>
      </c>
      <c r="G121" s="1">
        <v>22</v>
      </c>
      <c r="H121" s="1">
        <v>2</v>
      </c>
      <c r="I121" s="1">
        <v>1</v>
      </c>
      <c r="T121" s="1"/>
      <c r="U121" s="1"/>
      <c r="V121" s="1"/>
      <c r="W121" s="1"/>
    </row>
    <row r="122" spans="1:23" x14ac:dyDescent="0.25">
      <c r="A122">
        <v>450</v>
      </c>
      <c r="B122">
        <v>686</v>
      </c>
      <c r="C122">
        <v>2698</v>
      </c>
      <c r="D122">
        <v>-109.8</v>
      </c>
      <c r="E122" s="1">
        <v>8.4</v>
      </c>
      <c r="F122" s="1">
        <v>2.4</v>
      </c>
      <c r="G122" s="1">
        <v>25</v>
      </c>
      <c r="H122" s="1">
        <v>2</v>
      </c>
      <c r="I122" s="1">
        <v>1</v>
      </c>
      <c r="T122" s="1"/>
      <c r="U122" s="1"/>
      <c r="V122" s="1"/>
      <c r="W122" s="1"/>
    </row>
    <row r="123" spans="1:23" x14ac:dyDescent="0.25">
      <c r="A123">
        <v>475</v>
      </c>
      <c r="B123">
        <v>675</v>
      </c>
      <c r="C123">
        <v>2615</v>
      </c>
      <c r="D123">
        <v>-126.4</v>
      </c>
      <c r="E123" s="1">
        <v>9.1999999999999993</v>
      </c>
      <c r="F123" s="1">
        <v>2.7</v>
      </c>
      <c r="G123" s="1">
        <v>28</v>
      </c>
      <c r="H123" s="1">
        <v>2</v>
      </c>
      <c r="I123" s="1">
        <v>1</v>
      </c>
      <c r="T123" s="1"/>
      <c r="U123" s="1"/>
      <c r="V123" s="1"/>
      <c r="W123" s="1"/>
    </row>
    <row r="124" spans="1:23" x14ac:dyDescent="0.25">
      <c r="A124">
        <v>500</v>
      </c>
      <c r="B124">
        <v>665</v>
      </c>
      <c r="C124">
        <v>2538</v>
      </c>
      <c r="D124">
        <v>-144.4</v>
      </c>
      <c r="E124" s="1">
        <v>9.9</v>
      </c>
      <c r="F124" s="1">
        <v>2.9</v>
      </c>
      <c r="G124" s="1">
        <v>32</v>
      </c>
      <c r="H124" s="1">
        <v>2</v>
      </c>
      <c r="I124" s="1">
        <v>1</v>
      </c>
      <c r="T124" s="1"/>
      <c r="U124" s="1"/>
      <c r="V124" s="1"/>
      <c r="W124" s="1"/>
    </row>
    <row r="125" spans="1:23" x14ac:dyDescent="0.25">
      <c r="T125" s="1"/>
      <c r="U125" s="1"/>
      <c r="V125" s="1"/>
      <c r="W125" s="1"/>
    </row>
    <row r="126" spans="1:23" x14ac:dyDescent="0.25">
      <c r="A126" t="s">
        <v>111</v>
      </c>
      <c r="T126" s="1"/>
      <c r="U126" s="1"/>
      <c r="V126" s="1"/>
      <c r="W126" s="1"/>
    </row>
    <row r="127" spans="1:23" x14ac:dyDescent="0.25">
      <c r="A127" t="s">
        <v>11</v>
      </c>
      <c r="B127" t="s">
        <v>12</v>
      </c>
      <c r="C127" t="s">
        <v>13</v>
      </c>
      <c r="D127" t="s">
        <v>14</v>
      </c>
      <c r="E127" t="s">
        <v>15</v>
      </c>
      <c r="F127" t="s">
        <v>16</v>
      </c>
      <c r="G127" t="s">
        <v>29</v>
      </c>
      <c r="H127" t="s">
        <v>30</v>
      </c>
      <c r="I127" t="s">
        <v>31</v>
      </c>
      <c r="T127" s="1"/>
      <c r="U127" s="1"/>
      <c r="V127" s="1"/>
      <c r="W127" s="1"/>
    </row>
    <row r="128" spans="1:23" x14ac:dyDescent="0.25">
      <c r="A128">
        <v>0</v>
      </c>
      <c r="B128">
        <v>892</v>
      </c>
      <c r="C128">
        <v>4559</v>
      </c>
      <c r="D128">
        <v>-3.8</v>
      </c>
      <c r="E128">
        <v>0</v>
      </c>
      <c r="F128">
        <v>0</v>
      </c>
      <c r="G128" s="1">
        <v>0</v>
      </c>
      <c r="H128" s="1">
        <v>0</v>
      </c>
      <c r="I128" s="1">
        <v>0</v>
      </c>
      <c r="T128" s="1"/>
      <c r="U128" s="1"/>
      <c r="V128" s="1"/>
      <c r="W128" s="1"/>
    </row>
    <row r="129" spans="1:23" x14ac:dyDescent="0.25">
      <c r="A129">
        <v>25</v>
      </c>
      <c r="B129">
        <v>879</v>
      </c>
      <c r="C129">
        <v>4433</v>
      </c>
      <c r="D129">
        <v>-1.1000000000000001</v>
      </c>
      <c r="E129" s="1">
        <v>1.5</v>
      </c>
      <c r="F129" s="1">
        <v>0.4</v>
      </c>
      <c r="G129" s="1">
        <v>0</v>
      </c>
      <c r="H129" s="1">
        <v>0</v>
      </c>
      <c r="I129" s="1">
        <v>0</v>
      </c>
      <c r="T129" s="1"/>
      <c r="U129" s="1"/>
      <c r="V129" s="1"/>
      <c r="W129" s="1"/>
    </row>
    <row r="130" spans="1:23" x14ac:dyDescent="0.25">
      <c r="A130">
        <v>50</v>
      </c>
      <c r="B130">
        <v>867</v>
      </c>
      <c r="C130">
        <v>4311</v>
      </c>
      <c r="D130">
        <v>0.8</v>
      </c>
      <c r="E130" s="1">
        <v>-0.6</v>
      </c>
      <c r="F130" s="1">
        <v>-0.2</v>
      </c>
      <c r="G130" s="1">
        <v>0</v>
      </c>
      <c r="H130" s="1">
        <v>0</v>
      </c>
      <c r="I130" s="1">
        <v>0</v>
      </c>
      <c r="T130" s="1"/>
      <c r="U130" s="1"/>
      <c r="V130" s="1"/>
      <c r="W130" s="1"/>
    </row>
    <row r="131" spans="1:23" x14ac:dyDescent="0.25">
      <c r="A131">
        <v>75</v>
      </c>
      <c r="B131">
        <v>855</v>
      </c>
      <c r="C131">
        <v>4192</v>
      </c>
      <c r="D131">
        <v>1.9</v>
      </c>
      <c r="E131" s="1">
        <v>-0.9</v>
      </c>
      <c r="F131" s="1">
        <v>-0.3</v>
      </c>
      <c r="G131" s="1">
        <v>1</v>
      </c>
      <c r="H131" s="1">
        <v>0</v>
      </c>
      <c r="I131" s="1">
        <v>0</v>
      </c>
      <c r="T131" s="1"/>
      <c r="U131" s="1"/>
      <c r="V131" s="1"/>
      <c r="W131" s="1"/>
    </row>
    <row r="132" spans="1:23" x14ac:dyDescent="0.25">
      <c r="A132">
        <v>100</v>
      </c>
      <c r="B132">
        <v>843</v>
      </c>
      <c r="C132">
        <v>4075</v>
      </c>
      <c r="D132">
        <v>2.2000000000000002</v>
      </c>
      <c r="E132" s="1">
        <v>-0.7</v>
      </c>
      <c r="F132" s="1">
        <v>-0.2</v>
      </c>
      <c r="G132" s="1">
        <v>1</v>
      </c>
      <c r="H132" s="1">
        <v>0</v>
      </c>
      <c r="I132" s="1">
        <v>0</v>
      </c>
      <c r="T132" s="1"/>
      <c r="U132" s="1"/>
      <c r="V132" s="1"/>
      <c r="W132" s="1"/>
    </row>
    <row r="133" spans="1:23" x14ac:dyDescent="0.25">
      <c r="A133">
        <v>125</v>
      </c>
      <c r="B133">
        <v>831</v>
      </c>
      <c r="C133">
        <v>3962</v>
      </c>
      <c r="D133">
        <v>1.5</v>
      </c>
      <c r="E133" s="1">
        <v>-0.4</v>
      </c>
      <c r="F133" s="1">
        <v>-0.1</v>
      </c>
      <c r="G133" s="1">
        <v>2</v>
      </c>
      <c r="H133" s="1">
        <v>1</v>
      </c>
      <c r="I133" s="1">
        <v>0</v>
      </c>
      <c r="T133" s="1"/>
      <c r="U133" s="1"/>
      <c r="V133" s="1"/>
      <c r="W133" s="1"/>
    </row>
    <row r="134" spans="1:23" x14ac:dyDescent="0.25">
      <c r="A134">
        <v>150</v>
      </c>
      <c r="B134">
        <v>819</v>
      </c>
      <c r="C134">
        <v>3851</v>
      </c>
      <c r="D134">
        <v>0</v>
      </c>
      <c r="E134" s="1">
        <v>0</v>
      </c>
      <c r="F134" s="1">
        <v>0</v>
      </c>
      <c r="G134" s="1">
        <v>3</v>
      </c>
      <c r="H134" s="1">
        <v>1</v>
      </c>
      <c r="I134" s="1">
        <v>0</v>
      </c>
      <c r="T134" s="1"/>
      <c r="U134" s="1"/>
      <c r="V134" s="1"/>
      <c r="W134" s="1"/>
    </row>
    <row r="135" spans="1:23" x14ac:dyDescent="0.25">
      <c r="A135">
        <v>175</v>
      </c>
      <c r="B135">
        <v>808</v>
      </c>
      <c r="C135">
        <v>3742</v>
      </c>
      <c r="D135">
        <v>-2.4</v>
      </c>
      <c r="E135" s="1">
        <v>0.5</v>
      </c>
      <c r="F135" s="1">
        <v>0.1</v>
      </c>
      <c r="G135" s="1">
        <v>4</v>
      </c>
      <c r="H135" s="1">
        <v>1</v>
      </c>
      <c r="I135" s="1">
        <v>0</v>
      </c>
      <c r="T135" s="1"/>
      <c r="U135" s="1"/>
      <c r="V135" s="1"/>
      <c r="W135" s="1"/>
    </row>
    <row r="136" spans="1:23" x14ac:dyDescent="0.25">
      <c r="A136">
        <v>200</v>
      </c>
      <c r="B136">
        <v>796</v>
      </c>
      <c r="C136">
        <v>3636</v>
      </c>
      <c r="D136">
        <v>-5.9</v>
      </c>
      <c r="E136" s="1">
        <v>1</v>
      </c>
      <c r="F136" s="1">
        <v>0.3</v>
      </c>
      <c r="G136" s="1">
        <v>5</v>
      </c>
      <c r="H136" s="1">
        <v>1</v>
      </c>
      <c r="I136" s="1">
        <v>0</v>
      </c>
      <c r="T136" s="1"/>
      <c r="U136" s="1"/>
      <c r="V136" s="1"/>
      <c r="W136" s="1"/>
    </row>
    <row r="137" spans="1:23" x14ac:dyDescent="0.25">
      <c r="A137">
        <v>225</v>
      </c>
      <c r="B137">
        <v>785</v>
      </c>
      <c r="C137">
        <v>3532</v>
      </c>
      <c r="D137">
        <v>-10.3</v>
      </c>
      <c r="E137" s="1">
        <v>1.6</v>
      </c>
      <c r="F137" s="1">
        <v>0.5</v>
      </c>
      <c r="G137" s="1">
        <v>6</v>
      </c>
      <c r="H137" s="1">
        <v>1</v>
      </c>
      <c r="I137" s="1">
        <v>0</v>
      </c>
      <c r="T137" s="1"/>
      <c r="U137" s="1"/>
      <c r="V137" s="1"/>
      <c r="W137" s="1"/>
    </row>
    <row r="138" spans="1:23" x14ac:dyDescent="0.25">
      <c r="A138">
        <v>250</v>
      </c>
      <c r="B138">
        <v>773</v>
      </c>
      <c r="C138">
        <v>3430</v>
      </c>
      <c r="D138">
        <v>-15.6</v>
      </c>
      <c r="E138" s="1">
        <v>2.1</v>
      </c>
      <c r="F138" s="1">
        <v>0.6</v>
      </c>
      <c r="G138" s="1">
        <v>8</v>
      </c>
      <c r="H138" s="1">
        <v>1</v>
      </c>
      <c r="I138" s="1">
        <v>0</v>
      </c>
      <c r="T138" s="1"/>
      <c r="U138" s="1"/>
      <c r="V138" s="1"/>
      <c r="W138" s="1"/>
    </row>
    <row r="139" spans="1:23" x14ac:dyDescent="0.25">
      <c r="A139">
        <v>275</v>
      </c>
      <c r="B139">
        <v>762</v>
      </c>
      <c r="C139">
        <v>3331</v>
      </c>
      <c r="D139">
        <v>-22.3</v>
      </c>
      <c r="E139" s="1">
        <v>2.8</v>
      </c>
      <c r="F139" s="1">
        <v>0.8</v>
      </c>
      <c r="G139" s="1">
        <v>9</v>
      </c>
      <c r="H139" s="1">
        <v>1</v>
      </c>
      <c r="I139" s="1">
        <v>0</v>
      </c>
    </row>
    <row r="140" spans="1:23" x14ac:dyDescent="0.25">
      <c r="A140">
        <v>300</v>
      </c>
      <c r="B140">
        <v>751</v>
      </c>
      <c r="C140">
        <v>3234</v>
      </c>
      <c r="D140">
        <v>-29.7</v>
      </c>
      <c r="E140" s="1">
        <v>3.4</v>
      </c>
      <c r="F140" s="1">
        <v>1</v>
      </c>
      <c r="G140" s="1">
        <v>11</v>
      </c>
      <c r="H140" s="1">
        <v>1</v>
      </c>
      <c r="I140" s="1">
        <v>0</v>
      </c>
    </row>
    <row r="141" spans="1:23" x14ac:dyDescent="0.25">
      <c r="A141">
        <v>325</v>
      </c>
      <c r="B141">
        <v>740</v>
      </c>
      <c r="C141">
        <v>3140</v>
      </c>
      <c r="D141">
        <v>-38.299999999999997</v>
      </c>
      <c r="E141" s="1">
        <v>4.0999999999999996</v>
      </c>
      <c r="F141" s="1">
        <v>1.2</v>
      </c>
      <c r="G141" s="1">
        <v>13</v>
      </c>
      <c r="H141" s="1">
        <v>2</v>
      </c>
      <c r="I141" s="1">
        <v>0</v>
      </c>
    </row>
    <row r="142" spans="1:23" x14ac:dyDescent="0.25">
      <c r="A142">
        <v>350</v>
      </c>
      <c r="B142">
        <v>729</v>
      </c>
      <c r="C142">
        <v>3047</v>
      </c>
      <c r="D142">
        <v>-48.4</v>
      </c>
      <c r="E142" s="1">
        <v>4.7</v>
      </c>
      <c r="F142" s="1">
        <v>1.4</v>
      </c>
      <c r="G142" s="1">
        <v>15</v>
      </c>
      <c r="H142" s="1">
        <v>2</v>
      </c>
      <c r="I142" s="1">
        <v>0</v>
      </c>
      <c r="T142" s="1"/>
      <c r="U142" s="1"/>
      <c r="V142" s="1"/>
      <c r="W142" s="1"/>
    </row>
    <row r="143" spans="1:23" x14ac:dyDescent="0.25">
      <c r="A143">
        <v>375</v>
      </c>
      <c r="B143">
        <v>718</v>
      </c>
      <c r="C143">
        <v>2957</v>
      </c>
      <c r="D143">
        <v>-59.3</v>
      </c>
      <c r="E143" s="1">
        <v>5.4</v>
      </c>
      <c r="F143" s="1">
        <v>1.6</v>
      </c>
      <c r="G143" s="1">
        <v>17</v>
      </c>
      <c r="H143" s="1">
        <v>2</v>
      </c>
      <c r="I143" s="1">
        <v>0</v>
      </c>
      <c r="T143" s="1"/>
      <c r="U143" s="1"/>
      <c r="V143" s="1"/>
      <c r="W143" s="1"/>
    </row>
    <row r="144" spans="1:23" x14ac:dyDescent="0.25">
      <c r="A144">
        <v>400</v>
      </c>
      <c r="B144">
        <v>707</v>
      </c>
      <c r="C144">
        <v>2868</v>
      </c>
      <c r="D144">
        <v>-71.400000000000006</v>
      </c>
      <c r="E144" s="1">
        <v>6.1</v>
      </c>
      <c r="F144" s="1">
        <v>1.8</v>
      </c>
      <c r="G144" s="1">
        <v>20</v>
      </c>
      <c r="H144" s="1">
        <v>2</v>
      </c>
      <c r="I144" s="1">
        <v>0</v>
      </c>
      <c r="T144" s="1"/>
      <c r="U144" s="1"/>
      <c r="V144" s="1"/>
      <c r="W144" s="1"/>
    </row>
    <row r="145" spans="1:23" x14ac:dyDescent="0.25">
      <c r="A145">
        <v>425</v>
      </c>
      <c r="B145">
        <v>696</v>
      </c>
      <c r="C145">
        <v>2782</v>
      </c>
      <c r="D145">
        <v>-85.3</v>
      </c>
      <c r="E145" s="1">
        <v>6.9</v>
      </c>
      <c r="F145" s="1">
        <v>2</v>
      </c>
      <c r="G145" s="1">
        <v>22</v>
      </c>
      <c r="H145" s="1">
        <v>2</v>
      </c>
      <c r="I145" s="1">
        <v>1</v>
      </c>
      <c r="T145" s="1"/>
      <c r="U145" s="1"/>
      <c r="V145" s="1"/>
      <c r="W145" s="1"/>
    </row>
    <row r="146" spans="1:23" x14ac:dyDescent="0.25">
      <c r="A146">
        <v>450</v>
      </c>
      <c r="B146">
        <v>686</v>
      </c>
      <c r="C146">
        <v>2698</v>
      </c>
      <c r="D146">
        <v>-100.1</v>
      </c>
      <c r="E146" s="1">
        <v>7.6</v>
      </c>
      <c r="F146" s="1">
        <v>2.2000000000000002</v>
      </c>
      <c r="G146" s="1">
        <v>25</v>
      </c>
      <c r="H146" s="1">
        <v>2</v>
      </c>
      <c r="I146" s="1">
        <v>1</v>
      </c>
      <c r="T146" s="1"/>
      <c r="U146" s="1"/>
      <c r="V146" s="1"/>
      <c r="W146" s="1"/>
    </row>
    <row r="147" spans="1:23" x14ac:dyDescent="0.25">
      <c r="A147">
        <v>475</v>
      </c>
      <c r="B147">
        <v>675</v>
      </c>
      <c r="C147">
        <v>2615</v>
      </c>
      <c r="D147">
        <v>-116.1</v>
      </c>
      <c r="E147" s="1">
        <v>8.4</v>
      </c>
      <c r="F147" s="1">
        <v>2.4</v>
      </c>
      <c r="G147" s="1">
        <v>28</v>
      </c>
      <c r="H147" s="1">
        <v>2</v>
      </c>
      <c r="I147" s="1">
        <v>1</v>
      </c>
      <c r="T147" s="1"/>
      <c r="U147" s="1"/>
      <c r="V147" s="1"/>
      <c r="W147" s="1"/>
    </row>
    <row r="148" spans="1:23" x14ac:dyDescent="0.25">
      <c r="A148">
        <v>500</v>
      </c>
      <c r="B148">
        <v>665</v>
      </c>
      <c r="C148">
        <v>2538</v>
      </c>
      <c r="D148">
        <v>-133.6</v>
      </c>
      <c r="E148" s="1">
        <v>9.1999999999999993</v>
      </c>
      <c r="F148" s="1">
        <v>2.7</v>
      </c>
      <c r="G148" s="1">
        <v>32</v>
      </c>
      <c r="H148" s="1">
        <v>2</v>
      </c>
      <c r="I148" s="1">
        <v>1</v>
      </c>
      <c r="T148" s="1"/>
      <c r="U148" s="1"/>
      <c r="V148" s="1"/>
      <c r="W148" s="1"/>
    </row>
    <row r="149" spans="1:23" x14ac:dyDescent="0.25">
      <c r="T149" s="1"/>
      <c r="U149" s="1"/>
      <c r="V149" s="1"/>
      <c r="W149" s="1"/>
    </row>
    <row r="150" spans="1:23" x14ac:dyDescent="0.25">
      <c r="A150" t="s">
        <v>73</v>
      </c>
      <c r="T150" s="1"/>
      <c r="U150" s="1"/>
      <c r="V150" s="1"/>
      <c r="W150" s="1"/>
    </row>
    <row r="151" spans="1:23" x14ac:dyDescent="0.25">
      <c r="A151" t="s">
        <v>11</v>
      </c>
      <c r="B151" t="s">
        <v>12</v>
      </c>
      <c r="C151" t="s">
        <v>13</v>
      </c>
      <c r="D151" t="s">
        <v>14</v>
      </c>
      <c r="E151" t="s">
        <v>15</v>
      </c>
      <c r="F151" t="s">
        <v>16</v>
      </c>
      <c r="G151" t="s">
        <v>29</v>
      </c>
      <c r="H151" t="s">
        <v>30</v>
      </c>
      <c r="I151" t="s">
        <v>31</v>
      </c>
      <c r="T151" s="1"/>
      <c r="U151" s="1"/>
      <c r="V151" s="1"/>
      <c r="W151" s="1"/>
    </row>
    <row r="152" spans="1:23" x14ac:dyDescent="0.25">
      <c r="A152">
        <v>0</v>
      </c>
      <c r="B152">
        <v>892</v>
      </c>
      <c r="C152">
        <v>4559</v>
      </c>
      <c r="D152">
        <v>-3.8</v>
      </c>
      <c r="E152">
        <v>0</v>
      </c>
      <c r="F152">
        <v>0</v>
      </c>
      <c r="G152" s="1">
        <v>0</v>
      </c>
      <c r="H152" s="1">
        <v>0</v>
      </c>
      <c r="I152" s="1">
        <v>0</v>
      </c>
      <c r="T152" s="1"/>
      <c r="U152" s="1"/>
      <c r="V152" s="1"/>
      <c r="W152" s="1"/>
    </row>
    <row r="153" spans="1:23" x14ac:dyDescent="0.25">
      <c r="A153">
        <v>25</v>
      </c>
      <c r="B153">
        <v>879</v>
      </c>
      <c r="C153">
        <v>4433</v>
      </c>
      <c r="D153">
        <v>-0.4</v>
      </c>
      <c r="E153" s="1">
        <v>0.5</v>
      </c>
      <c r="F153" s="1">
        <v>0.2</v>
      </c>
      <c r="G153" s="1">
        <v>0</v>
      </c>
      <c r="H153" s="1">
        <v>0</v>
      </c>
      <c r="I153" s="1">
        <v>0</v>
      </c>
      <c r="T153" s="1"/>
      <c r="U153" s="1"/>
      <c r="V153" s="1"/>
      <c r="W153" s="1"/>
    </row>
    <row r="154" spans="1:23" x14ac:dyDescent="0.25">
      <c r="A154">
        <v>50</v>
      </c>
      <c r="B154">
        <v>867</v>
      </c>
      <c r="C154">
        <v>4311</v>
      </c>
      <c r="D154">
        <v>2.2999999999999998</v>
      </c>
      <c r="E154" s="1">
        <v>-1.6</v>
      </c>
      <c r="F154" s="1">
        <v>-0.5</v>
      </c>
      <c r="G154" s="1">
        <v>0</v>
      </c>
      <c r="H154" s="1">
        <v>0</v>
      </c>
      <c r="I154" s="1">
        <v>0</v>
      </c>
      <c r="T154" s="1"/>
      <c r="U154" s="1"/>
      <c r="V154" s="1"/>
      <c r="W154" s="1"/>
    </row>
    <row r="155" spans="1:23" x14ac:dyDescent="0.25">
      <c r="A155">
        <v>75</v>
      </c>
      <c r="B155">
        <v>855</v>
      </c>
      <c r="C155">
        <v>4192</v>
      </c>
      <c r="D155">
        <v>4.0999999999999996</v>
      </c>
      <c r="E155" s="1">
        <v>-1.9</v>
      </c>
      <c r="F155" s="1">
        <v>-0.5</v>
      </c>
      <c r="G155" s="1">
        <v>1</v>
      </c>
      <c r="H155" s="1">
        <v>0</v>
      </c>
      <c r="I155" s="1">
        <v>0</v>
      </c>
      <c r="T155" s="1"/>
      <c r="U155" s="1"/>
      <c r="V155" s="1"/>
      <c r="W155" s="1"/>
    </row>
    <row r="156" spans="1:23" x14ac:dyDescent="0.25">
      <c r="A156">
        <v>100</v>
      </c>
      <c r="B156">
        <v>843</v>
      </c>
      <c r="C156">
        <v>4075</v>
      </c>
      <c r="D156">
        <v>5.0999999999999996</v>
      </c>
      <c r="E156" s="1">
        <v>-1.8</v>
      </c>
      <c r="F156" s="1">
        <v>-0.5</v>
      </c>
      <c r="G156" s="1">
        <v>1</v>
      </c>
      <c r="H156" s="1">
        <v>0</v>
      </c>
      <c r="I156" s="1">
        <v>0</v>
      </c>
      <c r="T156" s="1"/>
      <c r="U156" s="1"/>
      <c r="V156" s="1"/>
      <c r="W156" s="1"/>
    </row>
    <row r="157" spans="1:23" x14ac:dyDescent="0.25">
      <c r="A157">
        <v>125</v>
      </c>
      <c r="B157">
        <v>831</v>
      </c>
      <c r="C157">
        <v>3962</v>
      </c>
      <c r="D157">
        <v>5.2</v>
      </c>
      <c r="E157" s="1">
        <v>-1.4</v>
      </c>
      <c r="F157" s="1">
        <v>-0.4</v>
      </c>
      <c r="G157" s="1">
        <v>2</v>
      </c>
      <c r="H157" s="1">
        <v>1</v>
      </c>
      <c r="I157" s="1">
        <v>0</v>
      </c>
      <c r="T157" s="1"/>
      <c r="U157" s="1"/>
      <c r="V157" s="1"/>
      <c r="W157" s="1"/>
    </row>
    <row r="158" spans="1:23" x14ac:dyDescent="0.25">
      <c r="A158">
        <v>150</v>
      </c>
      <c r="B158">
        <v>819</v>
      </c>
      <c r="C158">
        <v>3851</v>
      </c>
      <c r="D158">
        <v>4.4000000000000004</v>
      </c>
      <c r="E158" s="1">
        <v>-1</v>
      </c>
      <c r="F158" s="1">
        <v>-0.3</v>
      </c>
      <c r="G158" s="1">
        <v>3</v>
      </c>
      <c r="H158" s="1">
        <v>1</v>
      </c>
      <c r="I158" s="1">
        <v>0</v>
      </c>
      <c r="T158" s="1"/>
      <c r="U158" s="1"/>
      <c r="V158" s="1"/>
      <c r="W158" s="1"/>
    </row>
    <row r="159" spans="1:23" x14ac:dyDescent="0.25">
      <c r="A159">
        <v>175</v>
      </c>
      <c r="B159">
        <v>808</v>
      </c>
      <c r="C159">
        <v>3742</v>
      </c>
      <c r="D159">
        <v>2.7</v>
      </c>
      <c r="E159" s="1">
        <v>-0.5</v>
      </c>
      <c r="F159" s="1">
        <v>-0.2</v>
      </c>
      <c r="G159" s="1">
        <v>4</v>
      </c>
      <c r="H159" s="1">
        <v>1</v>
      </c>
      <c r="I159" s="1">
        <v>0</v>
      </c>
      <c r="T159" s="1"/>
      <c r="U159" s="1"/>
      <c r="V159" s="1"/>
      <c r="W159" s="1"/>
    </row>
    <row r="160" spans="1:23" x14ac:dyDescent="0.25">
      <c r="A160">
        <v>200</v>
      </c>
      <c r="B160">
        <v>796</v>
      </c>
      <c r="C160">
        <v>3636</v>
      </c>
      <c r="D160">
        <v>0</v>
      </c>
      <c r="E160" s="1">
        <v>0</v>
      </c>
      <c r="F160" s="1">
        <v>0</v>
      </c>
      <c r="G160" s="1">
        <v>5</v>
      </c>
      <c r="H160" s="1">
        <v>1</v>
      </c>
      <c r="I160" s="1">
        <v>0</v>
      </c>
      <c r="T160" s="1"/>
      <c r="U160" s="1"/>
      <c r="V160" s="1"/>
      <c r="W160" s="1"/>
    </row>
    <row r="161" spans="1:23" x14ac:dyDescent="0.25">
      <c r="A161">
        <v>225</v>
      </c>
      <c r="B161">
        <v>785</v>
      </c>
      <c r="C161">
        <v>3532</v>
      </c>
      <c r="D161">
        <v>-3.6</v>
      </c>
      <c r="E161" s="1">
        <v>0.6</v>
      </c>
      <c r="F161" s="1">
        <v>0.2</v>
      </c>
      <c r="G161" s="1">
        <v>6</v>
      </c>
      <c r="H161" s="1">
        <v>1</v>
      </c>
      <c r="I161" s="1">
        <v>0</v>
      </c>
      <c r="T161" s="1"/>
      <c r="U161" s="1"/>
      <c r="V161" s="1"/>
      <c r="W161" s="1"/>
    </row>
    <row r="162" spans="1:23" x14ac:dyDescent="0.25">
      <c r="A162">
        <v>250</v>
      </c>
      <c r="B162">
        <v>773</v>
      </c>
      <c r="C162">
        <v>3430</v>
      </c>
      <c r="D162">
        <v>-8.3000000000000007</v>
      </c>
      <c r="E162" s="1">
        <v>1.1000000000000001</v>
      </c>
      <c r="F162" s="1">
        <v>0.3</v>
      </c>
      <c r="G162" s="1">
        <v>8</v>
      </c>
      <c r="H162" s="1">
        <v>1</v>
      </c>
      <c r="I162" s="1">
        <v>0</v>
      </c>
      <c r="T162" s="1"/>
      <c r="U162" s="1"/>
      <c r="V162" s="1"/>
      <c r="W162" s="1"/>
    </row>
    <row r="163" spans="1:23" x14ac:dyDescent="0.25">
      <c r="A163">
        <v>275</v>
      </c>
      <c r="B163">
        <v>762</v>
      </c>
      <c r="C163">
        <v>3331</v>
      </c>
      <c r="D163">
        <v>-14.1</v>
      </c>
      <c r="E163" s="1">
        <v>1.8</v>
      </c>
      <c r="F163" s="1">
        <v>0.5</v>
      </c>
      <c r="G163" s="1">
        <v>9</v>
      </c>
      <c r="H163" s="1">
        <v>1</v>
      </c>
      <c r="I163" s="1">
        <v>0</v>
      </c>
    </row>
    <row r="164" spans="1:23" x14ac:dyDescent="0.25">
      <c r="A164">
        <v>300</v>
      </c>
      <c r="B164">
        <v>751</v>
      </c>
      <c r="C164">
        <v>3234</v>
      </c>
      <c r="D164">
        <v>-20.9</v>
      </c>
      <c r="E164" s="1">
        <v>2.4</v>
      </c>
      <c r="F164" s="1">
        <v>0.7</v>
      </c>
      <c r="G164" s="1">
        <v>11</v>
      </c>
      <c r="H164" s="1">
        <v>1</v>
      </c>
      <c r="I164" s="1">
        <v>0</v>
      </c>
    </row>
    <row r="165" spans="1:23" x14ac:dyDescent="0.25">
      <c r="A165">
        <v>325</v>
      </c>
      <c r="B165">
        <v>740</v>
      </c>
      <c r="C165">
        <v>3140</v>
      </c>
      <c r="D165">
        <v>-28.7</v>
      </c>
      <c r="E165" s="1">
        <v>3</v>
      </c>
      <c r="F165" s="1">
        <v>0.9</v>
      </c>
      <c r="G165" s="1">
        <v>13</v>
      </c>
      <c r="H165" s="1">
        <v>2</v>
      </c>
      <c r="I165" s="1">
        <v>0</v>
      </c>
    </row>
    <row r="166" spans="1:23" x14ac:dyDescent="0.25">
      <c r="A166">
        <v>350</v>
      </c>
      <c r="B166">
        <v>729</v>
      </c>
      <c r="C166">
        <v>3047</v>
      </c>
      <c r="D166">
        <v>-38.1</v>
      </c>
      <c r="E166" s="1">
        <v>3.7</v>
      </c>
      <c r="F166" s="1">
        <v>1.1000000000000001</v>
      </c>
      <c r="G166" s="1">
        <v>15</v>
      </c>
      <c r="H166" s="1">
        <v>2</v>
      </c>
      <c r="I166" s="1">
        <v>0</v>
      </c>
      <c r="T166" s="1"/>
      <c r="U166" s="1"/>
      <c r="V166" s="1"/>
      <c r="W166" s="1"/>
    </row>
    <row r="167" spans="1:23" x14ac:dyDescent="0.25">
      <c r="A167">
        <v>375</v>
      </c>
      <c r="B167">
        <v>718</v>
      </c>
      <c r="C167">
        <v>2957</v>
      </c>
      <c r="D167">
        <v>-48.3</v>
      </c>
      <c r="E167" s="1">
        <v>4.4000000000000004</v>
      </c>
      <c r="F167" s="1">
        <v>1.3</v>
      </c>
      <c r="G167" s="1">
        <v>17</v>
      </c>
      <c r="H167" s="1">
        <v>2</v>
      </c>
      <c r="I167" s="1">
        <v>0</v>
      </c>
      <c r="T167" s="1"/>
      <c r="U167" s="1"/>
      <c r="V167" s="1"/>
      <c r="W167" s="1"/>
    </row>
    <row r="168" spans="1:23" x14ac:dyDescent="0.25">
      <c r="A168">
        <v>400</v>
      </c>
      <c r="B168">
        <v>707</v>
      </c>
      <c r="C168">
        <v>2868</v>
      </c>
      <c r="D168">
        <v>-59.7</v>
      </c>
      <c r="E168" s="1">
        <v>5.0999999999999996</v>
      </c>
      <c r="F168" s="1">
        <v>1.5</v>
      </c>
      <c r="G168" s="1">
        <v>20</v>
      </c>
      <c r="H168" s="1">
        <v>2</v>
      </c>
      <c r="I168" s="1">
        <v>0</v>
      </c>
      <c r="T168" s="1"/>
      <c r="U168" s="1"/>
      <c r="V168" s="1"/>
      <c r="W168" s="1"/>
    </row>
    <row r="169" spans="1:23" x14ac:dyDescent="0.25">
      <c r="A169">
        <v>425</v>
      </c>
      <c r="B169">
        <v>696</v>
      </c>
      <c r="C169">
        <v>2782</v>
      </c>
      <c r="D169">
        <v>-72.8</v>
      </c>
      <c r="E169" s="1">
        <v>5.9</v>
      </c>
      <c r="F169" s="1">
        <v>1.7</v>
      </c>
      <c r="G169" s="1">
        <v>22</v>
      </c>
      <c r="H169" s="1">
        <v>2</v>
      </c>
      <c r="I169" s="1">
        <v>1</v>
      </c>
      <c r="T169" s="1"/>
      <c r="U169" s="1"/>
      <c r="V169" s="1"/>
      <c r="W169" s="1"/>
    </row>
    <row r="170" spans="1:23" x14ac:dyDescent="0.25">
      <c r="A170">
        <v>450</v>
      </c>
      <c r="B170">
        <v>686</v>
      </c>
      <c r="C170">
        <v>2698</v>
      </c>
      <c r="D170">
        <v>-86.8</v>
      </c>
      <c r="E170" s="1">
        <v>6.6</v>
      </c>
      <c r="F170" s="1">
        <v>1.9</v>
      </c>
      <c r="G170" s="1">
        <v>25</v>
      </c>
      <c r="H170" s="1">
        <v>2</v>
      </c>
      <c r="I170" s="1">
        <v>1</v>
      </c>
      <c r="T170" s="1"/>
      <c r="U170" s="1"/>
      <c r="V170" s="1"/>
      <c r="W170" s="1"/>
    </row>
    <row r="171" spans="1:23" x14ac:dyDescent="0.25">
      <c r="A171">
        <v>475</v>
      </c>
      <c r="B171">
        <v>675</v>
      </c>
      <c r="C171">
        <v>2615</v>
      </c>
      <c r="D171">
        <v>-102.2</v>
      </c>
      <c r="E171" s="1">
        <v>7.4</v>
      </c>
      <c r="F171" s="1">
        <v>2.2000000000000002</v>
      </c>
      <c r="G171" s="1">
        <v>28</v>
      </c>
      <c r="H171" s="1">
        <v>2</v>
      </c>
      <c r="I171" s="1">
        <v>1</v>
      </c>
      <c r="T171" s="1"/>
      <c r="U171" s="1"/>
      <c r="V171" s="1"/>
      <c r="W171" s="1"/>
    </row>
    <row r="172" spans="1:23" x14ac:dyDescent="0.25">
      <c r="A172">
        <v>500</v>
      </c>
      <c r="B172">
        <v>665</v>
      </c>
      <c r="C172">
        <v>2538</v>
      </c>
      <c r="D172">
        <v>-118.9</v>
      </c>
      <c r="E172" s="1">
        <v>8.1999999999999993</v>
      </c>
      <c r="F172" s="1">
        <v>2.4</v>
      </c>
      <c r="G172" s="1">
        <v>32</v>
      </c>
      <c r="H172" s="1">
        <v>2</v>
      </c>
      <c r="I172" s="1">
        <v>1</v>
      </c>
      <c r="T172" s="1"/>
      <c r="U172" s="1"/>
      <c r="V172" s="1"/>
      <c r="W172" s="1"/>
    </row>
    <row r="173" spans="1:23" x14ac:dyDescent="0.25">
      <c r="T173" s="1"/>
      <c r="U173" s="1"/>
      <c r="V173" s="1"/>
      <c r="W173" s="1"/>
    </row>
    <row r="174" spans="1:23" x14ac:dyDescent="0.25">
      <c r="A174" t="s">
        <v>74</v>
      </c>
      <c r="T174" s="1"/>
      <c r="U174" s="1"/>
      <c r="V174" s="1"/>
      <c r="W174" s="1"/>
    </row>
    <row r="175" spans="1:23" x14ac:dyDescent="0.25">
      <c r="A175" t="s">
        <v>11</v>
      </c>
      <c r="B175" t="s">
        <v>12</v>
      </c>
      <c r="C175" t="s">
        <v>13</v>
      </c>
      <c r="D175" t="s">
        <v>14</v>
      </c>
      <c r="E175" t="s">
        <v>15</v>
      </c>
      <c r="F175" t="s">
        <v>16</v>
      </c>
      <c r="G175" t="s">
        <v>29</v>
      </c>
      <c r="H175" t="s">
        <v>30</v>
      </c>
      <c r="I175" t="s">
        <v>31</v>
      </c>
      <c r="T175" s="1"/>
      <c r="U175" s="1"/>
      <c r="V175" s="1"/>
      <c r="W175" s="1"/>
    </row>
    <row r="176" spans="1:23" x14ac:dyDescent="0.25">
      <c r="A176">
        <v>0</v>
      </c>
      <c r="B176">
        <v>892</v>
      </c>
      <c r="C176">
        <v>4559</v>
      </c>
      <c r="D176">
        <v>-3.8</v>
      </c>
      <c r="E176">
        <v>0</v>
      </c>
      <c r="F176">
        <v>0</v>
      </c>
      <c r="G176" s="1">
        <v>0</v>
      </c>
      <c r="H176" s="1">
        <v>0</v>
      </c>
      <c r="I176" s="1">
        <v>0</v>
      </c>
      <c r="T176" s="1"/>
      <c r="U176" s="1"/>
      <c r="V176" s="1"/>
      <c r="W176" s="1"/>
    </row>
    <row r="177" spans="1:23" x14ac:dyDescent="0.25">
      <c r="A177">
        <v>25</v>
      </c>
      <c r="B177">
        <v>879</v>
      </c>
      <c r="C177">
        <v>4433</v>
      </c>
      <c r="D177">
        <v>1.3</v>
      </c>
      <c r="E177" s="1">
        <v>-1.9</v>
      </c>
      <c r="F177" s="1">
        <v>-0.5</v>
      </c>
      <c r="G177" s="1">
        <v>0</v>
      </c>
      <c r="H177" s="1">
        <v>0</v>
      </c>
      <c r="I177" s="1">
        <v>0</v>
      </c>
      <c r="T177" s="1"/>
      <c r="U177" s="1"/>
      <c r="V177" s="1"/>
      <c r="W177" s="1"/>
    </row>
    <row r="178" spans="1:23" x14ac:dyDescent="0.25">
      <c r="A178">
        <v>50</v>
      </c>
      <c r="B178">
        <v>867</v>
      </c>
      <c r="C178">
        <v>4311</v>
      </c>
      <c r="D178">
        <v>5.8</v>
      </c>
      <c r="E178" s="1">
        <v>-4</v>
      </c>
      <c r="F178" s="1">
        <v>-1.2</v>
      </c>
      <c r="G178" s="1">
        <v>0</v>
      </c>
      <c r="H178" s="1">
        <v>0</v>
      </c>
      <c r="I178" s="1">
        <v>0</v>
      </c>
      <c r="T178" s="1"/>
      <c r="U178" s="1"/>
      <c r="V178" s="1"/>
      <c r="W178" s="1"/>
    </row>
    <row r="179" spans="1:23" x14ac:dyDescent="0.25">
      <c r="A179">
        <v>75</v>
      </c>
      <c r="B179">
        <v>855</v>
      </c>
      <c r="C179">
        <v>4192</v>
      </c>
      <c r="D179">
        <v>9.4</v>
      </c>
      <c r="E179" s="1">
        <v>-4.3</v>
      </c>
      <c r="F179" s="1">
        <v>-1.2</v>
      </c>
      <c r="G179" s="1">
        <v>1</v>
      </c>
      <c r="H179" s="1">
        <v>0</v>
      </c>
      <c r="I179" s="1">
        <v>0</v>
      </c>
      <c r="T179" s="1"/>
      <c r="U179" s="1"/>
      <c r="V179" s="1"/>
      <c r="W179" s="1"/>
    </row>
    <row r="180" spans="1:23" x14ac:dyDescent="0.25">
      <c r="A180">
        <v>100</v>
      </c>
      <c r="B180">
        <v>843</v>
      </c>
      <c r="C180">
        <v>4075</v>
      </c>
      <c r="D180">
        <v>12.1</v>
      </c>
      <c r="E180" s="1">
        <v>-4.2</v>
      </c>
      <c r="F180" s="1">
        <v>-1.2</v>
      </c>
      <c r="G180" s="1">
        <v>1</v>
      </c>
      <c r="H180" s="1">
        <v>0</v>
      </c>
      <c r="I180" s="1">
        <v>0</v>
      </c>
      <c r="T180" s="1"/>
      <c r="U180" s="1"/>
      <c r="V180" s="1"/>
      <c r="W180" s="1"/>
    </row>
    <row r="181" spans="1:23" x14ac:dyDescent="0.25">
      <c r="A181">
        <v>125</v>
      </c>
      <c r="B181">
        <v>831</v>
      </c>
      <c r="C181">
        <v>3962</v>
      </c>
      <c r="D181">
        <v>14</v>
      </c>
      <c r="E181" s="1">
        <v>-3.8</v>
      </c>
      <c r="F181" s="1">
        <v>-1.1000000000000001</v>
      </c>
      <c r="G181" s="1">
        <v>2</v>
      </c>
      <c r="H181" s="1">
        <v>1</v>
      </c>
      <c r="I181" s="1">
        <v>0</v>
      </c>
      <c r="T181" s="1"/>
      <c r="U181" s="1"/>
      <c r="V181" s="1"/>
      <c r="W181" s="1"/>
    </row>
    <row r="182" spans="1:23" x14ac:dyDescent="0.25">
      <c r="A182">
        <v>150</v>
      </c>
      <c r="B182">
        <v>819</v>
      </c>
      <c r="C182">
        <v>3851</v>
      </c>
      <c r="D182">
        <v>14.9</v>
      </c>
      <c r="E182" s="1">
        <v>-3.4</v>
      </c>
      <c r="F182" s="1">
        <v>-1</v>
      </c>
      <c r="G182" s="1">
        <v>3</v>
      </c>
      <c r="H182" s="1">
        <v>1</v>
      </c>
      <c r="I182" s="1">
        <v>0</v>
      </c>
      <c r="T182" s="1"/>
      <c r="U182" s="1"/>
      <c r="V182" s="1"/>
      <c r="W182" s="1"/>
    </row>
    <row r="183" spans="1:23" x14ac:dyDescent="0.25">
      <c r="A183">
        <v>175</v>
      </c>
      <c r="B183">
        <v>808</v>
      </c>
      <c r="C183">
        <v>3742</v>
      </c>
      <c r="D183">
        <v>14.9</v>
      </c>
      <c r="E183" s="1">
        <v>-2.9</v>
      </c>
      <c r="F183" s="1">
        <v>-0.9</v>
      </c>
      <c r="G183" s="1">
        <v>4</v>
      </c>
      <c r="H183" s="1">
        <v>1</v>
      </c>
      <c r="I183" s="1">
        <v>0</v>
      </c>
      <c r="T183" s="1"/>
      <c r="U183" s="1"/>
      <c r="V183" s="1"/>
      <c r="W183" s="1"/>
    </row>
    <row r="184" spans="1:23" x14ac:dyDescent="0.25">
      <c r="A184">
        <v>200</v>
      </c>
      <c r="B184">
        <v>796</v>
      </c>
      <c r="C184">
        <v>3636</v>
      </c>
      <c r="D184">
        <v>14</v>
      </c>
      <c r="E184" s="1">
        <v>-2.4</v>
      </c>
      <c r="F184" s="1">
        <v>-0.7</v>
      </c>
      <c r="G184" s="1">
        <v>5</v>
      </c>
      <c r="H184" s="1">
        <v>1</v>
      </c>
      <c r="I184" s="1">
        <v>0</v>
      </c>
      <c r="T184" s="1"/>
      <c r="U184" s="1"/>
      <c r="V184" s="1"/>
      <c r="W184" s="1"/>
    </row>
    <row r="185" spans="1:23" x14ac:dyDescent="0.25">
      <c r="A185">
        <v>225</v>
      </c>
      <c r="B185">
        <v>785</v>
      </c>
      <c r="C185">
        <v>3532</v>
      </c>
      <c r="D185">
        <v>12.1</v>
      </c>
      <c r="E185" s="1">
        <v>-1.8</v>
      </c>
      <c r="F185" s="1">
        <v>-0.5</v>
      </c>
      <c r="G185" s="1">
        <v>6</v>
      </c>
      <c r="H185" s="1">
        <v>1</v>
      </c>
      <c r="I185" s="1">
        <v>0</v>
      </c>
      <c r="T185" s="1"/>
      <c r="U185" s="1"/>
      <c r="V185" s="1"/>
      <c r="W185" s="1"/>
    </row>
    <row r="186" spans="1:23" x14ac:dyDescent="0.25">
      <c r="A186">
        <v>250</v>
      </c>
      <c r="B186">
        <v>773</v>
      </c>
      <c r="C186">
        <v>3430</v>
      </c>
      <c r="D186">
        <v>9.1999999999999993</v>
      </c>
      <c r="E186" s="1">
        <v>-1.3</v>
      </c>
      <c r="F186" s="1">
        <v>-0.4</v>
      </c>
      <c r="G186" s="1">
        <v>8</v>
      </c>
      <c r="H186" s="1">
        <v>1</v>
      </c>
      <c r="I186" s="1">
        <v>0</v>
      </c>
      <c r="T186" s="1"/>
      <c r="U186" s="1"/>
      <c r="V186" s="1"/>
      <c r="W186" s="1"/>
    </row>
    <row r="187" spans="1:23" x14ac:dyDescent="0.25">
      <c r="A187">
        <v>275</v>
      </c>
      <c r="B187">
        <v>762</v>
      </c>
      <c r="C187">
        <v>3331</v>
      </c>
      <c r="D187">
        <v>5.0999999999999996</v>
      </c>
      <c r="E187" s="1">
        <v>-0.6</v>
      </c>
      <c r="F187" s="1">
        <v>-0.2</v>
      </c>
      <c r="G187" s="1">
        <v>9</v>
      </c>
      <c r="H187" s="1">
        <v>1</v>
      </c>
      <c r="I187" s="1">
        <v>0</v>
      </c>
    </row>
    <row r="188" spans="1:23" x14ac:dyDescent="0.25">
      <c r="A188">
        <v>300</v>
      </c>
      <c r="B188">
        <v>751</v>
      </c>
      <c r="C188">
        <v>3234</v>
      </c>
      <c r="D188">
        <v>0</v>
      </c>
      <c r="E188" s="1">
        <v>0</v>
      </c>
      <c r="F188" s="1">
        <v>0</v>
      </c>
      <c r="G188" s="1">
        <v>11</v>
      </c>
      <c r="H188" s="1">
        <v>1</v>
      </c>
      <c r="I188" s="1">
        <v>0</v>
      </c>
    </row>
    <row r="189" spans="1:23" x14ac:dyDescent="0.25">
      <c r="A189">
        <v>325</v>
      </c>
      <c r="B189">
        <v>740</v>
      </c>
      <c r="C189">
        <v>3140</v>
      </c>
      <c r="D189">
        <v>-6.1</v>
      </c>
      <c r="E189" s="1">
        <v>0.6</v>
      </c>
      <c r="F189" s="1">
        <v>0.2</v>
      </c>
      <c r="G189" s="1">
        <v>13</v>
      </c>
      <c r="H189" s="1">
        <v>2</v>
      </c>
      <c r="I189" s="1">
        <v>0</v>
      </c>
    </row>
    <row r="190" spans="1:23" x14ac:dyDescent="0.25">
      <c r="A190">
        <v>350</v>
      </c>
      <c r="B190">
        <v>729</v>
      </c>
      <c r="C190">
        <v>3047</v>
      </c>
      <c r="D190">
        <v>-13.6</v>
      </c>
      <c r="E190" s="1">
        <v>1.3</v>
      </c>
      <c r="F190" s="1">
        <v>0.4</v>
      </c>
      <c r="G190" s="1">
        <v>15</v>
      </c>
      <c r="H190" s="1">
        <v>2</v>
      </c>
      <c r="I190" s="1">
        <v>0</v>
      </c>
      <c r="T190" s="1"/>
      <c r="U190" s="1"/>
      <c r="V190" s="1"/>
      <c r="W190" s="1"/>
    </row>
    <row r="191" spans="1:23" x14ac:dyDescent="0.25">
      <c r="A191">
        <v>375</v>
      </c>
      <c r="B191">
        <v>718</v>
      </c>
      <c r="C191">
        <v>2956</v>
      </c>
      <c r="D191">
        <v>-22.1</v>
      </c>
      <c r="E191" s="1">
        <v>2</v>
      </c>
      <c r="F191" s="1">
        <v>0.6</v>
      </c>
      <c r="G191" s="1">
        <v>17</v>
      </c>
      <c r="H191" s="1">
        <v>2</v>
      </c>
      <c r="I191" s="1">
        <v>0</v>
      </c>
      <c r="T191" s="1"/>
      <c r="U191" s="1"/>
      <c r="V191" s="1"/>
      <c r="W191" s="1"/>
    </row>
    <row r="192" spans="1:23" x14ac:dyDescent="0.25">
      <c r="A192">
        <v>400</v>
      </c>
      <c r="B192">
        <v>707</v>
      </c>
      <c r="C192">
        <v>2868</v>
      </c>
      <c r="D192">
        <v>-31.8</v>
      </c>
      <c r="E192" s="1">
        <v>2.7</v>
      </c>
      <c r="F192" s="1">
        <v>0.8</v>
      </c>
      <c r="G192" s="1">
        <v>20</v>
      </c>
      <c r="H192" s="1">
        <v>2</v>
      </c>
      <c r="I192" s="1">
        <v>0</v>
      </c>
      <c r="T192" s="1"/>
      <c r="U192" s="1"/>
      <c r="V192" s="1"/>
      <c r="W192" s="1"/>
    </row>
    <row r="193" spans="1:23" x14ac:dyDescent="0.25">
      <c r="A193">
        <v>425</v>
      </c>
      <c r="B193">
        <v>696</v>
      </c>
      <c r="C193">
        <v>2782</v>
      </c>
      <c r="D193">
        <v>-43.2</v>
      </c>
      <c r="E193" s="1">
        <v>3.5</v>
      </c>
      <c r="F193" s="1">
        <v>1</v>
      </c>
      <c r="G193" s="1">
        <v>22</v>
      </c>
      <c r="H193" s="1">
        <v>2</v>
      </c>
      <c r="I193" s="1">
        <v>1</v>
      </c>
      <c r="T193" s="1"/>
      <c r="U193" s="1"/>
      <c r="V193" s="1"/>
      <c r="W193" s="1"/>
    </row>
    <row r="194" spans="1:23" x14ac:dyDescent="0.25">
      <c r="A194">
        <v>450</v>
      </c>
      <c r="B194">
        <v>686</v>
      </c>
      <c r="C194">
        <v>2698</v>
      </c>
      <c r="D194">
        <v>-55.4</v>
      </c>
      <c r="E194" s="1">
        <v>4.2</v>
      </c>
      <c r="F194" s="1">
        <v>1.2</v>
      </c>
      <c r="G194" s="1">
        <v>25</v>
      </c>
      <c r="H194" s="1">
        <v>2</v>
      </c>
      <c r="I194" s="1">
        <v>1</v>
      </c>
      <c r="T194" s="1"/>
      <c r="U194" s="1"/>
      <c r="V194" s="1"/>
      <c r="W194" s="1"/>
    </row>
    <row r="195" spans="1:23" x14ac:dyDescent="0.25">
      <c r="A195">
        <v>475</v>
      </c>
      <c r="B195">
        <v>675</v>
      </c>
      <c r="C195">
        <v>2615</v>
      </c>
      <c r="D195">
        <v>-69.099999999999994</v>
      </c>
      <c r="E195" s="1">
        <v>5</v>
      </c>
      <c r="F195" s="1">
        <v>1.5</v>
      </c>
      <c r="G195" s="1">
        <v>28</v>
      </c>
      <c r="H195" s="1">
        <v>2</v>
      </c>
      <c r="I195" s="1">
        <v>1</v>
      </c>
      <c r="T195" s="1"/>
      <c r="U195" s="1"/>
      <c r="V195" s="1"/>
      <c r="W195" s="1"/>
    </row>
    <row r="196" spans="1:23" x14ac:dyDescent="0.25">
      <c r="A196">
        <v>500</v>
      </c>
      <c r="B196">
        <v>665</v>
      </c>
      <c r="C196">
        <v>2538</v>
      </c>
      <c r="D196">
        <v>-84.1</v>
      </c>
      <c r="E196" s="1">
        <v>5.8</v>
      </c>
      <c r="F196" s="1">
        <v>1.7</v>
      </c>
      <c r="G196" s="1">
        <v>32</v>
      </c>
      <c r="H196" s="1">
        <v>2</v>
      </c>
      <c r="I196" s="1">
        <v>1</v>
      </c>
      <c r="T196" s="1"/>
      <c r="U196" s="1"/>
      <c r="V196" s="1"/>
      <c r="W196" s="1"/>
    </row>
    <row r="197" spans="1:23" x14ac:dyDescent="0.25">
      <c r="T197" s="1"/>
      <c r="U197" s="1"/>
      <c r="V197" s="1"/>
      <c r="W197" s="1"/>
    </row>
    <row r="198" spans="1:23" x14ac:dyDescent="0.25">
      <c r="A198" t="s">
        <v>75</v>
      </c>
      <c r="T198" s="1"/>
      <c r="U198" s="1"/>
      <c r="V198" s="1"/>
      <c r="W198" s="1"/>
    </row>
    <row r="199" spans="1:23" x14ac:dyDescent="0.25">
      <c r="A199" t="s">
        <v>11</v>
      </c>
      <c r="B199" t="s">
        <v>12</v>
      </c>
      <c r="C199" t="s">
        <v>13</v>
      </c>
      <c r="D199" t="s">
        <v>14</v>
      </c>
      <c r="E199" t="s">
        <v>15</v>
      </c>
      <c r="F199" t="s">
        <v>16</v>
      </c>
      <c r="G199" t="s">
        <v>29</v>
      </c>
      <c r="H199" t="s">
        <v>30</v>
      </c>
      <c r="I199" t="s">
        <v>31</v>
      </c>
      <c r="T199" s="1"/>
      <c r="U199" s="1"/>
      <c r="V199" s="1"/>
      <c r="W199" s="1"/>
    </row>
    <row r="200" spans="1:23" x14ac:dyDescent="0.25">
      <c r="A200">
        <v>0</v>
      </c>
      <c r="B200">
        <v>892</v>
      </c>
      <c r="C200">
        <v>4559</v>
      </c>
      <c r="D200">
        <v>-3.8</v>
      </c>
      <c r="E200">
        <v>0</v>
      </c>
      <c r="F200">
        <v>0</v>
      </c>
      <c r="G200" s="1">
        <v>0</v>
      </c>
      <c r="H200" s="1">
        <v>0</v>
      </c>
      <c r="I200" s="1">
        <v>0</v>
      </c>
      <c r="T200" s="1"/>
      <c r="U200" s="1"/>
      <c r="V200" s="1"/>
      <c r="W200" s="1"/>
    </row>
    <row r="201" spans="1:23" x14ac:dyDescent="0.25">
      <c r="A201">
        <v>25</v>
      </c>
      <c r="B201">
        <v>879</v>
      </c>
      <c r="C201">
        <v>4433</v>
      </c>
      <c r="D201">
        <v>3.3</v>
      </c>
      <c r="E201" s="1">
        <v>-4.5999999999999996</v>
      </c>
      <c r="F201" s="1">
        <v>-1.3</v>
      </c>
      <c r="G201" s="1">
        <v>0</v>
      </c>
      <c r="H201" s="1">
        <v>0</v>
      </c>
      <c r="I201" s="1">
        <v>0</v>
      </c>
      <c r="T201" s="1"/>
      <c r="U201" s="1"/>
      <c r="V201" s="1"/>
      <c r="W201" s="1"/>
    </row>
    <row r="202" spans="1:23" x14ac:dyDescent="0.25">
      <c r="A202">
        <v>50</v>
      </c>
      <c r="B202">
        <v>867</v>
      </c>
      <c r="C202">
        <v>4311</v>
      </c>
      <c r="D202">
        <v>9.9</v>
      </c>
      <c r="E202" s="1">
        <v>-6.7</v>
      </c>
      <c r="F202" s="1">
        <v>-2</v>
      </c>
      <c r="G202" s="1">
        <v>0</v>
      </c>
      <c r="H202" s="1">
        <v>0</v>
      </c>
      <c r="I202" s="1">
        <v>0</v>
      </c>
      <c r="T202" s="1"/>
      <c r="U202" s="1"/>
      <c r="V202" s="1"/>
      <c r="W202" s="1"/>
    </row>
    <row r="203" spans="1:23" x14ac:dyDescent="0.25">
      <c r="A203">
        <v>75</v>
      </c>
      <c r="B203">
        <v>855</v>
      </c>
      <c r="C203">
        <v>4192</v>
      </c>
      <c r="D203">
        <v>15.4</v>
      </c>
      <c r="E203" s="1">
        <v>-7</v>
      </c>
      <c r="F203" s="1">
        <v>-2</v>
      </c>
      <c r="G203" s="1">
        <v>1</v>
      </c>
      <c r="H203" s="1">
        <v>0</v>
      </c>
      <c r="I203" s="1">
        <v>0</v>
      </c>
      <c r="T203" s="1"/>
      <c r="U203" s="1"/>
      <c r="V203" s="1"/>
      <c r="W203" s="1"/>
    </row>
    <row r="204" spans="1:23" x14ac:dyDescent="0.25">
      <c r="A204">
        <v>100</v>
      </c>
      <c r="B204">
        <v>843</v>
      </c>
      <c r="C204">
        <v>4075</v>
      </c>
      <c r="D204">
        <v>20</v>
      </c>
      <c r="E204" s="1">
        <v>-6.9</v>
      </c>
      <c r="F204" s="1">
        <v>-2</v>
      </c>
      <c r="G204" s="1">
        <v>1</v>
      </c>
      <c r="H204" s="1">
        <v>0</v>
      </c>
      <c r="I204" s="1">
        <v>0</v>
      </c>
      <c r="T204" s="1"/>
      <c r="U204" s="1"/>
      <c r="V204" s="1"/>
      <c r="W204" s="1"/>
    </row>
    <row r="205" spans="1:23" x14ac:dyDescent="0.25">
      <c r="A205">
        <v>125</v>
      </c>
      <c r="B205">
        <v>831</v>
      </c>
      <c r="C205">
        <v>3962</v>
      </c>
      <c r="D205">
        <v>24</v>
      </c>
      <c r="E205" s="1">
        <v>-6.6</v>
      </c>
      <c r="F205" s="1">
        <v>-1.9</v>
      </c>
      <c r="G205" s="1">
        <v>2</v>
      </c>
      <c r="H205" s="1">
        <v>1</v>
      </c>
      <c r="I205" s="1">
        <v>0</v>
      </c>
      <c r="T205" s="1"/>
      <c r="U205" s="1"/>
      <c r="V205" s="1"/>
      <c r="W205" s="1"/>
    </row>
    <row r="206" spans="1:23" x14ac:dyDescent="0.25">
      <c r="A206">
        <v>150</v>
      </c>
      <c r="B206">
        <v>819</v>
      </c>
      <c r="C206">
        <v>3850</v>
      </c>
      <c r="D206">
        <v>26.9</v>
      </c>
      <c r="E206" s="1">
        <v>-6.2</v>
      </c>
      <c r="F206" s="1">
        <v>-1.8</v>
      </c>
      <c r="G206" s="1">
        <v>3</v>
      </c>
      <c r="H206" s="1">
        <v>1</v>
      </c>
      <c r="I206" s="1">
        <v>0</v>
      </c>
      <c r="T206" s="1"/>
      <c r="U206" s="1"/>
      <c r="V206" s="1"/>
      <c r="W206" s="1"/>
    </row>
    <row r="207" spans="1:23" x14ac:dyDescent="0.25">
      <c r="A207">
        <v>175</v>
      </c>
      <c r="B207">
        <v>808</v>
      </c>
      <c r="C207">
        <v>3742</v>
      </c>
      <c r="D207">
        <v>28.9</v>
      </c>
      <c r="E207" s="1">
        <v>-5.7</v>
      </c>
      <c r="F207" s="1">
        <v>-1.7</v>
      </c>
      <c r="G207" s="1">
        <v>4</v>
      </c>
      <c r="H207" s="1">
        <v>1</v>
      </c>
      <c r="I207" s="1">
        <v>0</v>
      </c>
      <c r="T207" s="1"/>
      <c r="U207" s="1"/>
      <c r="V207" s="1"/>
      <c r="W207" s="1"/>
    </row>
    <row r="208" spans="1:23" x14ac:dyDescent="0.25">
      <c r="A208">
        <v>200</v>
      </c>
      <c r="B208">
        <v>796</v>
      </c>
      <c r="C208">
        <v>3636</v>
      </c>
      <c r="D208">
        <v>29.9</v>
      </c>
      <c r="E208" s="1">
        <v>-5.0999999999999996</v>
      </c>
      <c r="F208" s="1">
        <v>-1.5</v>
      </c>
      <c r="G208" s="1">
        <v>5</v>
      </c>
      <c r="H208" s="1">
        <v>1</v>
      </c>
      <c r="I208" s="1">
        <v>0</v>
      </c>
      <c r="T208" s="1"/>
      <c r="U208" s="1"/>
      <c r="V208" s="1"/>
      <c r="W208" s="1"/>
    </row>
    <row r="209" spans="1:23" x14ac:dyDescent="0.25">
      <c r="A209">
        <v>225</v>
      </c>
      <c r="B209">
        <v>785</v>
      </c>
      <c r="C209">
        <v>3532</v>
      </c>
      <c r="D209">
        <v>30</v>
      </c>
      <c r="E209" s="1">
        <v>-4.5999999999999996</v>
      </c>
      <c r="F209" s="1">
        <v>-1.3</v>
      </c>
      <c r="G209" s="1">
        <v>6</v>
      </c>
      <c r="H209" s="1">
        <v>1</v>
      </c>
      <c r="I209" s="1">
        <v>0</v>
      </c>
      <c r="T209" s="1"/>
      <c r="U209" s="1"/>
      <c r="V209" s="1"/>
      <c r="W209" s="1"/>
    </row>
    <row r="210" spans="1:23" x14ac:dyDescent="0.25">
      <c r="A210">
        <v>250</v>
      </c>
      <c r="B210">
        <v>773</v>
      </c>
      <c r="C210">
        <v>3430</v>
      </c>
      <c r="D210">
        <v>29.1</v>
      </c>
      <c r="E210" s="1">
        <v>-4</v>
      </c>
      <c r="F210" s="1">
        <v>-1.2</v>
      </c>
      <c r="G210" s="1">
        <v>8</v>
      </c>
      <c r="H210" s="1">
        <v>1</v>
      </c>
      <c r="I210" s="1">
        <v>0</v>
      </c>
      <c r="T210" s="1"/>
      <c r="U210" s="1"/>
      <c r="V210" s="1"/>
      <c r="W210" s="1"/>
    </row>
    <row r="211" spans="1:23" x14ac:dyDescent="0.25">
      <c r="A211">
        <v>275</v>
      </c>
      <c r="B211">
        <v>762</v>
      </c>
      <c r="C211">
        <v>3331</v>
      </c>
      <c r="D211">
        <v>27</v>
      </c>
      <c r="E211" s="1">
        <v>-3.4</v>
      </c>
      <c r="F211" s="1">
        <v>-1</v>
      </c>
      <c r="G211" s="1">
        <v>9</v>
      </c>
      <c r="H211" s="1">
        <v>1</v>
      </c>
      <c r="I211" s="1">
        <v>0</v>
      </c>
    </row>
    <row r="212" spans="1:23" x14ac:dyDescent="0.25">
      <c r="A212">
        <v>300</v>
      </c>
      <c r="B212">
        <v>751</v>
      </c>
      <c r="C212">
        <v>3234</v>
      </c>
      <c r="D212">
        <v>24</v>
      </c>
      <c r="E212" s="1">
        <v>-2.7</v>
      </c>
      <c r="F212" s="1">
        <v>-0.8</v>
      </c>
      <c r="G212" s="1">
        <v>11</v>
      </c>
      <c r="H212" s="1">
        <v>1</v>
      </c>
      <c r="I212" s="1">
        <v>0</v>
      </c>
    </row>
    <row r="213" spans="1:23" x14ac:dyDescent="0.25">
      <c r="A213">
        <v>325</v>
      </c>
      <c r="B213">
        <v>740</v>
      </c>
      <c r="C213">
        <v>3139</v>
      </c>
      <c r="D213">
        <v>19.8</v>
      </c>
      <c r="E213" s="1">
        <v>-2.1</v>
      </c>
      <c r="F213" s="1">
        <v>-0.6</v>
      </c>
      <c r="G213" s="1">
        <v>13</v>
      </c>
      <c r="H213" s="1">
        <v>2</v>
      </c>
      <c r="I213" s="1">
        <v>0</v>
      </c>
    </row>
    <row r="214" spans="1:23" x14ac:dyDescent="0.25">
      <c r="A214">
        <v>350</v>
      </c>
      <c r="B214">
        <v>729</v>
      </c>
      <c r="C214">
        <v>3047</v>
      </c>
      <c r="D214">
        <v>14.3</v>
      </c>
      <c r="E214" s="1">
        <v>-1.4</v>
      </c>
      <c r="F214" s="1">
        <v>-0.4</v>
      </c>
      <c r="G214" s="1">
        <v>15</v>
      </c>
      <c r="H214" s="1">
        <v>2</v>
      </c>
      <c r="I214" s="1">
        <v>0</v>
      </c>
      <c r="T214" s="1"/>
      <c r="U214" s="1"/>
      <c r="V214" s="1"/>
      <c r="W214" s="1"/>
    </row>
    <row r="215" spans="1:23" x14ac:dyDescent="0.25">
      <c r="A215">
        <v>375</v>
      </c>
      <c r="B215">
        <v>718</v>
      </c>
      <c r="C215">
        <v>2956</v>
      </c>
      <c r="D215">
        <v>7.8</v>
      </c>
      <c r="E215" s="1">
        <v>-0.7</v>
      </c>
      <c r="F215" s="1">
        <v>-0.2</v>
      </c>
      <c r="G215" s="1">
        <v>17</v>
      </c>
      <c r="H215" s="1">
        <v>2</v>
      </c>
      <c r="I215" s="1">
        <v>0</v>
      </c>
      <c r="T215" s="1"/>
      <c r="U215" s="1"/>
      <c r="V215" s="1"/>
      <c r="W215" s="1"/>
    </row>
    <row r="216" spans="1:23" x14ac:dyDescent="0.25">
      <c r="A216">
        <v>400</v>
      </c>
      <c r="B216">
        <v>707</v>
      </c>
      <c r="C216">
        <v>2868</v>
      </c>
      <c r="D216">
        <v>0.1</v>
      </c>
      <c r="E216" s="1">
        <v>0</v>
      </c>
      <c r="F216" s="1">
        <v>0</v>
      </c>
      <c r="G216" s="1">
        <v>20</v>
      </c>
      <c r="H216" s="1">
        <v>2</v>
      </c>
      <c r="I216" s="1">
        <v>0</v>
      </c>
      <c r="T216" s="1"/>
      <c r="U216" s="1"/>
      <c r="V216" s="1"/>
      <c r="W216" s="1"/>
    </row>
    <row r="217" spans="1:23" x14ac:dyDescent="0.25">
      <c r="A217">
        <v>425</v>
      </c>
      <c r="B217">
        <v>696</v>
      </c>
      <c r="C217">
        <v>2782</v>
      </c>
      <c r="D217">
        <v>-9.1999999999999993</v>
      </c>
      <c r="E217" s="1">
        <v>0.7</v>
      </c>
      <c r="F217" s="1">
        <v>0.2</v>
      </c>
      <c r="G217" s="1">
        <v>22</v>
      </c>
      <c r="H217" s="1">
        <v>2</v>
      </c>
      <c r="I217" s="1">
        <v>1</v>
      </c>
      <c r="T217" s="1"/>
      <c r="U217" s="1"/>
      <c r="V217" s="1"/>
      <c r="W217" s="1"/>
    </row>
    <row r="218" spans="1:23" x14ac:dyDescent="0.25">
      <c r="A218">
        <v>450</v>
      </c>
      <c r="B218">
        <v>686</v>
      </c>
      <c r="C218">
        <v>2697</v>
      </c>
      <c r="D218">
        <v>-19.5</v>
      </c>
      <c r="E218" s="1">
        <v>1.5</v>
      </c>
      <c r="F218" s="1">
        <v>0.4</v>
      </c>
      <c r="G218" s="1">
        <v>25</v>
      </c>
      <c r="H218" s="1">
        <v>2</v>
      </c>
      <c r="I218" s="1">
        <v>1</v>
      </c>
      <c r="T218" s="1"/>
      <c r="U218" s="1"/>
      <c r="V218" s="1"/>
      <c r="W218" s="1"/>
    </row>
    <row r="219" spans="1:23" x14ac:dyDescent="0.25">
      <c r="A219">
        <v>475</v>
      </c>
      <c r="B219">
        <v>675</v>
      </c>
      <c r="C219">
        <v>2615</v>
      </c>
      <c r="D219">
        <v>-31.2</v>
      </c>
      <c r="E219" s="1">
        <v>2.2999999999999998</v>
      </c>
      <c r="F219" s="1">
        <v>0.7</v>
      </c>
      <c r="G219" s="1">
        <v>28</v>
      </c>
      <c r="H219" s="1">
        <v>2</v>
      </c>
      <c r="I219" s="1">
        <v>1</v>
      </c>
      <c r="T219" s="1"/>
      <c r="U219" s="1"/>
      <c r="V219" s="1"/>
      <c r="W219" s="1"/>
    </row>
    <row r="220" spans="1:23" x14ac:dyDescent="0.25">
      <c r="A220">
        <v>500</v>
      </c>
      <c r="B220">
        <v>665</v>
      </c>
      <c r="C220">
        <v>2538</v>
      </c>
      <c r="D220">
        <v>-44.2</v>
      </c>
      <c r="E220" s="1">
        <v>3</v>
      </c>
      <c r="F220" s="1">
        <v>0.9</v>
      </c>
      <c r="G220" s="1">
        <v>32</v>
      </c>
      <c r="H220" s="1">
        <v>2</v>
      </c>
      <c r="I220" s="1">
        <v>1</v>
      </c>
      <c r="T220" s="1"/>
      <c r="U220" s="1"/>
      <c r="V220" s="1"/>
      <c r="W220" s="1"/>
    </row>
    <row r="221" spans="1:23" x14ac:dyDescent="0.25">
      <c r="T221" s="1"/>
      <c r="U221" s="1"/>
      <c r="V221" s="1"/>
      <c r="W221" s="1"/>
    </row>
    <row r="222" spans="1:23" x14ac:dyDescent="0.25">
      <c r="A222" t="s">
        <v>76</v>
      </c>
      <c r="T222" s="1"/>
      <c r="U222" s="1"/>
      <c r="V222" s="1"/>
      <c r="W222" s="1"/>
    </row>
    <row r="223" spans="1:23" x14ac:dyDescent="0.25">
      <c r="A223" t="s">
        <v>11</v>
      </c>
      <c r="B223" t="s">
        <v>12</v>
      </c>
      <c r="C223" t="s">
        <v>13</v>
      </c>
      <c r="D223" t="s">
        <v>14</v>
      </c>
      <c r="E223" t="s">
        <v>15</v>
      </c>
      <c r="F223" t="s">
        <v>16</v>
      </c>
      <c r="G223" t="s">
        <v>29</v>
      </c>
      <c r="H223" t="s">
        <v>30</v>
      </c>
      <c r="I223" t="s">
        <v>31</v>
      </c>
      <c r="T223" s="1"/>
      <c r="U223" s="1"/>
      <c r="V223" s="1"/>
      <c r="W223" s="1"/>
    </row>
    <row r="224" spans="1:23" x14ac:dyDescent="0.25">
      <c r="A224">
        <v>0</v>
      </c>
      <c r="B224">
        <v>892</v>
      </c>
      <c r="C224">
        <v>4559</v>
      </c>
      <c r="D224">
        <v>-3.8</v>
      </c>
      <c r="E224">
        <v>0</v>
      </c>
      <c r="F224">
        <v>0</v>
      </c>
      <c r="G224" s="1">
        <v>0</v>
      </c>
      <c r="H224" s="1">
        <v>0</v>
      </c>
      <c r="I224" s="1">
        <v>0</v>
      </c>
      <c r="T224" s="1"/>
      <c r="U224" s="1"/>
      <c r="V224" s="1"/>
      <c r="W224" s="1"/>
    </row>
    <row r="225" spans="1:23" x14ac:dyDescent="0.25">
      <c r="A225">
        <v>25</v>
      </c>
      <c r="B225">
        <v>879</v>
      </c>
      <c r="C225">
        <v>4433</v>
      </c>
      <c r="D225">
        <v>5.5</v>
      </c>
      <c r="E225" s="1">
        <v>-7.7</v>
      </c>
      <c r="F225" s="1">
        <v>-2.2000000000000002</v>
      </c>
      <c r="G225" s="1">
        <v>0</v>
      </c>
      <c r="H225" s="1">
        <v>0</v>
      </c>
      <c r="I225" s="1">
        <v>0</v>
      </c>
      <c r="T225" s="1"/>
      <c r="U225" s="1"/>
      <c r="V225" s="1"/>
      <c r="W225" s="1"/>
    </row>
    <row r="226" spans="1:23" x14ac:dyDescent="0.25">
      <c r="A226">
        <v>50</v>
      </c>
      <c r="B226">
        <v>867</v>
      </c>
      <c r="C226">
        <v>4311</v>
      </c>
      <c r="D226">
        <v>14.4</v>
      </c>
      <c r="E226" s="1">
        <v>-9.8000000000000007</v>
      </c>
      <c r="F226" s="1">
        <v>-2.8</v>
      </c>
      <c r="G226" s="1">
        <v>0</v>
      </c>
      <c r="H226" s="1">
        <v>0</v>
      </c>
      <c r="I226" s="1">
        <v>0</v>
      </c>
      <c r="T226" s="1"/>
      <c r="U226" s="1"/>
      <c r="V226" s="1"/>
      <c r="W226" s="1"/>
    </row>
    <row r="227" spans="1:23" x14ac:dyDescent="0.25">
      <c r="A227">
        <v>75</v>
      </c>
      <c r="B227">
        <v>855</v>
      </c>
      <c r="C227">
        <v>4192</v>
      </c>
      <c r="D227">
        <v>22.1</v>
      </c>
      <c r="E227" s="1">
        <v>-10.1</v>
      </c>
      <c r="F227" s="1">
        <v>-2.9</v>
      </c>
      <c r="G227" s="1">
        <v>1</v>
      </c>
      <c r="H227" s="1">
        <v>0</v>
      </c>
      <c r="I227" s="1">
        <v>0</v>
      </c>
      <c r="T227" s="1"/>
      <c r="U227" s="1"/>
      <c r="V227" s="1"/>
      <c r="W227" s="1"/>
    </row>
    <row r="228" spans="1:23" x14ac:dyDescent="0.25">
      <c r="A228">
        <v>100</v>
      </c>
      <c r="B228">
        <v>843</v>
      </c>
      <c r="C228">
        <v>4075</v>
      </c>
      <c r="D228">
        <v>28.9</v>
      </c>
      <c r="E228" s="1">
        <v>-10</v>
      </c>
      <c r="F228" s="1">
        <v>-2.9</v>
      </c>
      <c r="G228" s="1">
        <v>1</v>
      </c>
      <c r="H228" s="1">
        <v>0</v>
      </c>
      <c r="I228" s="1">
        <v>0</v>
      </c>
      <c r="T228" s="1"/>
      <c r="U228" s="1"/>
      <c r="V228" s="1"/>
      <c r="W228" s="1"/>
    </row>
    <row r="229" spans="1:23" x14ac:dyDescent="0.25">
      <c r="A229">
        <v>125</v>
      </c>
      <c r="B229">
        <v>831</v>
      </c>
      <c r="C229">
        <v>3962</v>
      </c>
      <c r="D229">
        <v>35.1</v>
      </c>
      <c r="E229" s="1">
        <v>-9.6</v>
      </c>
      <c r="F229" s="1">
        <v>-2.8</v>
      </c>
      <c r="G229" s="1">
        <v>2</v>
      </c>
      <c r="H229" s="1">
        <v>1</v>
      </c>
      <c r="I229" s="1">
        <v>0</v>
      </c>
      <c r="T229" s="1"/>
      <c r="U229" s="1"/>
      <c r="V229" s="1"/>
      <c r="W229" s="1"/>
    </row>
    <row r="230" spans="1:23" x14ac:dyDescent="0.25">
      <c r="A230">
        <v>150</v>
      </c>
      <c r="B230">
        <v>819</v>
      </c>
      <c r="C230">
        <v>3850</v>
      </c>
      <c r="D230">
        <v>40.200000000000003</v>
      </c>
      <c r="E230" s="1">
        <v>-9.1999999999999993</v>
      </c>
      <c r="F230" s="1">
        <v>-2.7</v>
      </c>
      <c r="G230" s="1">
        <v>3</v>
      </c>
      <c r="H230" s="1">
        <v>1</v>
      </c>
      <c r="I230" s="1">
        <v>0</v>
      </c>
      <c r="T230" s="1"/>
      <c r="U230" s="1"/>
      <c r="V230" s="1"/>
      <c r="W230" s="1"/>
    </row>
    <row r="231" spans="1:23" x14ac:dyDescent="0.25">
      <c r="A231">
        <v>175</v>
      </c>
      <c r="B231">
        <v>808</v>
      </c>
      <c r="C231">
        <v>3742</v>
      </c>
      <c r="D231">
        <v>44.4</v>
      </c>
      <c r="E231" s="1">
        <v>-8.6999999999999993</v>
      </c>
      <c r="F231" s="1">
        <v>-2.5</v>
      </c>
      <c r="G231" s="1">
        <v>4</v>
      </c>
      <c r="H231" s="1">
        <v>1</v>
      </c>
      <c r="I231" s="1">
        <v>0</v>
      </c>
      <c r="T231" s="1"/>
      <c r="U231" s="1"/>
      <c r="V231" s="1"/>
      <c r="W231" s="1"/>
    </row>
    <row r="232" spans="1:23" x14ac:dyDescent="0.25">
      <c r="A232">
        <v>200</v>
      </c>
      <c r="B232">
        <v>796</v>
      </c>
      <c r="C232">
        <v>3636</v>
      </c>
      <c r="D232">
        <v>47.8</v>
      </c>
      <c r="E232" s="1">
        <v>-8.1999999999999993</v>
      </c>
      <c r="F232" s="1">
        <v>-2.4</v>
      </c>
      <c r="G232" s="1">
        <v>5</v>
      </c>
      <c r="H232" s="1">
        <v>1</v>
      </c>
      <c r="I232" s="1">
        <v>0</v>
      </c>
      <c r="T232" s="1"/>
      <c r="U232" s="1"/>
      <c r="V232" s="1"/>
      <c r="W232" s="1"/>
    </row>
    <row r="233" spans="1:23" x14ac:dyDescent="0.25">
      <c r="A233">
        <v>225</v>
      </c>
      <c r="B233">
        <v>785</v>
      </c>
      <c r="C233">
        <v>3532</v>
      </c>
      <c r="D233">
        <v>50.1</v>
      </c>
      <c r="E233" s="1">
        <v>-7.6</v>
      </c>
      <c r="F233" s="1">
        <v>-2.2000000000000002</v>
      </c>
      <c r="G233" s="1">
        <v>6</v>
      </c>
      <c r="H233" s="1">
        <v>1</v>
      </c>
      <c r="I233" s="1">
        <v>0</v>
      </c>
      <c r="T233" s="1"/>
      <c r="U233" s="1"/>
      <c r="V233" s="1"/>
      <c r="W233" s="1"/>
    </row>
    <row r="234" spans="1:23" x14ac:dyDescent="0.25">
      <c r="A234">
        <v>250</v>
      </c>
      <c r="B234">
        <v>773</v>
      </c>
      <c r="C234">
        <v>3430</v>
      </c>
      <c r="D234">
        <v>51.3</v>
      </c>
      <c r="E234" s="1">
        <v>-7.1</v>
      </c>
      <c r="F234" s="1">
        <v>-2.1</v>
      </c>
      <c r="G234" s="1">
        <v>8</v>
      </c>
      <c r="H234" s="1">
        <v>1</v>
      </c>
      <c r="I234" s="1">
        <v>0</v>
      </c>
      <c r="T234" s="1"/>
      <c r="U234" s="1"/>
      <c r="V234" s="1"/>
      <c r="W234" s="1"/>
    </row>
    <row r="235" spans="1:23" x14ac:dyDescent="0.25">
      <c r="A235">
        <v>275</v>
      </c>
      <c r="B235">
        <v>762</v>
      </c>
      <c r="C235">
        <v>3331</v>
      </c>
      <c r="D235">
        <v>51.6</v>
      </c>
      <c r="E235" s="1">
        <v>-6.4</v>
      </c>
      <c r="F235" s="1">
        <v>-1.9</v>
      </c>
      <c r="G235" s="1">
        <v>9</v>
      </c>
      <c r="H235" s="1">
        <v>1</v>
      </c>
      <c r="I235" s="1">
        <v>0</v>
      </c>
      <c r="R235" s="1"/>
      <c r="S235" s="1"/>
      <c r="T235" s="1"/>
      <c r="U235" s="1"/>
      <c r="V235" s="1"/>
      <c r="W235" s="1"/>
    </row>
    <row r="236" spans="1:23" x14ac:dyDescent="0.25">
      <c r="A236">
        <v>300</v>
      </c>
      <c r="B236">
        <v>751</v>
      </c>
      <c r="C236">
        <v>3234</v>
      </c>
      <c r="D236">
        <v>50.7</v>
      </c>
      <c r="E236" s="1">
        <v>-5.8</v>
      </c>
      <c r="F236" s="1">
        <v>-1.7</v>
      </c>
      <c r="G236" s="1">
        <v>11</v>
      </c>
      <c r="H236" s="1">
        <v>1</v>
      </c>
      <c r="I236" s="1">
        <v>0</v>
      </c>
      <c r="R236" s="1"/>
      <c r="S236" s="1"/>
      <c r="T236" s="1"/>
      <c r="U236" s="1"/>
      <c r="V236" s="1"/>
      <c r="W236" s="1"/>
    </row>
    <row r="237" spans="1:23" x14ac:dyDescent="0.25">
      <c r="A237">
        <v>325</v>
      </c>
      <c r="B237">
        <v>740</v>
      </c>
      <c r="C237">
        <v>3139</v>
      </c>
      <c r="D237">
        <v>48.8</v>
      </c>
      <c r="E237" s="1">
        <v>-5.2</v>
      </c>
      <c r="F237" s="1">
        <v>-1.5</v>
      </c>
      <c r="G237" s="1">
        <v>13</v>
      </c>
      <c r="H237" s="1">
        <v>2</v>
      </c>
      <c r="I237" s="1">
        <v>0</v>
      </c>
    </row>
    <row r="238" spans="1:23" x14ac:dyDescent="0.25">
      <c r="A238">
        <v>350</v>
      </c>
      <c r="B238">
        <v>729</v>
      </c>
      <c r="C238">
        <v>3047</v>
      </c>
      <c r="D238">
        <v>45.5</v>
      </c>
      <c r="E238" s="1">
        <v>-4.5</v>
      </c>
      <c r="F238" s="1">
        <v>-1.3</v>
      </c>
      <c r="G238" s="1">
        <v>15</v>
      </c>
      <c r="H238" s="1">
        <v>2</v>
      </c>
      <c r="I238" s="1">
        <v>0</v>
      </c>
      <c r="R238" s="23"/>
      <c r="S238" s="23"/>
      <c r="T238" s="24"/>
      <c r="U238" s="24"/>
    </row>
    <row r="239" spans="1:23" x14ac:dyDescent="0.25">
      <c r="A239">
        <v>375</v>
      </c>
      <c r="B239">
        <v>718</v>
      </c>
      <c r="C239">
        <v>2956</v>
      </c>
      <c r="D239">
        <v>41.2</v>
      </c>
      <c r="E239" s="1">
        <v>-3.8</v>
      </c>
      <c r="F239" s="1">
        <v>-1.1000000000000001</v>
      </c>
      <c r="G239" s="1">
        <v>17</v>
      </c>
      <c r="H239" s="1">
        <v>2</v>
      </c>
      <c r="I239" s="1">
        <v>0</v>
      </c>
      <c r="R239" s="20"/>
      <c r="S239" s="20"/>
      <c r="T239" s="20"/>
      <c r="U239" s="20"/>
    </row>
    <row r="240" spans="1:23" x14ac:dyDescent="0.25">
      <c r="A240">
        <v>400</v>
      </c>
      <c r="B240">
        <v>707</v>
      </c>
      <c r="C240">
        <v>2868</v>
      </c>
      <c r="D240">
        <v>35.700000000000003</v>
      </c>
      <c r="E240" s="1">
        <v>-3.1</v>
      </c>
      <c r="F240" s="1">
        <v>-0.9</v>
      </c>
      <c r="G240" s="1">
        <v>20</v>
      </c>
      <c r="H240" s="1">
        <v>2</v>
      </c>
      <c r="I240" s="1">
        <v>0</v>
      </c>
      <c r="R240" s="20"/>
      <c r="S240" s="20"/>
      <c r="T240" s="20"/>
      <c r="U240" s="20"/>
    </row>
    <row r="241" spans="1:21" x14ac:dyDescent="0.25">
      <c r="A241">
        <v>425</v>
      </c>
      <c r="B241">
        <v>696</v>
      </c>
      <c r="C241">
        <v>2782</v>
      </c>
      <c r="D241">
        <v>28.7</v>
      </c>
      <c r="E241" s="1">
        <v>-2.2999999999999998</v>
      </c>
      <c r="F241" s="1">
        <v>-0.7</v>
      </c>
      <c r="G241" s="1">
        <v>22</v>
      </c>
      <c r="H241" s="1">
        <v>2</v>
      </c>
      <c r="I241" s="1">
        <v>1</v>
      </c>
      <c r="R241" s="20"/>
      <c r="S241" s="20"/>
      <c r="T241" s="20"/>
      <c r="U241" s="20"/>
    </row>
    <row r="242" spans="1:21" x14ac:dyDescent="0.25">
      <c r="A242">
        <v>450</v>
      </c>
      <c r="B242">
        <v>686</v>
      </c>
      <c r="C242">
        <v>2697</v>
      </c>
      <c r="D242">
        <v>20.6</v>
      </c>
      <c r="E242" s="1">
        <v>-1.6</v>
      </c>
      <c r="F242" s="1">
        <v>-0.5</v>
      </c>
      <c r="G242" s="1">
        <v>25</v>
      </c>
      <c r="H242" s="1">
        <v>2</v>
      </c>
      <c r="I242" s="1">
        <v>1</v>
      </c>
      <c r="R242" s="20"/>
      <c r="S242" s="20"/>
      <c r="T242" s="20"/>
      <c r="U242" s="20"/>
    </row>
    <row r="243" spans="1:21" x14ac:dyDescent="0.25">
      <c r="A243">
        <v>475</v>
      </c>
      <c r="B243">
        <v>675</v>
      </c>
      <c r="C243">
        <v>2615</v>
      </c>
      <c r="D243">
        <v>11.1</v>
      </c>
      <c r="E243" s="1">
        <v>-0.8</v>
      </c>
      <c r="F243" s="1">
        <v>-0.2</v>
      </c>
      <c r="G243" s="1">
        <v>28</v>
      </c>
      <c r="H243" s="1">
        <v>2</v>
      </c>
      <c r="I243" s="1">
        <v>1</v>
      </c>
      <c r="R243" s="20"/>
      <c r="S243" s="20"/>
      <c r="T243" s="20"/>
    </row>
    <row r="244" spans="1:21" x14ac:dyDescent="0.25">
      <c r="A244">
        <v>500</v>
      </c>
      <c r="B244">
        <v>665</v>
      </c>
      <c r="C244">
        <v>2538</v>
      </c>
      <c r="D244">
        <v>0.3</v>
      </c>
      <c r="E244" s="1">
        <v>0</v>
      </c>
      <c r="F244" s="1">
        <v>0</v>
      </c>
      <c r="G244" s="1">
        <v>32</v>
      </c>
      <c r="H244" s="1">
        <v>2</v>
      </c>
      <c r="I244" s="1">
        <v>1</v>
      </c>
      <c r="R244" s="20"/>
      <c r="S244" s="20"/>
      <c r="T244" s="20"/>
    </row>
    <row r="245" spans="1:21" x14ac:dyDescent="0.25">
      <c r="A245" s="1"/>
      <c r="B245" s="1"/>
      <c r="C245" s="1"/>
      <c r="D245" s="1"/>
      <c r="E245" s="1"/>
      <c r="F245" s="1"/>
      <c r="O245" s="1"/>
      <c r="P245" s="1"/>
      <c r="Q245" s="1"/>
      <c r="R245" s="20"/>
      <c r="S245" s="20"/>
      <c r="T245" s="20"/>
    </row>
    <row r="246" spans="1:21" x14ac:dyDescent="0.25">
      <c r="A246" s="1"/>
      <c r="B246" s="1"/>
      <c r="C246" s="1"/>
      <c r="D246" s="1"/>
      <c r="E246" s="1"/>
      <c r="F246" s="1"/>
      <c r="O246" s="1"/>
      <c r="P246" s="1"/>
      <c r="Q246" s="1"/>
      <c r="R246" s="19"/>
      <c r="S246" s="19"/>
      <c r="T246" s="19"/>
    </row>
    <row r="247" spans="1:21" x14ac:dyDescent="0.25">
      <c r="R247" s="27"/>
      <c r="S247" s="27"/>
    </row>
    <row r="248" spans="1:21" ht="30" x14ac:dyDescent="0.25">
      <c r="A248" s="22" t="s">
        <v>43</v>
      </c>
      <c r="B248" s="23" t="s">
        <v>5</v>
      </c>
      <c r="C248" s="23" t="s">
        <v>6</v>
      </c>
      <c r="D248" s="23" t="s">
        <v>7</v>
      </c>
      <c r="E248" s="23" t="s">
        <v>8</v>
      </c>
      <c r="F248" s="23" t="s">
        <v>9</v>
      </c>
      <c r="G248" s="23" t="s">
        <v>27</v>
      </c>
      <c r="H248" s="23" t="s">
        <v>28</v>
      </c>
      <c r="I248" s="24" t="s">
        <v>44</v>
      </c>
      <c r="J248" s="24" t="s">
        <v>52</v>
      </c>
      <c r="L248" s="22"/>
      <c r="M248" s="23"/>
      <c r="N248" s="23"/>
      <c r="O248" s="23"/>
      <c r="P248" s="23"/>
      <c r="Q248" s="23"/>
      <c r="R248" s="23"/>
      <c r="S248" s="23"/>
      <c r="T248" s="50"/>
      <c r="U248" s="50"/>
    </row>
    <row r="249" spans="1:21" x14ac:dyDescent="0.25">
      <c r="A249" t="s">
        <v>45</v>
      </c>
      <c r="B249" s="19" cm="1">
        <f t="array" ref="B249">INDEX(LINEST(J$22:J$35,$A$22:$A$35^{1,2,3}), 1,4)</f>
        <v>-6.3825619489602534</v>
      </c>
      <c r="C249" s="19" cm="1">
        <f t="array" ref="C249">INDEX(LINEST(K$22:K$35,$A$22:$A$35^{1,2,3}), 1,4)</f>
        <v>-4.6114658945966447</v>
      </c>
      <c r="D249" s="20" cm="1">
        <f t="array" ref="D249">INDEX(LINEST(L$22:L$35,$A$22:$A$35^{1,2,3}), 1,4)</f>
        <v>-5.8365999610625838</v>
      </c>
      <c r="E249" s="20" cm="1">
        <f t="array" ref="E249">INDEX(LINEST(M$22:M$35,$A$22:$A$35^{1,2,3}), 1,4)</f>
        <v>-3.9267306693847335</v>
      </c>
      <c r="F249" s="20" cm="1">
        <f t="array" ref="F249">INDEX(LINEST(N$22:N$35,$A$22:$A$35^{1,2,3}), 1,4)</f>
        <v>-5.4411204102098107</v>
      </c>
      <c r="G249" s="20" cm="1">
        <f t="array" ref="G249">INDEX(LINEST(O$22:O$35,$A$22:$A$35^{1,2,3}), 1,4)</f>
        <v>-4.4978337323867326</v>
      </c>
      <c r="H249" s="20" cm="1">
        <f t="array" ref="H249">INDEX(LINEST(P$22:P$35,$A$22:$A$35^{1,2,3}), 1,4)</f>
        <v>-4.2116403886144269</v>
      </c>
      <c r="I249" s="20" cm="1">
        <f t="array" ref="I249">INDEX(LINEST(B$22:B$35,$A$22:$A$35^{1,2,3}), 1,4)</f>
        <v>4569.3764180435437</v>
      </c>
      <c r="J249" s="20" cm="1">
        <f t="array" ref="J249">INDEX(LINEST($C$80:$C$100,$A$80:$A$100^{1,2,3}), 1,4)</f>
        <v>4557.9313005834747</v>
      </c>
      <c r="M249" s="19"/>
      <c r="N249" s="19"/>
      <c r="O249" s="20"/>
      <c r="P249" s="20"/>
      <c r="Q249" s="20"/>
      <c r="R249" s="2"/>
      <c r="S249" s="2"/>
      <c r="T249" s="2"/>
      <c r="U249" s="2"/>
    </row>
    <row r="250" spans="1:21" x14ac:dyDescent="0.25">
      <c r="A250" t="s">
        <v>46</v>
      </c>
      <c r="B250" s="20" cm="1">
        <f t="array" ref="B250">INDEX(LINEST(J$22:J$35,$A$22:$A$35^{1,2,3}), 1,3)</f>
        <v>0.20344113971003602</v>
      </c>
      <c r="C250" s="19" cm="1">
        <f t="array" ref="C250">INDEX(LINEST(K$22:K$35,$A$22:$A$35^{1,2,3}), 1,3)</f>
        <v>8.615517828153256E-2</v>
      </c>
      <c r="D250" s="20" cm="1">
        <f t="array" ref="D250">INDEX(LINEST(L$22:L$35,$A$22:$A$35^{1,2,3}), 1,3)</f>
        <v>0.16226736831386426</v>
      </c>
      <c r="E250" s="20" cm="1">
        <f t="array" ref="E250">INDEX(LINEST(M$22:M$35,$A$22:$A$35^{1,2,3}), 1,3)</f>
        <v>0.14276131226436342</v>
      </c>
      <c r="F250" s="20" cm="1">
        <f t="array" ref="F250">INDEX(LINEST(N$22:N$35,$A$22:$A$35^{1,2,3}), 1,3)</f>
        <v>0.24783277235585527</v>
      </c>
      <c r="G250" s="20" cm="1">
        <f t="array" ref="G250">INDEX(LINEST(O$22:O$35,$A$22:$A$35^{1,2,3}), 1,3)</f>
        <v>0.25732094355557911</v>
      </c>
      <c r="H250" s="20" cm="1">
        <f t="array" ref="H250">INDEX(LINEST(P$22:P$35,$A$22:$A$35^{1,2,3}), 1,3)</f>
        <v>0.35695901597763013</v>
      </c>
      <c r="I250" s="20" cm="1">
        <f t="array" ref="I250">INDEX(LINEST(B$22:B$35,$A$22:$A$35^{1,2,3}), 1,3)</f>
        <v>-5.1739978679050145</v>
      </c>
      <c r="J250" s="20" cm="1">
        <f t="array" ref="J250">INDEX(LINEST($C$80:$C$100,$A$80:$A$100^{1,2,3}), 1,3)</f>
        <v>-5.0380226367411716</v>
      </c>
      <c r="M250" s="20"/>
      <c r="N250" s="19"/>
      <c r="O250" s="20"/>
      <c r="P250" s="20"/>
      <c r="Q250" s="20"/>
      <c r="R250" s="21"/>
      <c r="S250" s="21"/>
      <c r="T250" s="2"/>
      <c r="U250" s="2"/>
    </row>
    <row r="251" spans="1:21" x14ac:dyDescent="0.25">
      <c r="A251" t="s">
        <v>47</v>
      </c>
      <c r="B251" s="20" cm="1">
        <f t="array" ref="B251">INDEX(LINEST(J$22:J$35,$A$22:$A$35^{1,2,3}), 1,2)</f>
        <v>-7.5771001308683813E-4</v>
      </c>
      <c r="C251" s="20" cm="1">
        <f t="array" ref="C251">INDEX(LINEST(K$22:K$35,$A$22:$A$35^{1,2,3}), 1,2)</f>
        <v>-3.8877707567803782E-4</v>
      </c>
      <c r="D251" s="20" cm="1">
        <f t="array" ref="D251">INDEX(LINEST(L$22:L$35,$A$22:$A$35^{1,2,3}), 1,2)</f>
        <v>-8.1812834652777782E-4</v>
      </c>
      <c r="E251" s="20" cm="1">
        <f t="array" ref="E251">INDEX(LINEST(M$22:M$35,$A$22:$A$35^{1,2,3}), 1,2)</f>
        <v>-4.9124175853182221E-4</v>
      </c>
      <c r="F251" s="20" cm="1">
        <f t="array" ref="F251">INDEX(LINEST(N$22:N$35,$A$22:$A$35^{1,2,3}), 1,2)</f>
        <v>-7.3546820075174203E-4</v>
      </c>
      <c r="G251" s="20" cm="1">
        <f t="array" ref="G251">INDEX(LINEST(O$22:O$35,$A$22:$A$35^{1,2,3}), 1,2)</f>
        <v>-4.0116605109376458E-4</v>
      </c>
      <c r="H251" s="20" cm="1">
        <f t="array" ref="H251">INDEX(LINEST(P$22:P$35,$A$22:$A$35^{1,2,3}), 1,2)</f>
        <v>-3.69037954695859E-4</v>
      </c>
      <c r="I251" s="20" cm="1">
        <f t="array" ref="I251">INDEX(LINEST(B$22:B$35,$A$22:$A$35^{1,2,3}), 1,2)</f>
        <v>1.8802418376913149E-3</v>
      </c>
      <c r="J251" s="20" cm="1">
        <f t="array" ref="J251">INDEX(LINEST($C$80:$C$100,$A$80:$A$100^{1,2,3}), 1,2)</f>
        <v>2.2237517377105493E-3</v>
      </c>
      <c r="M251" s="20"/>
      <c r="N251" s="20"/>
      <c r="O251" s="20"/>
      <c r="P251" s="20"/>
      <c r="Q251" s="20"/>
      <c r="R251" s="21"/>
      <c r="S251" s="21"/>
      <c r="T251" s="2"/>
      <c r="U251" s="2"/>
    </row>
    <row r="252" spans="1:21" x14ac:dyDescent="0.25">
      <c r="A252" t="s">
        <v>48</v>
      </c>
      <c r="B252" s="19" cm="1">
        <f t="array" ref="B252">INDEX(LINEST(J$22:J$35,$A$22:$A$35^{1,2,3}), 1)</f>
        <v>-5.0543986025776041E-7</v>
      </c>
      <c r="C252" s="19" cm="1">
        <f t="array" ref="C252">INDEX(LINEST(K$22:K$35,$A$22:$A$35^{1,2,3}), 1)</f>
        <v>-7.4782626399763915E-7</v>
      </c>
      <c r="D252" s="20" cm="1">
        <f t="array" ref="D252">INDEX(LINEST(L$22:L$35,$A$22:$A$35^{1,2,3}), 1)</f>
        <v>3.3287854520445809E-8</v>
      </c>
      <c r="E252" s="20" cm="1">
        <f t="array" ref="E252">INDEX(LINEST(M$22:M$35,$A$22:$A$35^{1,2,3}), 1)</f>
        <v>-5.5305221171075161E-7</v>
      </c>
      <c r="F252" s="20" cm="1">
        <f t="array" ref="F252">INDEX(LINEST(N$22:N$35,$A$22:$A$35^{1,2,3}), 1)</f>
        <v>-1.6259621970841088E-7</v>
      </c>
      <c r="G252" s="20" cm="1">
        <f t="array" ref="G252">INDEX(LINEST(O$22:O$35,$A$22:$A$35^{1,2,3}), 1)</f>
        <v>-5.4120895853976528E-7</v>
      </c>
      <c r="H252" s="20" cm="1">
        <f t="array" ref="H252">INDEX(LINEST(P$22:P$35,$A$22:$A$35^{1,2,3}), 1)</f>
        <v>-6.5139978809921667E-7</v>
      </c>
      <c r="I252" s="20" cm="1">
        <f t="array" ref="I252">INDEX(LINEST(B$22:B$35,$A$22:$A$35^{1,2,3}), 1)</f>
        <v>1.5639501119151098E-7</v>
      </c>
      <c r="J252" s="20" cm="1">
        <f t="array" ref="J252">INDEX(LINEST($C$80:$C$100,$A$80:$A$100^{1,2,3}), 1)</f>
        <v>-4.6845264236569217E-7</v>
      </c>
      <c r="M252" s="19"/>
      <c r="N252" s="19"/>
      <c r="O252" s="20"/>
      <c r="P252" s="20"/>
      <c r="Q252" s="20"/>
      <c r="R252" s="21"/>
      <c r="S252" s="21"/>
      <c r="T252" s="2"/>
      <c r="U252" s="2"/>
    </row>
    <row r="253" spans="1:21" x14ac:dyDescent="0.25">
      <c r="A253" t="s">
        <v>49</v>
      </c>
      <c r="B253" s="19"/>
      <c r="C253" s="19"/>
      <c r="D253" s="20"/>
      <c r="E253" s="20"/>
      <c r="F253" s="20"/>
      <c r="G253" s="20"/>
      <c r="H253" s="20"/>
      <c r="I253" s="20"/>
      <c r="M253" s="19"/>
      <c r="N253" s="19"/>
      <c r="O253" s="20"/>
      <c r="P253" s="20"/>
      <c r="Q253" s="20"/>
      <c r="R253" s="21"/>
      <c r="S253" s="21"/>
      <c r="T253" s="2"/>
      <c r="U253" s="2"/>
    </row>
    <row r="254" spans="1:21" x14ac:dyDescent="0.25">
      <c r="A254" t="s">
        <v>50</v>
      </c>
      <c r="B254" s="19"/>
      <c r="C254" s="19"/>
      <c r="D254" s="20"/>
      <c r="E254" s="20"/>
      <c r="F254" s="20"/>
      <c r="G254" s="20"/>
      <c r="H254" s="20"/>
      <c r="I254" s="20"/>
      <c r="M254" s="19"/>
      <c r="N254" s="19"/>
      <c r="O254" s="20"/>
      <c r="P254" s="20"/>
      <c r="Q254" s="20"/>
      <c r="R254" s="21"/>
      <c r="S254" s="21"/>
      <c r="T254" s="2"/>
      <c r="U254" s="2"/>
    </row>
    <row r="255" spans="1:21" x14ac:dyDescent="0.25">
      <c r="A255" t="s">
        <v>51</v>
      </c>
      <c r="B255" s="19"/>
      <c r="C255" s="19"/>
      <c r="D255" s="20"/>
      <c r="E255" s="20"/>
      <c r="F255" s="20"/>
      <c r="G255" s="20"/>
      <c r="H255" s="20"/>
      <c r="I255" s="20"/>
      <c r="M255" s="19"/>
      <c r="N255" s="19"/>
      <c r="O255" s="20"/>
      <c r="P255" s="20"/>
      <c r="Q255" s="20"/>
      <c r="R255" s="21"/>
      <c r="S255" s="21"/>
      <c r="T255" s="2"/>
      <c r="U255" s="2"/>
    </row>
    <row r="256" spans="1:21" x14ac:dyDescent="0.25">
      <c r="B256" s="19"/>
      <c r="C256" s="19"/>
      <c r="D256" s="19"/>
      <c r="E256" s="19"/>
      <c r="F256" s="19"/>
      <c r="G256" s="19"/>
      <c r="H256" s="19"/>
      <c r="I256" s="19"/>
      <c r="M256" s="19"/>
      <c r="N256" s="19"/>
      <c r="O256" s="19"/>
      <c r="P256" s="19"/>
      <c r="Q256" s="19"/>
      <c r="R256" s="21"/>
      <c r="S256" s="21"/>
      <c r="T256" s="2"/>
      <c r="U256" s="2"/>
    </row>
    <row r="257" spans="1:21" x14ac:dyDescent="0.25">
      <c r="A257" s="25"/>
      <c r="B257" s="52"/>
      <c r="C257" s="52"/>
      <c r="D257" s="52"/>
      <c r="E257" s="52"/>
      <c r="F257" s="52"/>
      <c r="G257" s="52"/>
      <c r="H257" s="52"/>
      <c r="L257" s="25"/>
      <c r="M257" s="27"/>
      <c r="N257" s="27"/>
      <c r="O257" s="27"/>
      <c r="P257" s="27"/>
      <c r="Q257" s="27"/>
      <c r="R257" s="21"/>
      <c r="S257" s="21"/>
      <c r="T257" s="2"/>
      <c r="U257" s="2"/>
    </row>
    <row r="258" spans="1:21" x14ac:dyDescent="0.25">
      <c r="A258" s="26" t="s">
        <v>3</v>
      </c>
      <c r="B258" s="50" t="s">
        <v>53</v>
      </c>
      <c r="C258" s="50"/>
      <c r="D258" s="50"/>
      <c r="E258" s="50"/>
      <c r="F258" s="50"/>
      <c r="G258" s="50"/>
      <c r="H258" s="50"/>
      <c r="I258" s="50" t="s">
        <v>54</v>
      </c>
      <c r="J258" s="50"/>
      <c r="L258" s="26"/>
      <c r="M258" s="23"/>
      <c r="N258" s="23"/>
      <c r="O258" s="23"/>
      <c r="P258" s="23"/>
      <c r="Q258" s="23"/>
      <c r="R258" s="21"/>
      <c r="S258" s="21"/>
      <c r="T258" s="2"/>
      <c r="U258" s="2"/>
    </row>
    <row r="259" spans="1:21" x14ac:dyDescent="0.25">
      <c r="A259" s="1">
        <v>0</v>
      </c>
      <c r="B259" s="2" cm="1">
        <f t="array" ref="B259">TrajectoryToComeUp(B$249:B$252,$A259)</f>
        <v>0</v>
      </c>
      <c r="C259" s="2" cm="1">
        <f t="array" ref="C259">TrajectoryToComeUp(C$249:C$252,$A259)</f>
        <v>0</v>
      </c>
      <c r="D259" s="2" cm="1">
        <f t="array" ref="D259">TrajectoryToComeUp(D$249:D$252,$A259)</f>
        <v>0</v>
      </c>
      <c r="E259" s="2" cm="1">
        <f t="array" ref="E259">TrajectoryToComeUp(E$249:E$252,$A259)</f>
        <v>0</v>
      </c>
      <c r="F259" s="2" cm="1">
        <f t="array" ref="F259">TrajectoryToComeUp(F$249:F$252,$A259)</f>
        <v>0</v>
      </c>
      <c r="G259" s="2" cm="1">
        <f t="array" ref="G259">TrajectoryToComeUp(G$249:G$252,$A259)</f>
        <v>0</v>
      </c>
      <c r="H259" s="2" cm="1">
        <f t="array" ref="H259">TrajectoryToComeUp(H$249:H$252,$A259)</f>
        <v>0</v>
      </c>
      <c r="I259" s="2" cm="1">
        <f t="array" ref="I259">EvaluatePolynomial(I$249:I$252,$A259)</f>
        <v>4569.3764180435437</v>
      </c>
      <c r="J259" s="2" cm="1">
        <f t="array" ref="J259">EvaluatePolynomial(J$249:J$252,$A259)</f>
        <v>4557.9313005834747</v>
      </c>
      <c r="L259" s="1"/>
      <c r="M259" s="2"/>
      <c r="N259" s="2"/>
      <c r="O259" s="2"/>
      <c r="P259" s="2"/>
      <c r="Q259" s="2"/>
      <c r="R259" s="21"/>
      <c r="S259" s="21"/>
      <c r="T259" s="2"/>
      <c r="U259" s="2"/>
    </row>
    <row r="260" spans="1:21" x14ac:dyDescent="0.25">
      <c r="A260" s="1">
        <v>25</v>
      </c>
      <c r="B260" s="2" cm="1">
        <f t="array" ref="B260">TrajectoryToComeUp(B$249:B$252,$A260)</f>
        <v>0.71119988488206165</v>
      </c>
      <c r="C260" s="2" cm="1">
        <f t="array" ref="C260">TrajectoryToComeUp(C$249:C$252,$A260)</f>
        <v>1.0849027580928268</v>
      </c>
      <c r="D260" s="21" cm="1">
        <f t="array" ref="D260">TrajectoryToComeUp(D$249:D$252,$A260)</f>
        <v>0.91629033882758248</v>
      </c>
      <c r="E260" s="21" cm="1">
        <f t="array" ref="E260">TrajectoryToComeUp(E$249:E$252,$A260)</f>
        <v>0.26934616106640685</v>
      </c>
      <c r="F260" s="21" cm="1">
        <f t="array" ref="F260">TrajectoryToComeUp(F$249:F$252,$A260)</f>
        <v>-0.11699628291351537</v>
      </c>
      <c r="G260" s="21" cm="1">
        <f t="array" ref="G260">TrajectoryToComeUp(G$249:G$252,$A260)</f>
        <v>-0.67040187383678329</v>
      </c>
      <c r="H260" s="21" cm="1">
        <f t="array" ref="H260">TrajectoryToComeUp(H$249:H$252,$A260)</f>
        <v>-1.788603266980946</v>
      </c>
      <c r="I260" s="2" cm="1">
        <f t="array" ref="I260">EvaluatePolynomial(I$249:I$252,$A260)</f>
        <v>4441.2040661665251</v>
      </c>
      <c r="J260" s="2" cm="1">
        <f t="array" ref="J260">EvaluatePolynomial(J$249:J$252,$A260)</f>
        <v>4433.3632599284774</v>
      </c>
      <c r="L260" s="1"/>
      <c r="M260" s="2"/>
      <c r="N260" s="2"/>
      <c r="O260" s="21"/>
      <c r="P260" s="21"/>
      <c r="Q260" s="21"/>
      <c r="R260" s="21"/>
      <c r="S260" s="21"/>
      <c r="T260" s="2"/>
      <c r="U260" s="2"/>
    </row>
    <row r="261" spans="1:21" x14ac:dyDescent="0.25">
      <c r="A261" s="1">
        <v>50</v>
      </c>
      <c r="B261" s="2" cm="1">
        <f t="array" ref="B261">TrajectoryToComeUp(B$249:B$252,$A261)</f>
        <v>-0.36640800425844655</v>
      </c>
      <c r="C261" s="2" cm="1">
        <f t="array" ref="C261">TrajectoryToComeUp(C$249:C$252,$A261)</f>
        <v>0.27382559054296318</v>
      </c>
      <c r="D261" s="21" cm="1">
        <f t="array" ref="D261">TrajectoryToComeUp(D$249:D$252,$A261)</f>
        <v>-4.7121714025248028E-2</v>
      </c>
      <c r="E261" s="21" cm="1">
        <f t="array" ref="E261">TrajectoryToComeUp(E$249:E$252,$A261)</f>
        <v>-0.38281980420800765</v>
      </c>
      <c r="F261" s="21" cm="1">
        <f t="array" ref="F261">TrajectoryToComeUp(F$249:F$252,$A261)</f>
        <v>-1.0183046356480092</v>
      </c>
      <c r="G261" s="21" cm="1">
        <f t="array" ref="G261">TrajectoryToComeUp(G$249:G$252,$A261)</f>
        <v>-1.459529439568068</v>
      </c>
      <c r="H261" s="21" cm="1">
        <f t="array" ref="H261">TrajectoryToComeUp(H$249:H$252,$A261)</f>
        <v>-2.5264581100030057</v>
      </c>
      <c r="I261" s="2" cm="1">
        <f t="array" ref="I261">EvaluatePolynomial(I$249:I$252,$A261)</f>
        <v>4315.3966786189203</v>
      </c>
      <c r="J261" s="2" cm="1">
        <f t="array" ref="J261">EvaluatePolynomial(J$249:J$252,$A261)</f>
        <v>4311.5309915103971</v>
      </c>
      <c r="L261" s="1"/>
      <c r="M261" s="2"/>
      <c r="N261" s="2"/>
      <c r="O261" s="21"/>
      <c r="P261" s="21"/>
      <c r="Q261" s="21"/>
      <c r="R261" s="21"/>
      <c r="S261" s="21"/>
      <c r="T261" s="2"/>
      <c r="U261" s="2"/>
    </row>
    <row r="262" spans="1:21" x14ac:dyDescent="0.25">
      <c r="A262" s="1">
        <v>75</v>
      </c>
      <c r="B262" s="2" cm="1">
        <f t="array" ref="B262">TrajectoryToComeUp(B$249:B$252,$A262)</f>
        <v>-0.58668963528436546</v>
      </c>
      <c r="C262" s="2" cm="1">
        <f t="array" ref="C262">TrajectoryToComeUp(C$249:C$252,$A262)</f>
        <v>8.6958370572622581E-2</v>
      </c>
      <c r="D262" s="21" cm="1">
        <f t="array" ref="D262">TrajectoryToComeUp(D$249:D$252,$A262)</f>
        <v>-0.23273653691790652</v>
      </c>
      <c r="E262" s="21" cm="1">
        <f t="array" ref="E262">TrajectoryToComeUp(E$249:E$252,$A262)</f>
        <v>-0.50450852758473985</v>
      </c>
      <c r="F262" s="21" cm="1">
        <f t="array" ref="F262">TrajectoryToComeUp(F$249:F$252,$A262)</f>
        <v>-1.19209781427484</v>
      </c>
      <c r="G262" s="21" cm="1">
        <f t="array" ref="G262">TrajectoryToComeUp(G$249:G$252,$A262)</f>
        <v>-1.6421807289993746</v>
      </c>
      <c r="H262" s="21" cm="1">
        <f t="array" ref="H262">TrajectoryToComeUp(H$249:H$252,$A262)</f>
        <v>-2.6946184038585694</v>
      </c>
      <c r="I262" s="2" cm="1">
        <f t="array" ref="I262">EvaluatePolynomial(I$249:I$252,$A262)</f>
        <v>4191.9689174330279</v>
      </c>
      <c r="J262" s="2" cm="1">
        <f t="array" ref="J262">EvaluatePolynomial(J$249:J$252,$A262)</f>
        <v>4192.3905778940107</v>
      </c>
      <c r="L262" s="1"/>
      <c r="M262" s="2"/>
      <c r="N262" s="2"/>
      <c r="O262" s="21"/>
      <c r="P262" s="21"/>
      <c r="Q262" s="21"/>
      <c r="R262" s="21"/>
      <c r="S262" s="21"/>
      <c r="T262" s="2"/>
      <c r="U262" s="2"/>
    </row>
    <row r="263" spans="1:21" x14ac:dyDescent="0.25">
      <c r="A263" s="1">
        <v>100</v>
      </c>
      <c r="B263" s="2" cm="1">
        <f t="array" ref="B263">TrajectoryToComeUp(B$249:B$252,$A263)</f>
        <v>-0.58790120309172067</v>
      </c>
      <c r="C263" s="2" cm="1">
        <f t="array" ref="C263">TrajectoryToComeUp(C$249:C$252,$A263)</f>
        <v>6.3154508722140582E-2</v>
      </c>
      <c r="D263" s="21" cm="1">
        <f t="array" ref="D263">TrajectoryToComeUp(D$249:D$252,$A263)</f>
        <v>-0.22421412595665105</v>
      </c>
      <c r="E263" s="21" cm="1">
        <f t="array" ref="E263">TrajectoryToComeUp(E$249:E$252,$A263)</f>
        <v>-0.48839307600226345</v>
      </c>
      <c r="F263" s="21" cm="1">
        <f t="array" ref="F263">TrajectoryToComeUp(F$249:F$252,$A263)</f>
        <v>-1.1824878598149884</v>
      </c>
      <c r="G263" s="21" cm="1">
        <f t="array" ref="G263">TrajectoryToComeUp(G$249:G$252,$A263)</f>
        <v>-1.6681391153693768</v>
      </c>
      <c r="H263" s="21" cm="1">
        <f t="array" ref="H263">TrajectoryToComeUp(H$249:H$252,$A263)</f>
        <v>-2.714248187409078</v>
      </c>
      <c r="I263" s="2" cm="1">
        <f t="array" ref="I263">EvaluatePolynomial(I$249:I$252,$A263)</f>
        <v>4070.9354446411471</v>
      </c>
      <c r="J263" s="2" cm="1">
        <f t="array" ref="J263">EvaluatePolynomial(J$249:J$252,$A263)</f>
        <v>4075.8981016440976</v>
      </c>
      <c r="L263" s="1"/>
      <c r="M263" s="2"/>
      <c r="N263" s="2"/>
      <c r="O263" s="21"/>
      <c r="P263" s="21"/>
      <c r="Q263" s="21"/>
      <c r="R263" s="21"/>
      <c r="S263" s="21"/>
      <c r="T263" s="2"/>
      <c r="U263" s="2"/>
    </row>
    <row r="264" spans="1:21" x14ac:dyDescent="0.25">
      <c r="A264" s="1">
        <v>125</v>
      </c>
      <c r="B264" s="2" cm="1">
        <f t="array" ref="B264">TrajectoryToComeUp(B$249:B$252,$A264)</f>
        <v>-0.49769394665971722</v>
      </c>
      <c r="C264" s="2" cm="1">
        <f t="array" ref="C264">TrajectoryToComeUp(C$249:C$252,$A264)</f>
        <v>0.11018468709958441</v>
      </c>
      <c r="D264" s="21" cm="1">
        <f t="array" ref="D264">TrajectoryToComeUp(D$249:D$252,$A264)</f>
        <v>-0.13828648036273328</v>
      </c>
      <c r="E264" s="21" cm="1">
        <f t="array" ref="E264">TrajectoryToComeUp(E$249:E$252,$A264)</f>
        <v>-0.41300806284827279</v>
      </c>
      <c r="F264" s="21" cm="1">
        <f t="array" ref="F264">TrajectoryToComeUp(F$249:F$252,$A264)</f>
        <v>-1.0982971804726511</v>
      </c>
      <c r="G264" s="21" cm="1">
        <f t="array" ref="G264">TrajectoryToComeUp(G$249:G$252,$A264)</f>
        <v>-1.6273612733258085</v>
      </c>
      <c r="H264" s="21" cm="1">
        <f t="array" ref="H264">TrajectoryToComeUp(H$249:H$252,$A264)</f>
        <v>-2.6695802684268206</v>
      </c>
      <c r="I264" s="2" cm="1">
        <f t="array" ref="I264">EvaluatePolynomial(I$249:I$252,$A264)</f>
        <v>3952.310922275577</v>
      </c>
      <c r="J264" s="2" cm="1">
        <f t="array" ref="J264">EvaluatePolynomial(J$249:J$252,$A264)</f>
        <v>3962.009645325435</v>
      </c>
      <c r="L264" s="1"/>
      <c r="M264" s="2"/>
      <c r="N264" s="2"/>
      <c r="O264" s="21"/>
      <c r="P264" s="21"/>
      <c r="Q264" s="21"/>
      <c r="R264" s="21"/>
      <c r="S264" s="21"/>
      <c r="T264" s="2"/>
      <c r="U264" s="2"/>
    </row>
    <row r="265" spans="1:21" x14ac:dyDescent="0.25">
      <c r="A265" s="1">
        <v>145</v>
      </c>
      <c r="B265" s="2" cm="1">
        <f t="array" ref="B265">TrajectoryToComeUp(B$249:B$252,$A265)</f>
        <v>-0.3892864613700609</v>
      </c>
      <c r="C265" s="2" cm="1">
        <f t="array" ref="C265">TrajectoryToComeUp(C$249:C$252,$A265)</f>
        <v>0.1774375795851704</v>
      </c>
      <c r="D265" s="21" cm="1">
        <f t="array" ref="D265">TrajectoryToComeUp(D$249:D$252,$A265)</f>
        <v>-4.086221684059315E-2</v>
      </c>
      <c r="E265" s="21" cm="1">
        <f t="array" ref="E265">TrajectoryToComeUp(E$249:E$252,$A265)</f>
        <v>-0.3282243335786007</v>
      </c>
      <c r="F265" s="21" cm="1">
        <f t="array" ref="F265">TrajectoryToComeUp(F$249:F$252,$A265)</f>
        <v>-1.0024632938120879</v>
      </c>
      <c r="G265" s="21" cm="1">
        <f t="array" ref="G265">TrajectoryToComeUp(G$249:G$252,$A265)</f>
        <v>-1.5675340481170719</v>
      </c>
      <c r="H265" s="21" cm="1">
        <f t="array" ref="H265">TrajectoryToComeUp(H$249:H$252,$A265)</f>
        <v>-2.6070703621839679</v>
      </c>
      <c r="I265" s="2" cm="1">
        <f t="array" ref="I265">EvaluatePolynomial(I$249:I$252,$A265)</f>
        <v>3859.1556015757701</v>
      </c>
      <c r="J265" s="2" cm="1">
        <f t="array" ref="J265">EvaluatePolynomial(J$249:J$252,$A265)</f>
        <v>3872.744262104537</v>
      </c>
      <c r="L265" s="1"/>
      <c r="M265" s="2"/>
      <c r="N265" s="2"/>
      <c r="O265" s="21"/>
      <c r="P265" s="21"/>
      <c r="Q265" s="21"/>
      <c r="R265" s="21"/>
      <c r="S265" s="21"/>
      <c r="T265" s="2"/>
      <c r="U265" s="2"/>
    </row>
    <row r="266" spans="1:21" x14ac:dyDescent="0.25">
      <c r="A266" s="1">
        <v>150</v>
      </c>
      <c r="B266" s="2" cm="1">
        <f t="array" ref="B266">TrajectoryToComeUp(B$249:B$252,$A266)</f>
        <v>-0.3586182789814234</v>
      </c>
      <c r="C266" s="2" cm="1">
        <f t="array" ref="C266">TrajectoryToComeUp(C$249:C$252,$A266)</f>
        <v>0.1973057997409762</v>
      </c>
      <c r="D266" s="21" cm="1">
        <f t="array" ref="D266">TrajectoryToComeUp(D$249:D$252,$A266)</f>
        <v>-1.3864266543237221E-2</v>
      </c>
      <c r="E266" s="21" cm="1">
        <f t="array" ref="E266">TrajectoryToComeUp(E$249:E$252,$A266)</f>
        <v>-0.30453169258533291</v>
      </c>
      <c r="F266" s="21" cm="1">
        <f t="array" ref="F266">TrajectoryToComeUp(F$249:F$252,$A266)</f>
        <v>-0.97579991231589303</v>
      </c>
      <c r="G266" s="21" cm="1">
        <f t="array" ref="G266">TrajectoryToComeUp(G$249:G$252,$A266)</f>
        <v>-1.5498327610845815</v>
      </c>
      <c r="H266" s="21" cm="1">
        <f t="array" ref="H266">TrajectoryToComeUp(H$249:H$252,$A266)</f>
        <v>-2.5886922495025608</v>
      </c>
      <c r="I266" s="2" cm="1">
        <f t="array" ref="I266">EvaluatePolynomial(I$249:I$252,$A266)</f>
        <v>3836.1100123686174</v>
      </c>
      <c r="J266" s="2" cm="1">
        <f t="array" ref="J266">EvaluatePolynomial(J$249:J$252,$A266)</f>
        <v>3850.6812915028022</v>
      </c>
      <c r="L266" s="1"/>
      <c r="M266" s="2"/>
      <c r="N266" s="2"/>
      <c r="O266" s="21"/>
      <c r="P266" s="21"/>
      <c r="Q266" s="21"/>
      <c r="R266" s="21"/>
      <c r="S266" s="21"/>
      <c r="T266" s="2"/>
      <c r="U266" s="2"/>
    </row>
    <row r="267" spans="1:21" x14ac:dyDescent="0.25">
      <c r="A267" s="1">
        <v>163.4</v>
      </c>
      <c r="B267" s="2" cm="1">
        <f t="array" ref="B267">TrajectoryToComeUp(B$249:B$252,$A267)</f>
        <v>-0.27075335056399352</v>
      </c>
      <c r="C267" s="2" cm="1">
        <f t="array" ref="C267">TrajectoryToComeUp(C$249:C$252,$A267)</f>
        <v>0.25559573588807094</v>
      </c>
      <c r="D267" s="21" cm="1">
        <f t="array" ref="D267">TrajectoryToComeUp(D$249:D$252,$A267)</f>
        <v>6.2457384437897001E-2</v>
      </c>
      <c r="E267" s="21" cm="1">
        <f t="array" ref="E267">TrajectoryToComeUp(E$249:E$252,$A267)</f>
        <v>-0.23694758765120744</v>
      </c>
      <c r="F267" s="21" cm="1">
        <f t="array" ref="F267">TrajectoryToComeUp(F$249:F$252,$A267)</f>
        <v>-0.90016630313782786</v>
      </c>
      <c r="G267" s="21" cm="1">
        <f t="array" ref="G267">TrajectoryToComeUp(G$249:G$252,$A267)</f>
        <v>-1.4979384751575904</v>
      </c>
      <c r="H267" s="21" cm="1">
        <f t="array" ref="H267">TrajectoryToComeUp(H$249:H$252,$A267)</f>
        <v>-2.5349109347592798</v>
      </c>
      <c r="I267" s="2" cm="1">
        <f t="array" ref="I267">EvaluatePolynomial(I$249:I$252,$A267)</f>
        <v>3774.8291019705644</v>
      </c>
      <c r="J267" s="2" cm="1">
        <f t="array" ref="J267">EvaluatePolynomial(J$249:J$252,$A267)</f>
        <v>3792.0478725468852</v>
      </c>
      <c r="L267" s="1"/>
      <c r="M267" s="2"/>
      <c r="N267" s="2"/>
      <c r="O267" s="21"/>
      <c r="P267" s="21"/>
      <c r="Q267" s="21"/>
      <c r="R267" s="21"/>
      <c r="S267" s="21"/>
      <c r="T267" s="2"/>
      <c r="U267" s="2"/>
    </row>
    <row r="268" spans="1:21" x14ac:dyDescent="0.25">
      <c r="A268" s="1">
        <v>175</v>
      </c>
      <c r="B268" s="2" cm="1">
        <f t="array" ref="B268">TrajectoryToComeUp(B$249:B$252,$A268)</f>
        <v>-0.18891009133958278</v>
      </c>
      <c r="C268" s="2" cm="1">
        <f t="array" ref="C268">TrajectoryToComeUp(C$249:C$252,$A268)</f>
        <v>0.31134222980461151</v>
      </c>
      <c r="D268" s="21" cm="1">
        <f t="array" ref="D268">TrajectoryToComeUp(D$249:D$252,$A268)</f>
        <v>0.1323765156130868</v>
      </c>
      <c r="E268" s="21" cm="1">
        <f t="array" ref="E268">TrajectoryToComeUp(E$249:E$252,$A268)</f>
        <v>-0.17418319569740004</v>
      </c>
      <c r="F268" s="21" cm="1">
        <f t="array" ref="F268">TrajectoryToComeUp(F$249:F$252,$A268)</f>
        <v>-0.83054211365959985</v>
      </c>
      <c r="G268" s="21" cm="1">
        <f t="array" ref="G268">TrajectoryToComeUp(G$249:G$252,$A268)</f>
        <v>-1.4484045321668011</v>
      </c>
      <c r="H268" s="21" cm="1">
        <f t="array" ref="H268">TrajectoryToComeUp(H$249:H$252,$A268)</f>
        <v>-2.4836173888894812</v>
      </c>
      <c r="I268" s="2" cm="1">
        <f t="array" ref="I268">EvaluatePolynomial(I$249:I$252,$A268)</f>
        <v>3722.3473769525672</v>
      </c>
      <c r="J268" s="2" cm="1">
        <f t="array" ref="J268">EvaluatePolynomial(J$249:J$252,$A268)</f>
        <v>3741.8691227409768</v>
      </c>
      <c r="L268" s="1"/>
      <c r="M268" s="2"/>
      <c r="N268" s="2"/>
      <c r="O268" s="21"/>
      <c r="P268" s="21"/>
      <c r="Q268" s="21"/>
      <c r="R268" s="21"/>
      <c r="S268" s="21"/>
      <c r="T268" s="2"/>
      <c r="U268" s="2"/>
    </row>
    <row r="269" spans="1:21" x14ac:dyDescent="0.25">
      <c r="A269" s="1">
        <v>200</v>
      </c>
      <c r="B269" s="2" cm="1">
        <f t="array" ref="B269">TrajectoryToComeUp(B$249:B$252,$A269)</f>
        <v>2.3126706244329829E-3</v>
      </c>
      <c r="C269" s="2" cm="1">
        <f t="array" ref="C269">TrajectoryToComeUp(C$249:C$252,$A269)</f>
        <v>0.44570616886963788</v>
      </c>
      <c r="D269" s="21" cm="1">
        <f t="array" ref="D269">TrajectoryToComeUp(D$249:D$252,$A269)</f>
        <v>0.29209786616186389</v>
      </c>
      <c r="E269" s="21" cm="1">
        <f t="array" ref="E269">TrajectoryToComeUp(E$249:E$252,$A269)</f>
        <v>-2.7572187426452399E-2</v>
      </c>
      <c r="F269" s="21" cm="1">
        <f t="array" ref="F269">TrajectoryToComeUp(F$249:F$252,$A269)</f>
        <v>-0.67029681366121396</v>
      </c>
      <c r="G269" s="21" cm="1">
        <f t="array" ref="G269">TrajectoryToComeUp(G$249:G$252,$A269)</f>
        <v>-1.329502063333019</v>
      </c>
      <c r="H269" s="21" cm="1">
        <f t="array" ref="H269">TrajectoryToComeUp(H$249:H$252,$A269)</f>
        <v>-2.3603723157141752</v>
      </c>
      <c r="I269" s="2" cm="1">
        <f t="array" ref="I269">EvaluatePolynomial(I$249:I$252,$A269)</f>
        <v>3611.0376780597253</v>
      </c>
      <c r="J269" s="2" cm="1">
        <f t="array" ref="J269">EvaluatePolynomial(J$249:J$252,$A269)</f>
        <v>3635.5292216047369</v>
      </c>
      <c r="L269" s="1"/>
      <c r="M269" s="2"/>
      <c r="N269" s="2"/>
      <c r="O269" s="21"/>
      <c r="P269" s="21"/>
      <c r="Q269" s="21"/>
      <c r="R269" s="21"/>
      <c r="S269" s="21"/>
      <c r="T269" s="2"/>
      <c r="U269" s="2"/>
    </row>
    <row r="270" spans="1:21" x14ac:dyDescent="0.25">
      <c r="A270" s="1">
        <v>225</v>
      </c>
      <c r="B270" s="2" cm="1">
        <f t="array" ref="B270">TrajectoryToComeUp(B$249:B$252,$A270)</f>
        <v>0.20998448155430585</v>
      </c>
      <c r="C270" s="2" cm="1">
        <f t="array" ref="C270">TrajectoryToComeUp(C$249:C$252,$A270)</f>
        <v>0.59673772336891528</v>
      </c>
      <c r="D270" s="21" cm="1">
        <f t="array" ref="D270">TrajectoryToComeUp(D$249:D$252,$A270)</f>
        <v>0.46066756291177441</v>
      </c>
      <c r="E270" s="21" cm="1">
        <f t="array" ref="E270">TrajectoryToComeUp(E$249:E$252,$A270)</f>
        <v>0.13218487931529979</v>
      </c>
      <c r="F270" s="21" cm="1">
        <f t="array" ref="F270">TrajectoryToComeUp(F$249:F$252,$A270)</f>
        <v>-0.49938236185264728</v>
      </c>
      <c r="G270" s="21" cm="1">
        <f t="array" ref="G270">TrajectoryToComeUp(G$249:G$252,$A270)</f>
        <v>-1.1966950638946545</v>
      </c>
      <c r="H270" s="21" cm="1">
        <f t="array" ref="H270">TrajectoryToComeUp(H$249:H$252,$A270)</f>
        <v>-2.2222996017136376</v>
      </c>
      <c r="I270" s="2" cm="1">
        <f t="array" ref="I270">EvaluatePolynomial(I$249:I$252,$A270)</f>
        <v>3502.1955777223916</v>
      </c>
      <c r="J270" s="2" cm="1">
        <f t="array" ref="J270">EvaluatePolynomial(J$249:J$252,$A270)</f>
        <v>3531.6176706588608</v>
      </c>
      <c r="L270" s="1"/>
      <c r="M270" s="2"/>
      <c r="N270" s="2"/>
      <c r="O270" s="21"/>
      <c r="P270" s="21"/>
      <c r="Q270" s="21"/>
      <c r="R270" s="21"/>
      <c r="S270" s="21"/>
      <c r="T270" s="2"/>
      <c r="U270" s="2"/>
    </row>
    <row r="271" spans="1:21" x14ac:dyDescent="0.25">
      <c r="A271" s="1">
        <v>247.4</v>
      </c>
      <c r="B271" s="2" cm="1">
        <f t="array" ref="B271">TrajectoryToComeUp(B$249:B$252,$A271)</f>
        <v>0.40751206493260611</v>
      </c>
      <c r="C271" s="2" cm="1">
        <f t="array" ref="C271">TrajectoryToComeUp(C$249:C$252,$A271)</f>
        <v>0.74440009534766793</v>
      </c>
      <c r="D271" s="21" cm="1">
        <f t="array" ref="D271">TrajectoryToComeUp(D$249:D$252,$A271)</f>
        <v>0.6169189698131271</v>
      </c>
      <c r="E271" s="21" cm="1">
        <f t="array" ref="E271">TrajectoryToComeUp(E$249:E$252,$A271)</f>
        <v>0.28494424174032429</v>
      </c>
      <c r="F271" s="21" cm="1">
        <f t="array" ref="F271">TrajectoryToComeUp(F$249:F$252,$A271)</f>
        <v>-0.33932740657664745</v>
      </c>
      <c r="G271" s="21" cm="1">
        <f t="array" ref="G271">TrajectoryToComeUp(G$249:G$252,$A271)</f>
        <v>-1.067664044736981</v>
      </c>
      <c r="H271" s="21" cm="1">
        <f t="array" ref="H271">TrajectoryToComeUp(H$249:H$252,$A271)</f>
        <v>-2.0876534842367045</v>
      </c>
      <c r="I271" s="2" cm="1">
        <f t="array" ref="I271">EvaluatePolynomial(I$249:I$252,$A271)</f>
        <v>3406.781076081194</v>
      </c>
      <c r="J271" s="2" cm="1">
        <f t="array" ref="J271">EvaluatePolynomial(J$249:J$252,$A271)</f>
        <v>3440.5395704681578</v>
      </c>
      <c r="L271" s="1"/>
      <c r="M271" s="2"/>
      <c r="N271" s="2"/>
      <c r="O271" s="21"/>
      <c r="P271" s="21"/>
      <c r="Q271" s="21"/>
      <c r="R271" s="21"/>
      <c r="S271" s="21"/>
      <c r="T271" s="2"/>
      <c r="U271" s="2"/>
    </row>
    <row r="272" spans="1:21" x14ac:dyDescent="0.25">
      <c r="A272" s="1">
        <v>250</v>
      </c>
      <c r="B272" s="2" cm="1">
        <f t="array" ref="B272">TrajectoryToComeUp(B$249:B$252,$A272)</f>
        <v>0.4310660262362454</v>
      </c>
      <c r="C272" s="2" cm="1">
        <f t="array" ref="C272">TrajectoryToComeUp(C$249:C$252,$A272)</f>
        <v>0.76224095716215923</v>
      </c>
      <c r="D272" s="21" cm="1">
        <f t="array" ref="D272">TrajectoryToComeUp(D$249:D$252,$A272)</f>
        <v>0.63530627254802685</v>
      </c>
      <c r="E272" s="21" cm="1">
        <f t="array" ref="E272">TrajectoryToComeUp(E$249:E$252,$A272)</f>
        <v>0.30321813278053028</v>
      </c>
      <c r="F272" s="21" cm="1">
        <f t="array" ref="F272">TrajectoryToComeUp(F$249:F$252,$A272)</f>
        <v>-0.32038976795304841</v>
      </c>
      <c r="G272" s="21" cm="1">
        <f t="array" ref="G272">TrajectoryToComeUp(G$249:G$252,$A272)</f>
        <v>-1.0521253594385569</v>
      </c>
      <c r="H272" s="21" cm="1">
        <f t="array" ref="H272">TrajectoryToComeUp(H$249:H$252,$A272)</f>
        <v>-2.0714047899300665</v>
      </c>
      <c r="I272" s="2" cm="1">
        <f t="array" ref="I272">EvaluatePolynomial(I$249:I$252,$A272)</f>
        <v>3395.8357379728645</v>
      </c>
      <c r="J272" s="2" cm="1">
        <f t="array" ref="J272">EvaluatePolynomial(J$249:J$252,$A272)</f>
        <v>3430.090552468127</v>
      </c>
      <c r="L272" s="1"/>
      <c r="M272" s="2"/>
      <c r="N272" s="2"/>
      <c r="O272" s="21"/>
      <c r="P272" s="21"/>
      <c r="Q272" s="21"/>
      <c r="R272" s="21"/>
      <c r="S272" s="21"/>
      <c r="T272" s="2"/>
      <c r="U272" s="2"/>
    </row>
    <row r="273" spans="1:17" x14ac:dyDescent="0.25">
      <c r="A273" s="1">
        <v>275</v>
      </c>
      <c r="B273" s="2" cm="1">
        <f t="array" ref="B273">TrajectoryToComeUp(B$249:B$252,$A273)</f>
        <v>0.66362319498874889</v>
      </c>
      <c r="C273" s="2" cm="1">
        <f t="array" ref="C273">TrajectoryToComeUp(C$249:C$252,$A273)</f>
        <v>0.94081845634191663</v>
      </c>
      <c r="D273" s="21" cm="1">
        <f t="array" ref="D273">TrajectoryToComeUp(D$249:D$252,$A273)</f>
        <v>0.81424532841575303</v>
      </c>
      <c r="E273" s="21" cm="1">
        <f t="array" ref="E273">TrajectoryToComeUp(E$249:E$252,$A273)</f>
        <v>0.4843376545845775</v>
      </c>
      <c r="F273" s="21" cm="1">
        <f t="array" ref="F273">TrajectoryToComeUp(F$249:F$252,$A273)</f>
        <v>-0.13496785632914698</v>
      </c>
      <c r="G273" s="21" cm="1">
        <f t="array" ref="G273">TrajectoryToComeUp(G$249:G$252,$A273)</f>
        <v>-0.89715592988363246</v>
      </c>
      <c r="H273" s="21" cm="1">
        <f t="array" ref="H273">TrajectoryToComeUp(H$249:H$252,$A273)</f>
        <v>-1.9089641350266773</v>
      </c>
      <c r="I273" s="2" cm="1">
        <f t="array" ref="I273">EvaluatePolynomial(I$249:I$252,$A273)</f>
        <v>3291.972820843444</v>
      </c>
      <c r="J273" s="2" cm="1">
        <f t="array" ref="J273">EvaluatePolynomial(J$249:J$252,$A273)</f>
        <v>3330.9039495973138</v>
      </c>
      <c r="L273" s="1"/>
      <c r="M273" s="2"/>
      <c r="N273" s="2"/>
      <c r="O273" s="21"/>
      <c r="P273" s="21"/>
      <c r="Q273" s="21"/>
    </row>
    <row r="274" spans="1:17" x14ac:dyDescent="0.25">
      <c r="A274" s="1">
        <v>300</v>
      </c>
      <c r="B274" s="2" cm="1">
        <f t="array" ref="B274">TrajectoryToComeUp(B$249:B$252,$A274)</f>
        <v>0.90636658135748027</v>
      </c>
      <c r="C274" s="2" cm="1">
        <f t="array" ref="C274">TrajectoryToComeUp(C$249:C$252,$A274)</f>
        <v>1.1315386116365516</v>
      </c>
      <c r="D274" s="21" cm="1">
        <f t="array" ref="D274">TrajectoryToComeUp(D$249:D$252,$A274)</f>
        <v>0.99630561941170903</v>
      </c>
      <c r="E274" s="21" cm="1">
        <f t="array" ref="E274">TrajectoryToComeUp(E$249:E$252,$A274)</f>
        <v>0.67475016580433322</v>
      </c>
      <c r="F274" s="21" cm="1">
        <f t="array" ref="F274">TrajectoryToComeUp(F$249:F$252,$A274)</f>
        <v>5.5784156774570312E-2</v>
      </c>
      <c r="G274" s="21" cm="1">
        <f t="array" ref="G274">TrajectoryToComeUp(G$249:G$252,$A274)</f>
        <v>-0.73269542850915081</v>
      </c>
      <c r="H274" s="21" cm="1">
        <f t="array" ref="H274">TrajectoryToComeUp(H$249:H$252,$A274)</f>
        <v>-1.7358284734456149</v>
      </c>
      <c r="I274" s="2" cm="1">
        <f t="array" ref="I274">EvaluatePolynomial(I$249:I$252,$A274)</f>
        <v>3190.6214883664284</v>
      </c>
      <c r="J274" s="2" cm="1">
        <f t="array" ref="J274">EvaluatePolynomial(J$249:J$252,$A274)</f>
        <v>3234.0139446111989</v>
      </c>
      <c r="L274" s="1"/>
      <c r="M274" s="2"/>
      <c r="N274" s="2"/>
      <c r="O274" s="21"/>
      <c r="P274" s="21"/>
      <c r="Q274" s="21"/>
    </row>
    <row r="275" spans="1:17" x14ac:dyDescent="0.25">
      <c r="A275" s="1">
        <v>325</v>
      </c>
      <c r="B275" s="2" cm="1">
        <f t="array" ref="B275">TrajectoryToComeUp(B$249:B$252,$A275)</f>
        <v>1.1584035193355924</v>
      </c>
      <c r="C275" s="2" cm="1">
        <f t="array" ref="C275">TrajectoryToComeUp(C$249:C$252,$A275)</f>
        <v>1.3337564627810852</v>
      </c>
      <c r="D275" s="21" cm="1">
        <f t="array" ref="D275">TrajectoryToComeUp(D$249:D$252,$A275)</f>
        <v>1.1806708378490325</v>
      </c>
      <c r="E275" s="21" cm="1">
        <f t="array" ref="E275">TrajectoryToComeUp(E$249:E$252,$A275)</f>
        <v>0.87390647333918425</v>
      </c>
      <c r="F275" s="21" cm="1">
        <f t="array" ref="F275">TrajectoryToComeUp(F$249:F$252,$A275)</f>
        <v>0.25110527549653516</v>
      </c>
      <c r="G275" s="21" cm="1">
        <f t="array" ref="G275">TrajectoryToComeUp(G$249:G$252,$A275)</f>
        <v>-0.55937292296999108</v>
      </c>
      <c r="H275" s="21" cm="1">
        <f t="array" ref="H275">TrajectoryToComeUp(H$249:H$252,$A275)</f>
        <v>-1.552586845800672</v>
      </c>
      <c r="I275" s="2" cm="1">
        <f t="array" ref="I275">EvaluatePolynomial(I$249:I$252,$A275)</f>
        <v>3091.7964025741176</v>
      </c>
      <c r="J275" s="2" cm="1">
        <f t="array" ref="J275">EvaluatePolynomial(J$249:J$252,$A275)</f>
        <v>3139.3766200745608</v>
      </c>
      <c r="L275" s="1"/>
      <c r="M275" s="2"/>
      <c r="N275" s="2"/>
      <c r="O275" s="21"/>
      <c r="P275" s="21"/>
      <c r="Q275" s="21"/>
    </row>
    <row r="276" spans="1:17" x14ac:dyDescent="0.25">
      <c r="A276" s="1">
        <v>350</v>
      </c>
      <c r="B276" s="2" cm="1">
        <f t="array" ref="B276">TrajectoryToComeUp(B$249:B$252,$A276)</f>
        <v>1.4190963903467657</v>
      </c>
      <c r="C276" s="2" cm="1">
        <f t="array" ref="C276">TrajectoryToComeUp(C$249:C$252,$A276)</f>
        <v>1.5470113238719616</v>
      </c>
      <c r="D276" s="21" cm="1">
        <f t="array" ref="D276">TrajectoryToComeUp(D$249:D$252,$A276)</f>
        <v>1.3667579068085363</v>
      </c>
      <c r="E276" s="21" cm="1">
        <f t="array" ref="E276">TrajectoryToComeUp(E$249:E$252,$A276)</f>
        <v>1.081414296402978</v>
      </c>
      <c r="F276" s="21" cm="1">
        <f t="array" ref="F276">TrajectoryToComeUp(F$249:F$252,$A276)</f>
        <v>0.45045193136419936</v>
      </c>
      <c r="G276" s="21" cm="1">
        <f t="array" ref="G276">TrajectoryToComeUp(G$249:G$252,$A276)</f>
        <v>-0.37763774730535304</v>
      </c>
      <c r="H276" s="21" cm="1">
        <f t="array" ref="H276">TrajectoryToComeUp(H$249:H$252,$A276)</f>
        <v>-1.3596599953874136</v>
      </c>
      <c r="I276" s="2" cm="1">
        <f t="array" ref="I276">EvaluatePolynomial(I$249:I$252,$A276)</f>
        <v>2995.5122254988105</v>
      </c>
      <c r="J276" s="2" cm="1">
        <f t="array" ref="J276">EvaluatePolynomial(J$249:J$252,$A276)</f>
        <v>3046.9480585521778</v>
      </c>
      <c r="L276" s="1"/>
      <c r="M276" s="2"/>
      <c r="N276" s="2"/>
      <c r="O276" s="21"/>
      <c r="P276" s="21"/>
      <c r="Q276" s="21"/>
    </row>
    <row r="277" spans="1:17" x14ac:dyDescent="0.25">
      <c r="A277" s="1">
        <v>375</v>
      </c>
      <c r="B277" s="2" cm="1">
        <f t="array" ref="B277">TrajectoryToComeUp(B$249:B$252,$A277)</f>
        <v>1.6879776074350319</v>
      </c>
      <c r="C277" s="2" cm="1">
        <f t="array" ref="C277">TrajectoryToComeUp(C$249:C$252,$A277)</f>
        <v>1.7709653585799068</v>
      </c>
      <c r="D277" s="21" cm="1">
        <f t="array" ref="D277">TrajectoryToComeUp(D$249:D$252,$A277)</f>
        <v>1.5541392365494826</v>
      </c>
      <c r="E277" s="21" cm="1">
        <f t="array" ref="E277">TrajectoryToComeUp(E$249:E$252,$A277)</f>
        <v>1.2969859624192033</v>
      </c>
      <c r="F277" s="21" cm="1">
        <f t="array" ref="F277">TrajectoryToComeUp(F$249:F$252,$A277)</f>
        <v>0.65342550749769446</v>
      </c>
      <c r="G277" s="21" cm="1">
        <f t="array" ref="G277">TrajectoryToComeUp(G$249:G$252,$A277)</f>
        <v>-0.18781941314398279</v>
      </c>
      <c r="H277" s="21" cm="1">
        <f t="array" ref="H277">TrajectoryToComeUp(H$249:H$252,$A277)</f>
        <v>-1.1573564672892556</v>
      </c>
      <c r="I277" s="2" cm="1">
        <f t="array" ref="I277">EvaluatePolynomial(I$249:I$252,$A277)</f>
        <v>2901.7836191728065</v>
      </c>
      <c r="J277" s="2" cm="1">
        <f t="array" ref="J277">EvaluatePolynomial(J$249:J$252,$A277)</f>
        <v>2956.684342608828</v>
      </c>
      <c r="L277" s="1"/>
      <c r="M277" s="2"/>
      <c r="N277" s="2"/>
      <c r="O277" s="21"/>
      <c r="P277" s="21"/>
      <c r="Q277" s="21"/>
    </row>
    <row r="278" spans="1:17" x14ac:dyDescent="0.25">
      <c r="A278" s="1">
        <v>400</v>
      </c>
      <c r="B278" s="2" cm="1">
        <f t="array" ref="B278">TrajectoryToComeUp(B$249:B$252,$A278)</f>
        <v>1.9646964803834153</v>
      </c>
      <c r="C278" s="2" cm="1">
        <f t="array" ref="C278">TrajectoryToComeUp(C$249:C$252,$A278)</f>
        <v>2.0053651896579643</v>
      </c>
      <c r="D278" s="21" cm="1">
        <f t="array" ref="D278">TrajectoryToComeUp(D$249:D$252,$A278)</f>
        <v>1.7424941347663196</v>
      </c>
      <c r="E278" s="21" cm="1">
        <f t="array" ref="E278">TrajectoryToComeUp(E$249:E$252,$A278)</f>
        <v>1.5204057169554757</v>
      </c>
      <c r="F278" s="21" cm="1">
        <f t="array" ref="F278">TrajectoryToComeUp(F$249:F$252,$A278)</f>
        <v>0.85972704123711829</v>
      </c>
      <c r="G278" s="21" cm="1">
        <f t="array" ref="G278">TrajectoryToComeUp(G$249:G$252,$A278)</f>
        <v>9.8349457925599269E-3</v>
      </c>
      <c r="H278" s="21" cm="1">
        <f t="array" ref="H278">TrajectoryToComeUp(H$249:H$252,$A278)</f>
        <v>-0.945907670318758</v>
      </c>
      <c r="I278" s="2" cm="1">
        <f t="array" ref="I278">EvaluatePolynomial(I$249:I$252,$A278)</f>
        <v>2810.6252456284051</v>
      </c>
      <c r="J278" s="2" cm="1">
        <f t="array" ref="J278">EvaluatePolynomial(J$249:J$252,$A278)</f>
        <v>2868.5415548092897</v>
      </c>
      <c r="L278" s="1"/>
      <c r="M278" s="2"/>
      <c r="N278" s="2"/>
      <c r="O278" s="21"/>
      <c r="P278" s="21"/>
      <c r="Q278" s="21"/>
    </row>
    <row r="279" spans="1:17" x14ac:dyDescent="0.25">
      <c r="A279" s="1">
        <v>425</v>
      </c>
      <c r="B279" s="2" cm="1">
        <f t="array" ref="B279">TrajectoryToComeUp(B$249:B$252,$A279)</f>
        <v>2.2489848343201109</v>
      </c>
      <c r="C279" s="2" cm="1">
        <f t="array" ref="C279">TrajectoryToComeUp(C$249:C$252,$A279)</f>
        <v>2.250017058034933</v>
      </c>
      <c r="D279" s="21" cm="1">
        <f t="array" ref="D279">TrajectoryToComeUp(D$249:D$252,$A279)</f>
        <v>1.9315773661665656</v>
      </c>
      <c r="E279" s="21" cm="1">
        <f t="array" ref="E279">TrajectoryToComeUp(E$249:E$252,$A279)</f>
        <v>1.7515085713282077</v>
      </c>
      <c r="F279" s="21" cm="1">
        <f t="array" ref="F279">TrajectoryToComeUp(F$249:F$252,$A279)</f>
        <v>1.06912791407784</v>
      </c>
      <c r="G279" s="21" cm="1">
        <f t="array" ref="G279">TrajectoryToComeUp(G$249:G$252,$A279)</f>
        <v>0.21513634489367062</v>
      </c>
      <c r="H279" s="21" cm="1">
        <f t="array" ref="H279">TrajectoryToComeUp(H$249:H$252,$A279)</f>
        <v>-0.72549056415611579</v>
      </c>
      <c r="I279" s="2" cm="1">
        <f t="array" ref="I279">EvaluatePolynomial(I$249:I$252,$A279)</f>
        <v>2722.0517668979046</v>
      </c>
      <c r="J279" s="2" cm="1">
        <f t="array" ref="J279">EvaluatePolynomial(J$249:J$252,$A279)</f>
        <v>2782.4757777183409</v>
      </c>
      <c r="L279" s="1"/>
      <c r="M279" s="2"/>
      <c r="N279" s="2"/>
      <c r="O279" s="21"/>
      <c r="P279" s="21"/>
      <c r="Q279" s="21"/>
    </row>
    <row r="280" spans="1:17" x14ac:dyDescent="0.25">
      <c r="A280" s="1">
        <v>450</v>
      </c>
      <c r="B280" s="2" cm="1">
        <f t="array" ref="B280">TrajectoryToComeUp(B$249:B$252,$A280)</f>
        <v>2.5406340887892704</v>
      </c>
      <c r="C280" s="2" cm="1">
        <f t="array" ref="C280">TrajectoryToComeUp(C$249:C$252,$A280)</f>
        <v>2.5047702622109895</v>
      </c>
      <c r="D280" s="21" cm="1">
        <f t="array" ref="D280">TrajectoryToComeUp(D$249:D$252,$A280)</f>
        <v>2.1211981921894014</v>
      </c>
      <c r="E280" s="21" cm="1">
        <f t="array" ref="E280">TrajectoryToComeUp(E$249:E$252,$A280)</f>
        <v>1.9901662010057208</v>
      </c>
      <c r="F280" s="21" cm="1">
        <f t="array" ref="F280">TrajectoryToComeUp(F$249:F$252,$A280)</f>
        <v>1.2814503116273701</v>
      </c>
      <c r="G280" s="21" cm="1">
        <f t="array" ref="G280">TrajectoryToComeUp(G$249:G$252,$A280)</f>
        <v>0.42793779612887961</v>
      </c>
      <c r="H280" s="21" cm="1">
        <f t="array" ref="H280">TrajectoryToComeUp(H$249:H$252,$A280)</f>
        <v>-0.49624278410814604</v>
      </c>
      <c r="I280" s="2" cm="1">
        <f t="array" ref="I280">EvaluatePolynomial(I$249:I$252,$A280)</f>
        <v>2636.0778450136049</v>
      </c>
      <c r="J280" s="2" cm="1">
        <f t="array" ref="J280">EvaluatePolynomial(J$249:J$252,$A280)</f>
        <v>2698.4430939007602</v>
      </c>
      <c r="L280" s="1"/>
      <c r="M280" s="2"/>
      <c r="N280" s="2"/>
      <c r="O280" s="21"/>
      <c r="P280" s="21"/>
      <c r="Q280" s="21"/>
    </row>
    <row r="281" spans="1:17" x14ac:dyDescent="0.25">
      <c r="A281" s="1">
        <v>475</v>
      </c>
      <c r="B281" s="2" cm="1">
        <f t="array" ref="B281">TrajectoryToComeUp(B$249:B$252,$A281)</f>
        <v>2.8394795750099617</v>
      </c>
      <c r="C281" s="2" cm="1">
        <f t="array" ref="C281">TrajectoryToComeUp(C$249:C$252,$A281)</f>
        <v>2.7695058273178512</v>
      </c>
      <c r="D281" s="21" cm="1">
        <f t="array" ref="D281">TrajectoryToComeUp(D$249:D$252,$A281)</f>
        <v>2.3112060297604953</v>
      </c>
      <c r="E281" s="21" cm="1">
        <f t="array" ref="E281">TrajectoryToComeUp(E$249:E$252,$A281)</f>
        <v>2.2362772971472147</v>
      </c>
      <c r="F281" s="21" cm="1">
        <f t="array" ref="F281">TrajectoryToComeUp(F$249:F$252,$A281)</f>
        <v>1.4965538541021624</v>
      </c>
      <c r="G281" s="21" cm="1">
        <f t="array" ref="G281">TrajectoryToComeUp(G$249:G$252,$A281)</f>
        <v>0.64812325631623591</v>
      </c>
      <c r="H281" s="21" cm="1">
        <f t="array" ref="H281">TrajectoryToComeUp(H$249:H$252,$A281)</f>
        <v>-0.25827298962759931</v>
      </c>
      <c r="I281" s="2" cm="1">
        <f t="array" ref="I281">EvaluatePolynomial(I$249:I$252,$A281)</f>
        <v>2552.718142007805</v>
      </c>
      <c r="J281" s="2" cm="1">
        <f t="array" ref="J281">EvaluatePolynomial(J$249:J$252,$A281)</f>
        <v>2616.3995859213251</v>
      </c>
      <c r="L281" s="1"/>
      <c r="M281" s="2"/>
      <c r="N281" s="2"/>
      <c r="O281" s="21"/>
      <c r="P281" s="21"/>
      <c r="Q281" s="21"/>
    </row>
    <row r="282" spans="1:17" x14ac:dyDescent="0.25">
      <c r="A282" s="1">
        <v>500</v>
      </c>
      <c r="B282" s="2" cm="1">
        <f t="array" ref="B282">TrajectoryToComeUp(B$249:B$252,$A282)</f>
        <v>3.1453895579574374</v>
      </c>
      <c r="C282" s="2" cm="1">
        <f t="array" ref="C282">TrajectoryToComeUp(C$249:C$252,$A282)</f>
        <v>3.0441285734608936</v>
      </c>
      <c r="D282" s="21" cm="1">
        <f t="array" ref="D282">TrajectoryToComeUp(D$249:D$252,$A282)</f>
        <v>2.5014804124203835</v>
      </c>
      <c r="E282" s="21" cm="1">
        <f t="array" ref="E282">TrajectoryToComeUp(E$249:E$252,$A282)</f>
        <v>2.4897608126800508</v>
      </c>
      <c r="F282" s="21" cm="1">
        <f t="array" ref="F282">TrajectoryToComeUp(F$249:F$252,$A282)</f>
        <v>1.7143262376753807</v>
      </c>
      <c r="G282" s="21" cm="1">
        <f t="array" ref="G282">TrajectoryToComeUp(G$249:G$252,$A282)</f>
        <v>0.87559989091017965</v>
      </c>
      <c r="H282" s="21" cm="1">
        <f t="array" ref="H282">TrajectoryToComeUp(H$249:H$252,$A282)</f>
        <v>-1.1668108276676248E-2</v>
      </c>
      <c r="I282" s="2" cm="1">
        <f t="array" ref="I282">EvaluatePolynomial(I$249:I$252,$A282)</f>
        <v>2471.9873199128042</v>
      </c>
      <c r="J282" s="2" cm="1">
        <f t="array" ref="J282">EvaluatePolynomial(J$249:J$252,$A282)</f>
        <v>2536.3013363448149</v>
      </c>
      <c r="L282" s="1"/>
      <c r="M282" s="2"/>
      <c r="N282" s="2"/>
      <c r="O282" s="21"/>
      <c r="P282" s="21"/>
      <c r="Q282" s="21"/>
    </row>
  </sheetData>
  <mergeCells count="7">
    <mergeCell ref="F1:I1"/>
    <mergeCell ref="T248:U248"/>
    <mergeCell ref="C20:G20"/>
    <mergeCell ref="J20:N20"/>
    <mergeCell ref="B257:H257"/>
    <mergeCell ref="B258:H258"/>
    <mergeCell ref="I258:J258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DB4E1-C7E1-4436-8FB9-A3181485E762}">
  <sheetPr codeName="Sheet2"/>
  <dimension ref="A1:W282"/>
  <sheetViews>
    <sheetView workbookViewId="0">
      <selection activeCell="G5" sqref="G5"/>
    </sheetView>
  </sheetViews>
  <sheetFormatPr defaultRowHeight="15" x14ac:dyDescent="0.25"/>
  <cols>
    <col min="1" max="1" width="34.5703125" customWidth="1"/>
    <col min="2" max="2" width="26.28515625" customWidth="1"/>
    <col min="3" max="3" width="17.7109375" customWidth="1"/>
    <col min="4" max="4" width="16.42578125" customWidth="1"/>
    <col min="5" max="6" width="15.710937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5" width="15.7109375" customWidth="1"/>
    <col min="16" max="16" width="16.7109375" customWidth="1"/>
    <col min="17" max="17" width="17.42578125" customWidth="1"/>
    <col min="18" max="18" width="14.28515625" customWidth="1"/>
    <col min="19" max="19" width="22" customWidth="1"/>
    <col min="20" max="20" width="17" customWidth="1"/>
    <col min="22" max="22" width="10.85546875" customWidth="1"/>
  </cols>
  <sheetData>
    <row r="1" spans="1:9" x14ac:dyDescent="0.25">
      <c r="A1" t="s">
        <v>17</v>
      </c>
      <c r="B1" t="s">
        <v>55</v>
      </c>
      <c r="C1" t="s">
        <v>62</v>
      </c>
      <c r="D1" t="s">
        <v>32</v>
      </c>
      <c r="F1" s="54" t="s">
        <v>105</v>
      </c>
      <c r="G1" s="54"/>
      <c r="H1" s="54"/>
      <c r="I1" s="54"/>
    </row>
    <row r="2" spans="1:9" x14ac:dyDescent="0.25">
      <c r="A2" t="s">
        <v>58</v>
      </c>
      <c r="B2" s="2">
        <v>175</v>
      </c>
      <c r="C2" s="2">
        <f>CONVERT($B$2,"grain","g")</f>
        <v>11.33980925</v>
      </c>
      <c r="D2" s="2"/>
      <c r="E2" s="2"/>
      <c r="F2" t="s">
        <v>58</v>
      </c>
      <c r="G2" s="2">
        <v>175</v>
      </c>
      <c r="H2" s="2">
        <f>CONVERT($G$2,"grain","g")</f>
        <v>11.33980925</v>
      </c>
    </row>
    <row r="3" spans="1:9" x14ac:dyDescent="0.25">
      <c r="A3" t="s">
        <v>59</v>
      </c>
      <c r="B3" s="2">
        <v>0.28399999999999997</v>
      </c>
      <c r="C3" s="2">
        <f>CONVERT($B$3,"in","mm")</f>
        <v>7.2135999999999996</v>
      </c>
      <c r="D3" s="2"/>
      <c r="E3" s="2"/>
      <c r="F3" t="s">
        <v>59</v>
      </c>
      <c r="G3" s="2">
        <v>0.28399999999999997</v>
      </c>
      <c r="H3" s="2">
        <f>CONVERT($G$3,"in","mm")</f>
        <v>7.2135999999999996</v>
      </c>
    </row>
    <row r="4" spans="1:9" x14ac:dyDescent="0.25">
      <c r="A4" t="s">
        <v>10</v>
      </c>
      <c r="B4" s="2">
        <v>0.27800000000000002</v>
      </c>
      <c r="C4" s="2"/>
      <c r="F4" t="s">
        <v>10</v>
      </c>
      <c r="G4" s="2">
        <v>0.27800000000000002</v>
      </c>
      <c r="H4" s="2"/>
    </row>
    <row r="5" spans="1:9" x14ac:dyDescent="0.25">
      <c r="A5" t="s">
        <v>18</v>
      </c>
      <c r="B5" s="2">
        <v>0.54900000000000004</v>
      </c>
      <c r="C5" s="2"/>
      <c r="D5" s="2"/>
      <c r="F5" t="s">
        <v>18</v>
      </c>
      <c r="G5" s="2">
        <v>0.54900000000000004</v>
      </c>
      <c r="H5" s="2"/>
    </row>
    <row r="6" spans="1:9" x14ac:dyDescent="0.25">
      <c r="A6" t="s">
        <v>56</v>
      </c>
      <c r="B6" s="2">
        <v>4740.8</v>
      </c>
      <c r="C6" s="2">
        <f>CONVERT($B$6,"J","flb")</f>
        <v>3496.6346372936596</v>
      </c>
      <c r="D6" s="2"/>
      <c r="E6" s="30"/>
      <c r="F6" t="s">
        <v>107</v>
      </c>
      <c r="G6" s="2" cm="1">
        <f t="array" ref="G6">MuzzleVelocityToMuzzleEnergyFtLb(G7,G2)</f>
        <v>3496.6068943013161</v>
      </c>
      <c r="H6" s="2" cm="1">
        <f t="array" ref="H6">MuzzleVelocityToMuzzleEnergyJoules(H7,H2)</f>
        <v>4740.7623855530401</v>
      </c>
    </row>
    <row r="7" spans="1:9" x14ac:dyDescent="0.25">
      <c r="A7" t="s">
        <v>57</v>
      </c>
      <c r="B7" s="2" cm="1">
        <f t="array" ref="B7">MuzzleEnergyToMuzzleVelocityMPS(B6,C2)</f>
        <v>914.40362753701606</v>
      </c>
      <c r="C7" s="2" cm="1">
        <f t="array" ref="C7">MuzzleEnergyToMuzzleVelocityFPS(C6,B2)</f>
        <v>3000.0119013681629</v>
      </c>
      <c r="D7" s="29"/>
      <c r="E7" s="30"/>
      <c r="F7" t="s">
        <v>108</v>
      </c>
      <c r="G7" s="2">
        <v>3000</v>
      </c>
      <c r="H7" s="2">
        <f>CONVERT($G$7,"ft","m")</f>
        <v>914.4</v>
      </c>
    </row>
    <row r="8" spans="1:9" x14ac:dyDescent="0.25">
      <c r="A8" t="s">
        <v>0</v>
      </c>
      <c r="B8" s="2">
        <v>0</v>
      </c>
      <c r="C8" s="2"/>
    </row>
    <row r="9" spans="1:9" x14ac:dyDescent="0.25">
      <c r="A9" t="s">
        <v>1</v>
      </c>
      <c r="B9" s="2">
        <v>4.2</v>
      </c>
      <c r="C9" s="2">
        <f>CONVERT($B$9,"m/sec","km/hr")</f>
        <v>15.120000000000001</v>
      </c>
    </row>
    <row r="10" spans="1:9" x14ac:dyDescent="0.25">
      <c r="A10" t="s">
        <v>2</v>
      </c>
      <c r="B10" s="2">
        <v>180</v>
      </c>
      <c r="C10" s="2"/>
    </row>
    <row r="11" spans="1:9" x14ac:dyDescent="0.25">
      <c r="A11" s="37" t="s">
        <v>93</v>
      </c>
      <c r="B11" s="2">
        <v>1</v>
      </c>
      <c r="C11" s="38"/>
    </row>
    <row r="12" spans="1:9" x14ac:dyDescent="0.25">
      <c r="A12" s="37" t="s">
        <v>94</v>
      </c>
      <c r="B12" s="2" cm="1">
        <f t="array" ref="B12">MOAToMRAD(B11)</f>
        <v>0.29088820866572157</v>
      </c>
      <c r="C12" s="38">
        <f>$B$12/2</f>
        <v>0.14544410433286079</v>
      </c>
    </row>
    <row r="13" spans="1:9" x14ac:dyDescent="0.25">
      <c r="A13" s="37" t="s">
        <v>22</v>
      </c>
      <c r="B13" s="2">
        <f>CONVERT(1.5,"in","cm")</f>
        <v>3.81</v>
      </c>
      <c r="D13" s="2">
        <f>CONVERT($B$12,"cm","in")</f>
        <v>0.11452291679752817</v>
      </c>
    </row>
    <row r="14" spans="1:9" x14ac:dyDescent="0.25">
      <c r="A14" s="37" t="s">
        <v>4</v>
      </c>
      <c r="B14" t="s">
        <v>95</v>
      </c>
    </row>
    <row r="15" spans="1:9" x14ac:dyDescent="0.25">
      <c r="A15" s="47" t="s">
        <v>96</v>
      </c>
      <c r="B15" s="28" t="s">
        <v>97</v>
      </c>
      <c r="C15" s="28" t="s">
        <v>98</v>
      </c>
      <c r="D15" s="28" t="s">
        <v>99</v>
      </c>
      <c r="E15" s="28" t="s">
        <v>100</v>
      </c>
    </row>
    <row r="16" spans="1:9" x14ac:dyDescent="0.25">
      <c r="A16" s="37" t="s">
        <v>101</v>
      </c>
      <c r="B16" s="2">
        <v>0.95</v>
      </c>
      <c r="C16">
        <f>$B16/2</f>
        <v>0.47499999999999998</v>
      </c>
      <c r="D16" s="2">
        <f>$B$16 * $B$18</f>
        <v>0.73691679528649467</v>
      </c>
      <c r="E16" s="21">
        <f>$D16/2</f>
        <v>0.36845839764324734</v>
      </c>
    </row>
    <row r="17" spans="1:17" x14ac:dyDescent="0.25">
      <c r="A17" s="37" t="s">
        <v>102</v>
      </c>
      <c r="B17" s="2">
        <v>0.375</v>
      </c>
      <c r="C17">
        <f t="shared" ref="C17" si="0">$B17/2</f>
        <v>0.1875</v>
      </c>
      <c r="D17" s="2">
        <f>$B$16 * $B$17</f>
        <v>0.35624999999999996</v>
      </c>
      <c r="E17" s="21">
        <f>$D17/2</f>
        <v>0.17812499999999998</v>
      </c>
    </row>
    <row r="18" spans="1:17" x14ac:dyDescent="0.25">
      <c r="A18" s="11" t="s">
        <v>103</v>
      </c>
      <c r="B18" s="12">
        <f>$B$12/$B$17</f>
        <v>0.77570188977525756</v>
      </c>
      <c r="C18" s="2"/>
      <c r="J18" s="2">
        <v>5.05</v>
      </c>
      <c r="K18" s="2">
        <v>4</v>
      </c>
      <c r="L18" s="2">
        <v>4</v>
      </c>
      <c r="M18" s="2">
        <v>4</v>
      </c>
      <c r="N18" s="2">
        <v>4</v>
      </c>
      <c r="O18" s="2">
        <v>3.5</v>
      </c>
      <c r="P18" s="2">
        <v>4</v>
      </c>
    </row>
    <row r="19" spans="1:17" x14ac:dyDescent="0.25">
      <c r="A19" s="40" t="s">
        <v>104</v>
      </c>
      <c r="B19" s="41"/>
      <c r="C19" s="2">
        <f>$C$17*0.61+$C16*0.39</f>
        <v>0.29962500000000003</v>
      </c>
      <c r="D19" s="2"/>
      <c r="E19" s="2" cm="1">
        <f t="array" ref="E19">ProbableAngularPOIError(D17,D16,B12,0.68)</f>
        <v>0.33771286446148363</v>
      </c>
      <c r="J19" s="2"/>
      <c r="K19" s="2"/>
      <c r="L19" s="2"/>
      <c r="M19" s="2"/>
      <c r="N19" s="2"/>
      <c r="O19" s="2"/>
      <c r="P19" s="2"/>
    </row>
    <row r="20" spans="1:17" x14ac:dyDescent="0.25">
      <c r="A20" s="47"/>
      <c r="B20" s="47"/>
      <c r="C20" s="53" t="s">
        <v>20</v>
      </c>
      <c r="D20" s="53"/>
      <c r="E20" s="53"/>
      <c r="F20" s="53"/>
      <c r="G20" s="53"/>
      <c r="H20" s="28"/>
      <c r="I20" s="28"/>
      <c r="J20" s="53" t="s">
        <v>21</v>
      </c>
      <c r="K20" s="53"/>
      <c r="L20" s="53"/>
      <c r="M20" s="53"/>
      <c r="N20" s="53"/>
      <c r="O20" s="28"/>
      <c r="P20" s="28"/>
      <c r="Q20" s="48" t="s">
        <v>24</v>
      </c>
    </row>
    <row r="21" spans="1:17" x14ac:dyDescent="0.25">
      <c r="A21" s="47" t="s">
        <v>3</v>
      </c>
      <c r="B21" s="47" t="s">
        <v>19</v>
      </c>
      <c r="C21" s="47" t="s">
        <v>5</v>
      </c>
      <c r="D21" s="47" t="s">
        <v>6</v>
      </c>
      <c r="E21" s="47" t="s">
        <v>7</v>
      </c>
      <c r="F21" s="47" t="s">
        <v>8</v>
      </c>
      <c r="G21" s="47" t="s">
        <v>9</v>
      </c>
      <c r="H21" s="47" t="s">
        <v>27</v>
      </c>
      <c r="I21" s="47" t="s">
        <v>28</v>
      </c>
      <c r="J21" s="49" t="s">
        <v>5</v>
      </c>
      <c r="K21" s="49" t="s">
        <v>6</v>
      </c>
      <c r="L21" s="49" t="s">
        <v>7</v>
      </c>
      <c r="M21" s="49" t="s">
        <v>8</v>
      </c>
      <c r="N21" s="49" t="s">
        <v>9</v>
      </c>
      <c r="O21" s="49" t="s">
        <v>27</v>
      </c>
      <c r="P21" s="49" t="s">
        <v>28</v>
      </c>
      <c r="Q21" s="48" t="s">
        <v>25</v>
      </c>
    </row>
    <row r="22" spans="1:17" x14ac:dyDescent="0.25">
      <c r="A22" s="1">
        <v>0</v>
      </c>
      <c r="B22" s="1">
        <v>4740.8</v>
      </c>
      <c r="C22" s="3"/>
      <c r="D22" s="4"/>
      <c r="E22" s="4"/>
      <c r="F22" s="4"/>
      <c r="G22" s="5"/>
      <c r="H22" s="5"/>
      <c r="I22" s="4"/>
      <c r="J22" s="8">
        <f>$B$13*(-1)</f>
        <v>-3.81</v>
      </c>
      <c r="K22" s="8">
        <f t="shared" ref="K22:P22" si="1">$B$13*(-1)</f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8">
        <f t="shared" si="1"/>
        <v>-3.81</v>
      </c>
      <c r="Q22" s="45">
        <v>0</v>
      </c>
    </row>
    <row r="23" spans="1:17" x14ac:dyDescent="0.25">
      <c r="A23" s="1">
        <v>25</v>
      </c>
      <c r="B23" s="1">
        <v>4618.7</v>
      </c>
      <c r="C23" s="6">
        <v>-0.33300000000000002</v>
      </c>
      <c r="D23" s="6">
        <v>-0.375</v>
      </c>
      <c r="E23" s="6">
        <v>-0.33300000000000002</v>
      </c>
      <c r="F23" s="6">
        <v>-0.3125</v>
      </c>
      <c r="G23" s="6">
        <v>-0.125</v>
      </c>
      <c r="H23" s="6">
        <v>8.3000000000000004E-2</v>
      </c>
      <c r="I23" s="14">
        <v>0.33300000000000002</v>
      </c>
      <c r="J23" s="9" cm="1">
        <f t="array" ref="J23">TrajectoryDropInCM(C23,$A23,J$18)</f>
        <v>-4.204128963018321</v>
      </c>
      <c r="K23" s="9" cm="1">
        <f t="array" ref="K23">TrajectoryDropInCM(D23,$A23,K$18)</f>
        <v>-3.7500028125025313</v>
      </c>
      <c r="L23" s="9" cm="1">
        <f t="array" ref="L23">TrajectoryDropInCM(E23,$A23,L$18)</f>
        <v>-3.3300019693900382</v>
      </c>
      <c r="M23" s="9" cm="1">
        <f t="array" ref="M23">TrajectoryDropInCM(F23,$A23,M$18)</f>
        <v>-3.125001627605184</v>
      </c>
      <c r="N23" s="9" cm="1">
        <f t="array" ref="N23">TrajectoryDropInCM(G23,$A23,N$18)</f>
        <v>-1.2500001041666768</v>
      </c>
      <c r="O23" s="9" cm="1">
        <f t="array" ref="O23">TrajectoryDropInCM(H23,$A23,O$18)</f>
        <v>0.72625002042947373</v>
      </c>
      <c r="P23" s="9" cm="1">
        <f t="array" ref="P23">TrajectoryDropInCM(I23,$A23,P$18)</f>
        <v>3.3300019693900382</v>
      </c>
      <c r="Q23" s="45" cm="1">
        <f t="array" ref="Q23">TrajectoryErrorCM($E$19,1,$A23)</f>
        <v>0.84428216115370902</v>
      </c>
    </row>
    <row r="24" spans="1:17" x14ac:dyDescent="0.25">
      <c r="A24" s="1">
        <v>50</v>
      </c>
      <c r="B24" s="1">
        <v>4460.3</v>
      </c>
      <c r="C24" s="7">
        <v>0</v>
      </c>
      <c r="D24" s="6">
        <v>-0.125</v>
      </c>
      <c r="E24" s="6">
        <v>0</v>
      </c>
      <c r="F24" s="6">
        <v>0</v>
      </c>
      <c r="G24" s="6">
        <v>0.16700000000000001</v>
      </c>
      <c r="H24" s="6">
        <v>0.375</v>
      </c>
      <c r="I24" s="14">
        <v>0.625</v>
      </c>
      <c r="J24" s="9" cm="1">
        <f t="array" ref="J24">TrajectoryDropInCM(C24,$A24,J$18)</f>
        <v>0</v>
      </c>
      <c r="K24" s="9" cm="1">
        <f t="array" ref="K24">TrajectoryDropInCM(D24,$A24,K$18)</f>
        <v>-2.5000002083333537</v>
      </c>
      <c r="L24" s="9" cm="1">
        <f t="array" ref="L24">TrajectoryDropInCM(E24,$A24,L$18)</f>
        <v>0</v>
      </c>
      <c r="M24" s="9" cm="1">
        <f t="array" ref="M24">TrajectoryDropInCM(F24,$A24,M$18)</f>
        <v>0</v>
      </c>
      <c r="N24" s="9" cm="1">
        <f t="array" ref="N24">TrajectoryDropInCM(G24,$A24,N$18)</f>
        <v>3.3400004967961423</v>
      </c>
      <c r="O24" s="9" cm="1">
        <f t="array" ref="O24">TrajectoryDropInCM(H24,$A24,O$18)</f>
        <v>6.5625037683131442</v>
      </c>
      <c r="P24" s="9" cm="1">
        <f t="array" ref="P24">TrajectoryDropInCM(I24,$A24,P$18)</f>
        <v>12.500026041731772</v>
      </c>
      <c r="Q24" s="45" cm="1">
        <f t="array" ref="Q24">TrajectoryErrorCM($E$19,1,$A24)</f>
        <v>1.688564322307418</v>
      </c>
    </row>
    <row r="25" spans="1:17" x14ac:dyDescent="0.25">
      <c r="A25" s="1">
        <v>75</v>
      </c>
      <c r="B25" s="1">
        <v>4335.3</v>
      </c>
      <c r="C25" s="6">
        <v>8.3000000000000004E-2</v>
      </c>
      <c r="D25" s="6">
        <v>0</v>
      </c>
      <c r="E25" s="6">
        <v>0</v>
      </c>
      <c r="F25" s="6">
        <v>0</v>
      </c>
      <c r="G25" s="6">
        <v>0.25</v>
      </c>
      <c r="H25" s="6">
        <v>0.41699999999999998</v>
      </c>
      <c r="I25" s="14">
        <v>0.69</v>
      </c>
      <c r="J25" s="9" cm="1">
        <f t="array" ref="J25">TrajectoryDropInCM(C25,$A25,J$18)</f>
        <v>3.1436251840977376</v>
      </c>
      <c r="K25" s="9" cm="1">
        <f t="array" ref="K25">TrajectoryDropInCM(D25,$A25,K$18)</f>
        <v>0</v>
      </c>
      <c r="L25" s="9" cm="1">
        <f t="array" ref="L25">TrajectoryDropInCM(E25,$A25,L$18)</f>
        <v>0</v>
      </c>
      <c r="M25" s="9" cm="1">
        <f t="array" ref="M25">TrajectoryDropInCM(F25,$A25,M$18)</f>
        <v>0</v>
      </c>
      <c r="N25" s="9" cm="1">
        <f t="array" ref="N25">TrajectoryDropInCM(G25,$A25,N$18)</f>
        <v>7.500002500001</v>
      </c>
      <c r="O25" s="9" cm="1">
        <f t="array" ref="O25">TrajectoryDropInCM(H25,$A25,O$18)</f>
        <v>10.94625777235586</v>
      </c>
      <c r="P25" s="9" cm="1">
        <f t="array" ref="P25">TrajectoryDropInCM(I25,$A25,P$18)</f>
        <v>20.700052561600156</v>
      </c>
      <c r="Q25" s="45" cm="1">
        <f t="array" ref="Q25">TrajectoryErrorCM($E$19,1,$A25)</f>
        <v>2.5328464834611273</v>
      </c>
    </row>
    <row r="26" spans="1:17" x14ac:dyDescent="0.25">
      <c r="A26" s="1">
        <v>100</v>
      </c>
      <c r="B26" s="1">
        <v>4190.2</v>
      </c>
      <c r="C26" s="6">
        <v>0.08</v>
      </c>
      <c r="D26" s="7">
        <v>0</v>
      </c>
      <c r="E26" s="6">
        <v>0</v>
      </c>
      <c r="F26" s="6">
        <v>0.125</v>
      </c>
      <c r="G26" s="6">
        <v>0.26</v>
      </c>
      <c r="H26" s="6">
        <v>0.5</v>
      </c>
      <c r="I26" s="14">
        <v>0.6875</v>
      </c>
      <c r="J26" s="9" cm="1">
        <f t="array" ref="J26">TrajectoryDropInCM(C26,$A26,J$18)</f>
        <v>4.0400002197975606</v>
      </c>
      <c r="K26" s="9" cm="1">
        <f t="array" ref="K26">TrajectoryDropInCM(D26,$A26,K$18)</f>
        <v>0</v>
      </c>
      <c r="L26" s="9" cm="1">
        <f t="array" ref="L26">TrajectoryDropInCM(E26,$A26,L$18)</f>
        <v>0</v>
      </c>
      <c r="M26" s="9" cm="1">
        <f t="array" ref="M26">TrajectoryDropInCM(F26,$A26,M$18)</f>
        <v>5.0000004166667074</v>
      </c>
      <c r="N26" s="9" cm="1">
        <f t="array" ref="N26">TrajectoryDropInCM(G26,$A26,N$18)</f>
        <v>10.40000374954829</v>
      </c>
      <c r="O26" s="9" cm="1">
        <f t="array" ref="O26">TrajectoryDropInCM(H26,$A26,O$18)</f>
        <v>17.500017864605219</v>
      </c>
      <c r="P26" s="9" cm="1">
        <f t="array" ref="P26">TrajectoryDropInCM(I26,$A26,P$18)</f>
        <v>27.500069323126365</v>
      </c>
      <c r="Q26" s="45" cm="1">
        <f t="array" ref="Q26">TrajectoryErrorCM($E$19,1,$A26)</f>
        <v>3.3771286446148361</v>
      </c>
    </row>
    <row r="27" spans="1:17" x14ac:dyDescent="0.25">
      <c r="A27" s="1">
        <v>125</v>
      </c>
      <c r="B27" s="1">
        <v>4050.5</v>
      </c>
      <c r="C27" s="6">
        <v>0.125</v>
      </c>
      <c r="D27" s="6">
        <v>0</v>
      </c>
      <c r="E27" s="6">
        <v>0</v>
      </c>
      <c r="F27" s="6">
        <v>0.125</v>
      </c>
      <c r="G27" s="6">
        <v>0.26</v>
      </c>
      <c r="H27" s="6">
        <v>0.45</v>
      </c>
      <c r="I27" s="14">
        <v>0.69</v>
      </c>
      <c r="J27" s="9" cm="1">
        <f t="array" ref="J27">TrajectoryDropInCM(C27,$A27,J$18)</f>
        <v>7.890626048076542</v>
      </c>
      <c r="K27" s="9" cm="1">
        <f t="array" ref="K27">TrajectoryDropInCM(D27,$A27,K$18)</f>
        <v>0</v>
      </c>
      <c r="L27" s="9" cm="1">
        <f t="array" ref="L27">TrajectoryDropInCM(E27,$A27,L$18)</f>
        <v>0</v>
      </c>
      <c r="M27" s="9" cm="1">
        <f t="array" ref="M27">TrajectoryDropInCM(F27,$A27,M$18)</f>
        <v>6.2500005208333844</v>
      </c>
      <c r="N27" s="9" cm="1">
        <f t="array" ref="N27">TrajectoryDropInCM(G27,$A27,N$18)</f>
        <v>13.000004686935362</v>
      </c>
      <c r="O27" s="9" cm="1">
        <f t="array" ref="O27">TrajectoryDropInCM(H27,$A27,O$18)</f>
        <v>19.687516279117716</v>
      </c>
      <c r="P27" s="9" cm="1">
        <f t="array" ref="P27">TrajectoryDropInCM(I27,$A27,P$18)</f>
        <v>34.50008760266693</v>
      </c>
      <c r="Q27" s="45" cm="1">
        <f t="array" ref="Q27">TrajectoryErrorCM($E$19,1,$A27)</f>
        <v>4.2214108057685458</v>
      </c>
    </row>
    <row r="28" spans="1:17" x14ac:dyDescent="0.25">
      <c r="A28" s="1">
        <v>150</v>
      </c>
      <c r="B28" s="1">
        <v>3916.9</v>
      </c>
      <c r="C28" s="6">
        <v>0.12</v>
      </c>
      <c r="D28" s="6">
        <v>0</v>
      </c>
      <c r="E28" s="7">
        <v>0</v>
      </c>
      <c r="F28" s="6">
        <v>8.3000000000000004E-2</v>
      </c>
      <c r="G28" s="6">
        <v>0.25</v>
      </c>
      <c r="H28" s="6">
        <v>0.41699999999999998</v>
      </c>
      <c r="I28" s="14">
        <v>0.625</v>
      </c>
      <c r="J28" s="9" cm="1">
        <f t="array" ref="J28">TrajectoryDropInCM(C28,$A28,J$18)</f>
        <v>9.0900011127252434</v>
      </c>
      <c r="K28" s="9" cm="1">
        <f t="array" ref="K28">TrajectoryDropInCM(D28,$A28,K$18)</f>
        <v>0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15.000005000002</v>
      </c>
      <c r="O28" s="9" cm="1">
        <f t="array" ref="O28">TrajectoryDropInCM(H28,$A28,O$18)</f>
        <v>21.892515544711721</v>
      </c>
      <c r="P28" s="9" cm="1">
        <f t="array" ref="P28">TrajectoryDropInCM(I28,$A28,P$18)</f>
        <v>37.500078125195316</v>
      </c>
      <c r="Q28" s="45" cm="1">
        <f t="array" ref="Q28">TrajectoryErrorCM($E$19,1,$A28)</f>
        <v>5.0656929669222546</v>
      </c>
    </row>
    <row r="29" spans="1:17" x14ac:dyDescent="0.25">
      <c r="A29" s="1">
        <v>200</v>
      </c>
      <c r="B29" s="1">
        <v>3666.5</v>
      </c>
      <c r="C29" s="6">
        <v>0</v>
      </c>
      <c r="D29" s="6">
        <v>-8.3000000000000004E-2</v>
      </c>
      <c r="E29" s="6">
        <v>-4.2000000000000003E-2</v>
      </c>
      <c r="F29" s="7">
        <v>0</v>
      </c>
      <c r="G29" s="6">
        <v>0.125</v>
      </c>
      <c r="H29" s="6">
        <v>0.375</v>
      </c>
      <c r="I29" s="14">
        <v>0.6</v>
      </c>
      <c r="J29" s="9" cm="1">
        <f t="array" ref="J29">TrajectoryDropInCM(C29,$A29,J$18)</f>
        <v>0</v>
      </c>
      <c r="K29" s="9" cm="1">
        <f t="array" ref="K29">TrajectoryDropInCM(D29,$A29,K$18)</f>
        <v>-6.6400002439624641</v>
      </c>
      <c r="L29" s="9" cm="1">
        <f t="array" ref="L29">TrajectoryDropInCM(E29,$A29,L$18)</f>
        <v>-3.3600000316108809</v>
      </c>
      <c r="M29" s="9" cm="1">
        <f t="array" ref="M29">TrajectoryDropInCM(F29,$A29,M$18)</f>
        <v>0</v>
      </c>
      <c r="N29" s="9" cm="1">
        <f t="array" ref="N29">TrajectoryDropInCM(G29,$A29,N$18)</f>
        <v>10.000000833333415</v>
      </c>
      <c r="O29" s="9" cm="1">
        <f t="array" ref="O29">TrajectoryDropInCM(H29,$A29,O$18)</f>
        <v>26.250015073252577</v>
      </c>
      <c r="P29" s="9" cm="1">
        <f t="array" ref="P29">TrajectoryDropInCM(I29,$A29,P$18)</f>
        <v>48.000092160212333</v>
      </c>
      <c r="Q29" s="45" cm="1">
        <f t="array" ref="Q29">TrajectoryErrorCM($E$19,1,$A29)</f>
        <v>6.7542572892296722</v>
      </c>
    </row>
    <row r="30" spans="1:17" x14ac:dyDescent="0.25">
      <c r="A30" s="1">
        <v>250</v>
      </c>
      <c r="B30" s="1">
        <v>3418</v>
      </c>
      <c r="C30" s="6">
        <v>-4.2000000000000003E-2</v>
      </c>
      <c r="D30" s="6">
        <v>-0.125</v>
      </c>
      <c r="E30" s="6">
        <v>-8.3000000000000004E-2</v>
      </c>
      <c r="F30" s="6">
        <v>-4.2000000000000003E-2</v>
      </c>
      <c r="G30" s="6">
        <v>0.125</v>
      </c>
      <c r="H30" s="6">
        <v>0.3125</v>
      </c>
      <c r="I30" s="14">
        <v>0.5</v>
      </c>
      <c r="J30" s="9" cm="1">
        <f t="array" ref="J30">TrajectoryDropInCM(C30,$A30,J$18)</f>
        <v>-5.3025000795134822</v>
      </c>
      <c r="K30" s="9" cm="1">
        <f t="array" ref="K30">TrajectoryDropInCM(D30,$A30,K$18)</f>
        <v>-12.500001041666769</v>
      </c>
      <c r="L30" s="9" cm="1">
        <f t="array" ref="L30">TrajectoryDropInCM(E30,$A30,L$18)</f>
        <v>-8.3000003049530804</v>
      </c>
      <c r="M30" s="9" cm="1">
        <f t="array" ref="M30">TrajectoryDropInCM(F30,$A30,M$18)</f>
        <v>-4.2000000395136006</v>
      </c>
      <c r="N30" s="9" cm="1">
        <f t="array" ref="N30">TrajectoryDropInCM(G30,$A30,N$18)</f>
        <v>12.500001041666769</v>
      </c>
      <c r="O30" s="9" cm="1">
        <f t="array" ref="O30">TrajectoryDropInCM(H30,$A30,O$18)</f>
        <v>27.343760903681574</v>
      </c>
      <c r="P30" s="9" cm="1">
        <f t="array" ref="P30">TrajectoryDropInCM(I30,$A30,P$18)</f>
        <v>50.000066666773321</v>
      </c>
      <c r="Q30" s="45" cm="1">
        <f t="array" ref="Q30">TrajectoryErrorCM($E$19,1,$A30)</f>
        <v>8.4428216115370915</v>
      </c>
    </row>
    <row r="31" spans="1:17" x14ac:dyDescent="0.25">
      <c r="A31" s="1">
        <v>300</v>
      </c>
      <c r="B31" s="1">
        <v>3190.8</v>
      </c>
      <c r="C31" s="6">
        <v>-0.125</v>
      </c>
      <c r="D31" s="6">
        <v>-0.25</v>
      </c>
      <c r="E31" s="6">
        <v>-0.16700000000000001</v>
      </c>
      <c r="F31" s="6">
        <v>-0.125</v>
      </c>
      <c r="G31" s="7">
        <v>0</v>
      </c>
      <c r="H31" s="17">
        <v>0.16700000000000001</v>
      </c>
      <c r="I31" s="18">
        <v>0.41599999999999998</v>
      </c>
      <c r="J31" s="9" cm="1">
        <f t="array" ref="J31">TrajectoryDropInCM(C31,$A31,J$18)</f>
        <v>-18.937502515383699</v>
      </c>
      <c r="K31" s="9" cm="1">
        <f t="array" ref="K31">TrajectoryDropInCM(D31,$A31,K$18)</f>
        <v>-30.000010000004</v>
      </c>
      <c r="L31" s="9" cm="1">
        <f t="array" ref="L31">TrajectoryDropInCM(E31,$A31,L$18)</f>
        <v>-20.040002980776855</v>
      </c>
      <c r="M31" s="9" cm="1">
        <f t="array" ref="M31">TrajectoryDropInCM(F31,$A31,M$18)</f>
        <v>-15.000001250000123</v>
      </c>
      <c r="N31" s="9" cm="1">
        <f t="array" ref="N31">TrajectoryDropInCM(G31,$A31,N$18)</f>
        <v>0</v>
      </c>
      <c r="O31" s="9" cm="1">
        <f t="array" ref="O31">TrajectoryDropInCM(H31,$A31,O$18)</f>
        <v>17.535001996887537</v>
      </c>
      <c r="P31" s="9" cm="1">
        <f t="array" ref="P31">TrajectoryDropInCM(I31,$A31,P$18)</f>
        <v>49.920046074480467</v>
      </c>
      <c r="Q31" s="45" cm="1">
        <f t="array" ref="Q31">TrajectoryErrorCM($E$19,1,$A31)</f>
        <v>10.131385933844509</v>
      </c>
    </row>
    <row r="32" spans="1:17" x14ac:dyDescent="0.25">
      <c r="A32" s="1">
        <v>350</v>
      </c>
      <c r="B32" s="1">
        <v>2967.2</v>
      </c>
      <c r="C32" s="6">
        <v>-0.25</v>
      </c>
      <c r="D32" s="6">
        <v>-0.375</v>
      </c>
      <c r="E32" s="6">
        <v>-0.33300000000000002</v>
      </c>
      <c r="F32" s="6">
        <v>-0.25</v>
      </c>
      <c r="G32" s="6">
        <v>-0.125</v>
      </c>
      <c r="H32" s="6">
        <v>8.3000000000000004E-2</v>
      </c>
      <c r="I32" s="14">
        <v>0.3125</v>
      </c>
      <c r="J32" s="9" cm="1">
        <f t="array" ref="J32">TrajectoryDropInCM(C32,$A32,J$18)</f>
        <v>-44.187523476925776</v>
      </c>
      <c r="K32" s="9" cm="1">
        <f t="array" ref="K32">TrajectoryDropInCM(D32,$A32,K$18)</f>
        <v>-52.500039375035435</v>
      </c>
      <c r="L32" s="9" cm="1">
        <f t="array" ref="L32">TrajectoryDropInCM(E32,$A32,L$18)</f>
        <v>-46.620027571460533</v>
      </c>
      <c r="M32" s="9" cm="1">
        <f t="array" ref="M32">TrajectoryDropInCM(F32,$A32,M$18)</f>
        <v>-35.000011666671341</v>
      </c>
      <c r="N32" s="9" cm="1">
        <f t="array" ref="N32">TrajectoryDropInCM(G32,$A32,N$18)</f>
        <v>-17.500001458333479</v>
      </c>
      <c r="O32" s="9" cm="1">
        <f t="array" ref="O32">TrajectoryDropInCM(H32,$A32,O$18)</f>
        <v>10.167500286012633</v>
      </c>
      <c r="P32" s="9" cm="1">
        <f t="array" ref="P32">TrajectoryDropInCM(I32,$A32,P$18)</f>
        <v>43.750022786472577</v>
      </c>
      <c r="Q32" s="45" cm="1">
        <f t="array" ref="Q32">TrajectoryErrorCM($E$19,1,$A32)</f>
        <v>11.819950256151927</v>
      </c>
    </row>
    <row r="33" spans="1:17" x14ac:dyDescent="0.25">
      <c r="A33" s="1">
        <v>400</v>
      </c>
      <c r="B33" s="1">
        <v>2763.2</v>
      </c>
      <c r="C33" s="6">
        <v>-0.375</v>
      </c>
      <c r="D33" s="6">
        <v>-0.5</v>
      </c>
      <c r="E33" s="6">
        <v>-0.41699999999999998</v>
      </c>
      <c r="F33" s="6">
        <v>-0.375</v>
      </c>
      <c r="G33" s="6">
        <v>-0.25</v>
      </c>
      <c r="H33" s="7">
        <v>0</v>
      </c>
      <c r="I33" s="14">
        <v>0.25</v>
      </c>
      <c r="J33" s="9" cm="1">
        <f t="array" ref="J33">TrajectoryDropInCM(C33,$A33,J$18)</f>
        <v>-75.750090553928729</v>
      </c>
      <c r="K33" s="9" cm="1">
        <f t="array" ref="K33">TrajectoryDropInCM(D33,$A33,K$18)</f>
        <v>-80.000106666837326</v>
      </c>
      <c r="L33" s="9" cm="1">
        <f t="array" ref="L33">TrajectoryDropInCM(E33,$A33,L$18)</f>
        <v>-66.720061876730625</v>
      </c>
      <c r="M33" s="9" cm="1">
        <f t="array" ref="M33">TrajectoryDropInCM(F33,$A33,M$18)</f>
        <v>-60.000045000040501</v>
      </c>
      <c r="N33" s="9" cm="1">
        <f t="array" ref="N33">TrajectoryDropInCM(G33,$A33,N$18)</f>
        <v>-40.000013333338671</v>
      </c>
      <c r="O33" s="9" cm="1">
        <f t="array" ref="O33">TrajectoryDropInCM(H33,$A33,O$18)</f>
        <v>0</v>
      </c>
      <c r="P33" s="9" cm="1">
        <f t="array" ref="P33">TrajectoryDropInCM(I33,$A33,P$18)</f>
        <v>40.000013333338671</v>
      </c>
      <c r="Q33" s="45" cm="1">
        <f t="array" ref="Q33">TrajectoryErrorCM($E$19,1,$A33)</f>
        <v>13.508514578459344</v>
      </c>
    </row>
    <row r="34" spans="1:17" x14ac:dyDescent="0.25">
      <c r="A34" s="1">
        <v>450</v>
      </c>
      <c r="B34" s="1">
        <v>2576.8000000000002</v>
      </c>
      <c r="C34" s="6">
        <v>-0.5</v>
      </c>
      <c r="D34" s="6">
        <v>-0.55000000000000004</v>
      </c>
      <c r="E34" s="6">
        <v>-0.5</v>
      </c>
      <c r="F34" s="6">
        <v>-0.5</v>
      </c>
      <c r="G34" s="6">
        <v>-0.3125</v>
      </c>
      <c r="H34" s="6">
        <v>-0.125</v>
      </c>
      <c r="I34" s="14">
        <v>0.125</v>
      </c>
      <c r="J34" s="9" cm="1">
        <f t="array" ref="J34">TrajectoryDropInCM(C34,$A34,J$18)</f>
        <v>-113.62524147741269</v>
      </c>
      <c r="K34" s="9" cm="1">
        <f t="array" ref="K34">TrajectoryDropInCM(D34,$A34,K$18)</f>
        <v>-99.000159720309227</v>
      </c>
      <c r="L34" s="9" cm="1">
        <f t="array" ref="L34">TrajectoryDropInCM(E34,$A34,L$18)</f>
        <v>-90.000120000191998</v>
      </c>
      <c r="M34" s="9" cm="1">
        <f t="array" ref="M34">TrajectoryDropInCM(F34,$A34,M$18)</f>
        <v>-90.000120000191998</v>
      </c>
      <c r="N34" s="9" cm="1">
        <f t="array" ref="N34">TrajectoryDropInCM(G34,$A34,N$18)</f>
        <v>-56.25002929689331</v>
      </c>
      <c r="O34" s="9" cm="1">
        <f t="array" ref="O34">TrajectoryDropInCM(H34,$A34,O$18)</f>
        <v>-19.687501256103612</v>
      </c>
      <c r="P34" s="9" cm="1">
        <f t="array" ref="P34">TrajectoryDropInCM(I34,$A34,P$18)</f>
        <v>22.500001875000187</v>
      </c>
      <c r="Q34" s="45" cm="1">
        <f t="array" ref="Q34">TrajectoryErrorCM($E$19,1,$A34)</f>
        <v>15.197078900766764</v>
      </c>
    </row>
    <row r="35" spans="1:17" x14ac:dyDescent="0.25">
      <c r="A35" s="1">
        <v>500</v>
      </c>
      <c r="B35" s="1">
        <v>2395.9</v>
      </c>
      <c r="C35" s="6">
        <v>-0.625</v>
      </c>
      <c r="D35" s="6">
        <v>-0.61599999999999999</v>
      </c>
      <c r="E35" s="6">
        <v>-0.625</v>
      </c>
      <c r="F35" s="6">
        <v>-0.625</v>
      </c>
      <c r="G35" s="6">
        <v>-0.375</v>
      </c>
      <c r="H35" s="6">
        <v>-0.25</v>
      </c>
      <c r="I35" s="15">
        <v>0</v>
      </c>
      <c r="J35" s="9" cm="1">
        <f t="array" ref="J35">TrajectoryDropInCM(C35,$A35,J$18)</f>
        <v>-157.81302404027585</v>
      </c>
      <c r="K35" s="9" cm="1">
        <f t="array" ref="K35">TrajectoryDropInCM(D35,$A35,K$18)</f>
        <v>-123.20024932849456</v>
      </c>
      <c r="L35" s="9" cm="1">
        <f t="array" ref="L35">TrajectoryDropInCM(E35,$A35,L$18)</f>
        <v>-125.0002604173177</v>
      </c>
      <c r="M35" s="9" cm="1">
        <f t="array" ref="M35">TrajectoryDropInCM(F35,$A35,M$18)</f>
        <v>-125.0002604173177</v>
      </c>
      <c r="N35" s="9" cm="1">
        <f t="array" ref="N35">TrajectoryDropInCM(G35,$A35,N$18)</f>
        <v>-75.000056250050633</v>
      </c>
      <c r="O35" s="9" cm="1">
        <f t="array" ref="O35">TrajectoryDropInCM(H35,$A35,O$18)</f>
        <v>-43.750011165368008</v>
      </c>
      <c r="P35" s="9" cm="1">
        <f t="array" ref="P35">TrajectoryDropInCM(I35,$A35,P$18)</f>
        <v>0</v>
      </c>
      <c r="Q35" s="45" cm="1">
        <f t="array" ref="Q35">TrajectoryErrorCM($E$19,1,$A35)</f>
        <v>16.885643223074183</v>
      </c>
    </row>
    <row r="70" spans="1:23" x14ac:dyDescent="0.25">
      <c r="T70" s="1"/>
      <c r="U70" s="1"/>
      <c r="V70" s="1"/>
      <c r="W70" s="1"/>
    </row>
    <row r="71" spans="1:23" x14ac:dyDescent="0.25">
      <c r="T71" s="1"/>
      <c r="U71" s="1"/>
      <c r="V71" s="1"/>
      <c r="W71" s="1"/>
    </row>
    <row r="72" spans="1:23" x14ac:dyDescent="0.25">
      <c r="T72" s="1"/>
      <c r="U72" s="1"/>
      <c r="V72" s="1"/>
      <c r="W72" s="1"/>
    </row>
    <row r="73" spans="1:23" x14ac:dyDescent="0.25">
      <c r="T73" s="1"/>
      <c r="U73" s="1"/>
      <c r="V73" s="1"/>
      <c r="W73" s="1"/>
    </row>
    <row r="74" spans="1:23" x14ac:dyDescent="0.25">
      <c r="T74" s="1"/>
      <c r="U74" s="1"/>
      <c r="V74" s="1"/>
      <c r="W74" s="1"/>
    </row>
    <row r="75" spans="1:23" x14ac:dyDescent="0.25">
      <c r="T75" s="1"/>
      <c r="U75" s="1"/>
      <c r="V75" s="1"/>
      <c r="W75" s="1"/>
    </row>
    <row r="76" spans="1:23" x14ac:dyDescent="0.25">
      <c r="T76" s="1"/>
      <c r="U76" s="1"/>
      <c r="V76" s="1"/>
      <c r="W76" s="1"/>
    </row>
    <row r="77" spans="1:23" x14ac:dyDescent="0.25">
      <c r="A77" t="s">
        <v>23</v>
      </c>
      <c r="B77" t="s">
        <v>60</v>
      </c>
      <c r="T77" s="1"/>
      <c r="U77" s="1"/>
      <c r="V77" s="1"/>
      <c r="W77" s="1"/>
    </row>
    <row r="78" spans="1:23" x14ac:dyDescent="0.25">
      <c r="A78" t="s">
        <v>63</v>
      </c>
      <c r="K78" t="s">
        <v>64</v>
      </c>
      <c r="T78" s="1"/>
      <c r="U78" s="1"/>
      <c r="V78" s="1"/>
      <c r="W78" s="1"/>
    </row>
    <row r="79" spans="1:23" x14ac:dyDescent="0.25">
      <c r="A79" t="s">
        <v>11</v>
      </c>
      <c r="B79" t="s">
        <v>12</v>
      </c>
      <c r="C79" t="s">
        <v>13</v>
      </c>
      <c r="D79" t="s">
        <v>14</v>
      </c>
      <c r="E79" t="s">
        <v>15</v>
      </c>
      <c r="F79" t="s">
        <v>16</v>
      </c>
      <c r="G79" t="s">
        <v>29</v>
      </c>
      <c r="H79" t="s">
        <v>30</v>
      </c>
      <c r="I79" s="13" t="s">
        <v>31</v>
      </c>
      <c r="J79" s="13"/>
      <c r="K79" s="13" t="s">
        <v>11</v>
      </c>
      <c r="L79" s="13" t="s">
        <v>12</v>
      </c>
      <c r="M79" s="13" t="s">
        <v>13</v>
      </c>
      <c r="N79" s="13" t="s">
        <v>14</v>
      </c>
      <c r="O79" s="13" t="s">
        <v>15</v>
      </c>
      <c r="P79" s="13" t="s">
        <v>16</v>
      </c>
      <c r="Q79" s="13" t="s">
        <v>29</v>
      </c>
      <c r="R79" t="s">
        <v>30</v>
      </c>
      <c r="S79" t="s">
        <v>31</v>
      </c>
      <c r="T79" s="1"/>
      <c r="U79" s="1"/>
      <c r="V79" s="1"/>
      <c r="W79" s="1"/>
    </row>
    <row r="80" spans="1:23" x14ac:dyDescent="0.25">
      <c r="A80" s="1">
        <v>0</v>
      </c>
      <c r="B80" s="1">
        <v>914</v>
      </c>
      <c r="C80" s="1">
        <v>4741</v>
      </c>
      <c r="D80" s="1">
        <v>-3.8</v>
      </c>
      <c r="E80" s="1">
        <v>0</v>
      </c>
      <c r="F80" s="1">
        <v>0</v>
      </c>
      <c r="G80" s="1">
        <v>0</v>
      </c>
      <c r="H80">
        <v>0</v>
      </c>
      <c r="I80">
        <v>0</v>
      </c>
      <c r="K80" s="1">
        <v>0</v>
      </c>
      <c r="L80" s="1">
        <v>914</v>
      </c>
      <c r="M80" s="1">
        <v>4741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/>
      <c r="U80" s="1"/>
      <c r="V80" s="1"/>
      <c r="W80" s="1"/>
    </row>
    <row r="81" spans="1:23" x14ac:dyDescent="0.25">
      <c r="A81" s="1">
        <v>25</v>
      </c>
      <c r="B81" s="1">
        <v>900</v>
      </c>
      <c r="C81" s="1">
        <v>4589</v>
      </c>
      <c r="D81" s="1">
        <v>-1.5</v>
      </c>
      <c r="E81" s="1">
        <v>2.1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900</v>
      </c>
      <c r="M81" s="1">
        <v>4594</v>
      </c>
      <c r="N81" s="1">
        <v>-1.5</v>
      </c>
      <c r="O81" s="1">
        <v>2.1</v>
      </c>
      <c r="P81" s="1">
        <v>0.6</v>
      </c>
      <c r="Q81" s="1">
        <v>0</v>
      </c>
      <c r="R81" s="1">
        <v>0</v>
      </c>
      <c r="S81" s="1">
        <v>0</v>
      </c>
      <c r="T81" s="1"/>
      <c r="U81" s="1"/>
      <c r="V81" s="1"/>
      <c r="W81" s="1"/>
    </row>
    <row r="82" spans="1:23" x14ac:dyDescent="0.25">
      <c r="A82" s="10">
        <v>50</v>
      </c>
      <c r="B82" s="10">
        <v>885</v>
      </c>
      <c r="C82" s="10">
        <v>4442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886</v>
      </c>
      <c r="M82" s="10">
        <v>4450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/>
      <c r="U82" s="1"/>
      <c r="V82" s="1"/>
      <c r="W82" s="1"/>
    </row>
    <row r="83" spans="1:23" x14ac:dyDescent="0.25">
      <c r="A83" s="1">
        <v>75</v>
      </c>
      <c r="B83" s="1">
        <v>871</v>
      </c>
      <c r="C83" s="1">
        <v>4299</v>
      </c>
      <c r="D83" s="1">
        <v>0.7</v>
      </c>
      <c r="E83" s="1">
        <v>-0.3</v>
      </c>
      <c r="F83" s="1">
        <v>-0.1</v>
      </c>
      <c r="G83" s="1">
        <v>0</v>
      </c>
      <c r="H83" s="1">
        <v>0</v>
      </c>
      <c r="I83" s="1">
        <v>0</v>
      </c>
      <c r="J83" s="1"/>
      <c r="K83" s="1">
        <v>75</v>
      </c>
      <c r="L83" s="1">
        <v>872</v>
      </c>
      <c r="M83" s="1">
        <v>4311</v>
      </c>
      <c r="N83" s="1">
        <v>0.7</v>
      </c>
      <c r="O83" s="1">
        <v>-0.3</v>
      </c>
      <c r="P83" s="1">
        <v>-0.1</v>
      </c>
      <c r="Q83" s="1">
        <v>0</v>
      </c>
      <c r="R83" s="1">
        <v>0</v>
      </c>
      <c r="S83" s="1">
        <v>0</v>
      </c>
      <c r="T83" s="1"/>
      <c r="U83" s="1"/>
      <c r="V83" s="1"/>
      <c r="W83" s="1"/>
    </row>
    <row r="84" spans="1:23" x14ac:dyDescent="0.25">
      <c r="A84" s="1">
        <v>100</v>
      </c>
      <c r="B84" s="1">
        <v>856</v>
      </c>
      <c r="C84" s="1">
        <v>4160</v>
      </c>
      <c r="D84" s="1">
        <v>0.6</v>
      </c>
      <c r="E84" s="1">
        <v>-0.2</v>
      </c>
      <c r="F84" s="1">
        <v>-0.1</v>
      </c>
      <c r="G84" s="1">
        <v>0</v>
      </c>
      <c r="H84" s="1">
        <v>0</v>
      </c>
      <c r="I84" s="1">
        <v>0</v>
      </c>
      <c r="J84" s="1"/>
      <c r="K84" s="1">
        <v>100</v>
      </c>
      <c r="L84" s="1">
        <v>858</v>
      </c>
      <c r="M84" s="1">
        <v>4174</v>
      </c>
      <c r="N84" s="1">
        <v>0.7</v>
      </c>
      <c r="O84" s="1">
        <v>-0.2</v>
      </c>
      <c r="P84" s="1">
        <v>-0.1</v>
      </c>
      <c r="Q84" s="1">
        <v>0</v>
      </c>
      <c r="R84" s="1">
        <v>0</v>
      </c>
      <c r="S84" s="1">
        <v>0</v>
      </c>
      <c r="T84" s="1"/>
      <c r="U84" s="1"/>
      <c r="V84" s="1"/>
      <c r="W84" s="1"/>
    </row>
    <row r="85" spans="1:23" x14ac:dyDescent="0.25">
      <c r="A85" s="1">
        <v>125</v>
      </c>
      <c r="B85" s="1">
        <v>842</v>
      </c>
      <c r="C85" s="1">
        <v>4024</v>
      </c>
      <c r="D85" s="1">
        <v>-0.3</v>
      </c>
      <c r="E85" s="1">
        <v>0.1</v>
      </c>
      <c r="F85" s="1">
        <v>0</v>
      </c>
      <c r="G85" s="1">
        <v>0</v>
      </c>
      <c r="H85" s="1">
        <v>0</v>
      </c>
      <c r="I85" s="1">
        <v>0</v>
      </c>
      <c r="J85" s="1"/>
      <c r="K85" s="1">
        <v>125</v>
      </c>
      <c r="L85" s="1">
        <v>844</v>
      </c>
      <c r="M85" s="1">
        <v>4041</v>
      </c>
      <c r="N85" s="1">
        <v>-0.3</v>
      </c>
      <c r="O85" s="1">
        <v>0.1</v>
      </c>
      <c r="P85" s="1">
        <v>0</v>
      </c>
      <c r="Q85" s="1">
        <v>0</v>
      </c>
      <c r="R85" s="1">
        <v>0</v>
      </c>
      <c r="S85" s="1">
        <v>0</v>
      </c>
      <c r="T85" s="1"/>
      <c r="U85" s="1"/>
      <c r="V85" s="1"/>
      <c r="W85" s="1"/>
    </row>
    <row r="86" spans="1:23" x14ac:dyDescent="0.25">
      <c r="A86" s="1">
        <v>150</v>
      </c>
      <c r="B86" s="1">
        <v>828</v>
      </c>
      <c r="C86" s="1">
        <v>3892</v>
      </c>
      <c r="D86" s="1">
        <v>-2.1</v>
      </c>
      <c r="E86" s="1">
        <v>0.5</v>
      </c>
      <c r="F86" s="1">
        <v>0.1</v>
      </c>
      <c r="G86" s="1">
        <v>0</v>
      </c>
      <c r="H86" s="1">
        <v>0</v>
      </c>
      <c r="I86" s="1">
        <v>0</v>
      </c>
      <c r="J86" s="1"/>
      <c r="K86" s="1">
        <v>150</v>
      </c>
      <c r="L86" s="1">
        <v>831</v>
      </c>
      <c r="M86" s="1">
        <v>3911</v>
      </c>
      <c r="N86" s="1">
        <v>-2.1</v>
      </c>
      <c r="O86" s="1">
        <v>0.5</v>
      </c>
      <c r="P86" s="1">
        <v>0.1</v>
      </c>
      <c r="Q86" s="1">
        <v>0</v>
      </c>
      <c r="R86" s="1">
        <v>0</v>
      </c>
      <c r="S86" s="1">
        <v>0</v>
      </c>
      <c r="T86" s="1"/>
      <c r="U86" s="1"/>
      <c r="V86" s="1"/>
      <c r="W86" s="1"/>
    </row>
    <row r="87" spans="1:23" x14ac:dyDescent="0.25">
      <c r="A87" s="1">
        <v>175</v>
      </c>
      <c r="B87" s="1">
        <v>815</v>
      </c>
      <c r="C87" s="1">
        <v>3764</v>
      </c>
      <c r="D87" s="1">
        <v>-4.8</v>
      </c>
      <c r="E87" s="1">
        <v>0.9</v>
      </c>
      <c r="F87" s="1">
        <v>0.3</v>
      </c>
      <c r="G87" s="1">
        <v>0</v>
      </c>
      <c r="H87" s="1">
        <v>0</v>
      </c>
      <c r="I87" s="1">
        <v>0</v>
      </c>
      <c r="J87" s="1"/>
      <c r="K87" s="1">
        <v>175</v>
      </c>
      <c r="L87" s="1">
        <v>817</v>
      </c>
      <c r="M87" s="1">
        <v>3785</v>
      </c>
      <c r="N87" s="1">
        <v>-4.7</v>
      </c>
      <c r="O87" s="1">
        <v>0.9</v>
      </c>
      <c r="P87" s="1">
        <v>0.3</v>
      </c>
      <c r="Q87" s="1">
        <v>0</v>
      </c>
      <c r="R87" s="1">
        <v>0</v>
      </c>
      <c r="S87" s="1">
        <v>0</v>
      </c>
      <c r="T87" s="1"/>
      <c r="U87" s="1"/>
      <c r="V87" s="1"/>
      <c r="W87" s="1"/>
    </row>
    <row r="88" spans="1:23" x14ac:dyDescent="0.25">
      <c r="A88" s="1">
        <v>200</v>
      </c>
      <c r="B88" s="1">
        <v>801</v>
      </c>
      <c r="C88" s="1">
        <v>3639</v>
      </c>
      <c r="D88" s="1">
        <v>-8.5</v>
      </c>
      <c r="E88" s="1">
        <v>1.5</v>
      </c>
      <c r="F88" s="1">
        <v>0.4</v>
      </c>
      <c r="G88" s="1">
        <v>0</v>
      </c>
      <c r="H88" s="1">
        <v>0</v>
      </c>
      <c r="I88" s="1">
        <v>0</v>
      </c>
      <c r="J88" s="1"/>
      <c r="K88" s="1">
        <v>200</v>
      </c>
      <c r="L88" s="1">
        <v>804</v>
      </c>
      <c r="M88" s="1">
        <v>3661</v>
      </c>
      <c r="N88" s="1">
        <v>-8.5</v>
      </c>
      <c r="O88" s="1">
        <v>1.5</v>
      </c>
      <c r="P88" s="1">
        <v>0.4</v>
      </c>
      <c r="Q88" s="1">
        <v>0</v>
      </c>
      <c r="R88" s="1">
        <v>0</v>
      </c>
      <c r="S88" s="1">
        <v>0</v>
      </c>
      <c r="T88" s="1"/>
      <c r="U88" s="1"/>
      <c r="V88" s="1"/>
      <c r="W88" s="1"/>
    </row>
    <row r="89" spans="1:23" x14ac:dyDescent="0.25">
      <c r="A89" s="1">
        <v>225</v>
      </c>
      <c r="B89" s="1">
        <v>788</v>
      </c>
      <c r="C89" s="1">
        <v>3517</v>
      </c>
      <c r="D89" s="1">
        <v>-13.1</v>
      </c>
      <c r="E89" s="1">
        <v>2</v>
      </c>
      <c r="F89" s="1">
        <v>0.6</v>
      </c>
      <c r="G89" s="1">
        <v>0</v>
      </c>
      <c r="H89" s="1">
        <v>0</v>
      </c>
      <c r="I89" s="1">
        <v>0</v>
      </c>
      <c r="J89" s="1"/>
      <c r="K89" s="1">
        <v>225</v>
      </c>
      <c r="L89" s="1">
        <v>790</v>
      </c>
      <c r="M89" s="1">
        <v>3541</v>
      </c>
      <c r="N89" s="1">
        <v>-13</v>
      </c>
      <c r="O89" s="1">
        <v>2</v>
      </c>
      <c r="P89" s="1">
        <v>0.6</v>
      </c>
      <c r="Q89" s="1">
        <v>0</v>
      </c>
      <c r="R89" s="1">
        <v>0</v>
      </c>
      <c r="S89" s="1">
        <v>0</v>
      </c>
      <c r="T89" s="1"/>
      <c r="U89" s="1"/>
      <c r="V89" s="1"/>
      <c r="W89" s="1"/>
    </row>
    <row r="90" spans="1:23" x14ac:dyDescent="0.25">
      <c r="A90" s="1">
        <v>250</v>
      </c>
      <c r="B90" s="1">
        <v>774</v>
      </c>
      <c r="C90" s="1">
        <v>3398</v>
      </c>
      <c r="D90" s="1">
        <v>-18.7</v>
      </c>
      <c r="E90" s="1">
        <v>2.6</v>
      </c>
      <c r="F90" s="1">
        <v>0.7</v>
      </c>
      <c r="G90" s="1">
        <v>0</v>
      </c>
      <c r="H90" s="1">
        <v>0</v>
      </c>
      <c r="I90" s="1">
        <v>0</v>
      </c>
      <c r="J90" s="1"/>
      <c r="K90" s="1">
        <v>250</v>
      </c>
      <c r="L90" s="1">
        <v>777</v>
      </c>
      <c r="M90" s="1">
        <v>3424</v>
      </c>
      <c r="N90" s="1">
        <v>-18.600000000000001</v>
      </c>
      <c r="O90" s="1">
        <v>2.6</v>
      </c>
      <c r="P90" s="1">
        <v>0.7</v>
      </c>
      <c r="Q90" s="1">
        <v>0</v>
      </c>
      <c r="R90" s="1">
        <v>0</v>
      </c>
      <c r="S90" s="1">
        <v>0</v>
      </c>
      <c r="T90" s="1"/>
      <c r="U90" s="1"/>
      <c r="V90" s="1"/>
      <c r="W90" s="1"/>
    </row>
    <row r="91" spans="1:23" x14ac:dyDescent="0.25">
      <c r="A91" s="1">
        <v>275</v>
      </c>
      <c r="B91" s="1">
        <v>761</v>
      </c>
      <c r="C91" s="1">
        <v>3283</v>
      </c>
      <c r="D91" s="1">
        <v>-25.6</v>
      </c>
      <c r="E91" s="1">
        <v>3.2</v>
      </c>
      <c r="F91" s="1">
        <v>0.9</v>
      </c>
      <c r="G91" s="1">
        <v>0</v>
      </c>
      <c r="H91" s="1">
        <v>0</v>
      </c>
      <c r="I91" s="1">
        <v>0</v>
      </c>
      <c r="J91" s="1"/>
      <c r="K91" s="1">
        <v>275</v>
      </c>
      <c r="L91" s="1">
        <v>764</v>
      </c>
      <c r="M91" s="1">
        <v>3309</v>
      </c>
      <c r="N91" s="1">
        <v>-25.4</v>
      </c>
      <c r="O91" s="1">
        <v>3.2</v>
      </c>
      <c r="P91" s="1">
        <v>0.9</v>
      </c>
      <c r="Q91" s="1">
        <v>0</v>
      </c>
      <c r="R91" s="1">
        <v>0</v>
      </c>
      <c r="S91" s="1">
        <v>0</v>
      </c>
    </row>
    <row r="92" spans="1:23" x14ac:dyDescent="0.25">
      <c r="A92" s="1">
        <v>300</v>
      </c>
      <c r="B92" s="1">
        <v>748</v>
      </c>
      <c r="C92" s="1">
        <v>3171</v>
      </c>
      <c r="D92" s="1">
        <v>-33.299999999999997</v>
      </c>
      <c r="E92" s="1">
        <v>3.8</v>
      </c>
      <c r="F92" s="1">
        <v>1.1000000000000001</v>
      </c>
      <c r="G92" s="1">
        <v>0</v>
      </c>
      <c r="H92" s="1">
        <v>0</v>
      </c>
      <c r="I92" s="1">
        <v>0</v>
      </c>
      <c r="J92" s="1"/>
      <c r="K92" s="1">
        <v>300</v>
      </c>
      <c r="L92" s="1">
        <v>751</v>
      </c>
      <c r="M92" s="1">
        <v>3198</v>
      </c>
      <c r="N92" s="1">
        <v>-33.1</v>
      </c>
      <c r="O92" s="1">
        <v>3.8</v>
      </c>
      <c r="P92" s="1">
        <v>1.1000000000000001</v>
      </c>
      <c r="Q92" s="1">
        <v>0</v>
      </c>
      <c r="R92" s="1">
        <v>0</v>
      </c>
      <c r="S92" s="1">
        <v>0</v>
      </c>
    </row>
    <row r="93" spans="1:23" x14ac:dyDescent="0.25">
      <c r="A93" s="1">
        <v>325</v>
      </c>
      <c r="B93" s="1">
        <v>735</v>
      </c>
      <c r="C93" s="1">
        <v>3062</v>
      </c>
      <c r="D93" s="1">
        <v>-42.2</v>
      </c>
      <c r="E93" s="1">
        <v>4.5</v>
      </c>
      <c r="F93" s="1">
        <v>1.3</v>
      </c>
      <c r="G93" s="1">
        <v>0</v>
      </c>
      <c r="H93" s="1">
        <v>0</v>
      </c>
      <c r="I93" s="1">
        <v>0</v>
      </c>
      <c r="J93" s="1"/>
      <c r="K93" s="1">
        <v>325</v>
      </c>
      <c r="L93" s="1">
        <v>738</v>
      </c>
      <c r="M93" s="1">
        <v>3090</v>
      </c>
      <c r="N93" s="1">
        <v>-41.9</v>
      </c>
      <c r="O93" s="1">
        <v>4.4000000000000004</v>
      </c>
      <c r="P93" s="1">
        <v>1.3</v>
      </c>
      <c r="Q93" s="1">
        <v>0</v>
      </c>
      <c r="R93" s="1">
        <v>0</v>
      </c>
      <c r="S93" s="1">
        <v>0</v>
      </c>
    </row>
    <row r="94" spans="1:23" x14ac:dyDescent="0.25">
      <c r="A94" s="1">
        <v>350</v>
      </c>
      <c r="B94" s="1">
        <v>722</v>
      </c>
      <c r="C94" s="1">
        <v>2955</v>
      </c>
      <c r="D94" s="1">
        <v>-52.6</v>
      </c>
      <c r="E94" s="1">
        <v>5.2</v>
      </c>
      <c r="F94" s="1">
        <v>1.5</v>
      </c>
      <c r="G94" s="1">
        <v>0</v>
      </c>
      <c r="H94" s="1">
        <v>0</v>
      </c>
      <c r="I94" s="1">
        <v>0</v>
      </c>
      <c r="J94" s="1"/>
      <c r="K94" s="1">
        <v>350</v>
      </c>
      <c r="L94" s="1">
        <v>725</v>
      </c>
      <c r="M94" s="1">
        <v>2984</v>
      </c>
      <c r="N94" s="1">
        <v>-52.2</v>
      </c>
      <c r="O94" s="1">
        <v>5.0999999999999996</v>
      </c>
      <c r="P94" s="1">
        <v>1.5</v>
      </c>
      <c r="Q94" s="1">
        <v>0</v>
      </c>
      <c r="R94" s="1">
        <v>0</v>
      </c>
      <c r="S94" s="1">
        <v>0</v>
      </c>
      <c r="T94" s="1"/>
      <c r="U94" s="1"/>
      <c r="V94" s="1"/>
      <c r="W94" s="1"/>
    </row>
    <row r="95" spans="1:23" x14ac:dyDescent="0.25">
      <c r="A95" s="1">
        <v>375</v>
      </c>
      <c r="B95" s="1">
        <v>709</v>
      </c>
      <c r="C95" s="1">
        <v>2852</v>
      </c>
      <c r="D95" s="1">
        <v>-63.8</v>
      </c>
      <c r="E95" s="1">
        <v>5.8</v>
      </c>
      <c r="F95" s="1">
        <v>1.7</v>
      </c>
      <c r="G95" s="1">
        <v>0</v>
      </c>
      <c r="H95" s="1">
        <v>0</v>
      </c>
      <c r="I95" s="1">
        <v>0</v>
      </c>
      <c r="J95" s="1"/>
      <c r="K95" s="1">
        <v>375</v>
      </c>
      <c r="L95" s="1">
        <v>713</v>
      </c>
      <c r="M95" s="1">
        <v>2881</v>
      </c>
      <c r="N95" s="1">
        <v>-63.3</v>
      </c>
      <c r="O95" s="1">
        <v>5.8</v>
      </c>
      <c r="P95" s="1">
        <v>1.7</v>
      </c>
      <c r="Q95" s="1">
        <v>0</v>
      </c>
      <c r="R95" s="1">
        <v>0</v>
      </c>
      <c r="S95" s="1">
        <v>0</v>
      </c>
      <c r="T95" s="1"/>
      <c r="U95" s="1"/>
      <c r="V95" s="1"/>
      <c r="W95" s="1"/>
    </row>
    <row r="96" spans="1:23" x14ac:dyDescent="0.25">
      <c r="A96" s="1">
        <v>400</v>
      </c>
      <c r="B96" s="1">
        <v>697</v>
      </c>
      <c r="C96" s="1">
        <v>2751</v>
      </c>
      <c r="D96" s="1">
        <v>-76.3</v>
      </c>
      <c r="E96" s="1">
        <v>6.6</v>
      </c>
      <c r="F96" s="1">
        <v>1.9</v>
      </c>
      <c r="G96" s="1">
        <v>0</v>
      </c>
      <c r="H96" s="1">
        <v>0</v>
      </c>
      <c r="I96" s="1">
        <v>0</v>
      </c>
      <c r="J96" s="1"/>
      <c r="K96" s="1">
        <v>400</v>
      </c>
      <c r="L96" s="1">
        <v>700</v>
      </c>
      <c r="M96" s="1">
        <v>2781</v>
      </c>
      <c r="N96" s="1">
        <v>-75.7</v>
      </c>
      <c r="O96" s="1">
        <v>6.5</v>
      </c>
      <c r="P96" s="1">
        <v>1.9</v>
      </c>
      <c r="Q96" s="1">
        <v>0</v>
      </c>
      <c r="R96" s="1">
        <v>0</v>
      </c>
      <c r="S96" s="1">
        <v>0</v>
      </c>
      <c r="T96" s="1"/>
      <c r="U96" s="1"/>
      <c r="V96" s="1"/>
      <c r="W96" s="1"/>
    </row>
    <row r="97" spans="1:23" x14ac:dyDescent="0.25">
      <c r="A97" s="1">
        <v>425</v>
      </c>
      <c r="B97" s="1">
        <v>684</v>
      </c>
      <c r="C97" s="1">
        <v>2653</v>
      </c>
      <c r="D97" s="1">
        <v>-90.6</v>
      </c>
      <c r="E97" s="1">
        <v>7.3</v>
      </c>
      <c r="F97" s="1">
        <v>2.1</v>
      </c>
      <c r="G97" s="1">
        <v>0</v>
      </c>
      <c r="H97" s="1">
        <v>0</v>
      </c>
      <c r="I97" s="1">
        <v>0</v>
      </c>
      <c r="J97" s="1"/>
      <c r="K97" s="1">
        <v>425</v>
      </c>
      <c r="L97" s="1">
        <v>688</v>
      </c>
      <c r="M97" s="1">
        <v>2683</v>
      </c>
      <c r="N97" s="1">
        <v>-89.9</v>
      </c>
      <c r="O97" s="1">
        <v>7.3</v>
      </c>
      <c r="P97" s="1">
        <v>2.1</v>
      </c>
      <c r="Q97" s="1">
        <v>0</v>
      </c>
      <c r="R97" s="1">
        <v>0</v>
      </c>
      <c r="S97" s="1">
        <v>0</v>
      </c>
      <c r="T97" s="1"/>
      <c r="U97" s="1"/>
      <c r="V97" s="1"/>
      <c r="W97" s="1"/>
    </row>
    <row r="98" spans="1:23" x14ac:dyDescent="0.25">
      <c r="A98" s="1">
        <v>450</v>
      </c>
      <c r="B98" s="1">
        <v>672</v>
      </c>
      <c r="C98" s="1">
        <v>2558</v>
      </c>
      <c r="D98" s="1">
        <v>-105.8</v>
      </c>
      <c r="E98" s="1">
        <v>8.1</v>
      </c>
      <c r="F98" s="1">
        <v>2.4</v>
      </c>
      <c r="G98" s="1">
        <v>0</v>
      </c>
      <c r="H98" s="1">
        <v>0</v>
      </c>
      <c r="I98" s="1">
        <v>0</v>
      </c>
      <c r="J98" s="1"/>
      <c r="K98" s="1">
        <v>450</v>
      </c>
      <c r="L98" s="1">
        <v>676</v>
      </c>
      <c r="M98" s="1">
        <v>2589</v>
      </c>
      <c r="N98" s="1">
        <v>-105</v>
      </c>
      <c r="O98" s="1">
        <v>8</v>
      </c>
      <c r="P98" s="1">
        <v>2.2999999999999998</v>
      </c>
      <c r="Q98" s="1">
        <v>0</v>
      </c>
      <c r="R98" s="1">
        <v>0</v>
      </c>
      <c r="S98" s="1">
        <v>0</v>
      </c>
      <c r="T98" s="1"/>
      <c r="U98" s="1"/>
      <c r="V98" s="1"/>
      <c r="W98" s="1"/>
    </row>
    <row r="99" spans="1:23" x14ac:dyDescent="0.25">
      <c r="A99" s="1">
        <v>475</v>
      </c>
      <c r="B99" s="1">
        <v>659</v>
      </c>
      <c r="C99" s="1">
        <v>2466</v>
      </c>
      <c r="D99" s="1">
        <v>-122.4</v>
      </c>
      <c r="E99" s="1">
        <v>8.9</v>
      </c>
      <c r="F99" s="1">
        <v>2.6</v>
      </c>
      <c r="G99" s="1">
        <v>0</v>
      </c>
      <c r="H99" s="1">
        <v>0</v>
      </c>
      <c r="I99" s="1">
        <v>0</v>
      </c>
      <c r="J99" s="1"/>
      <c r="K99" s="1">
        <v>475</v>
      </c>
      <c r="L99" s="1">
        <v>663</v>
      </c>
      <c r="M99" s="1">
        <v>2496</v>
      </c>
      <c r="N99" s="1">
        <v>-121.5</v>
      </c>
      <c r="O99" s="1">
        <v>8.8000000000000007</v>
      </c>
      <c r="P99" s="1">
        <v>2.6</v>
      </c>
      <c r="Q99" s="1">
        <v>0</v>
      </c>
      <c r="R99" s="1">
        <v>0</v>
      </c>
      <c r="S99" s="1">
        <v>0</v>
      </c>
      <c r="T99" s="1"/>
      <c r="U99" s="1"/>
      <c r="V99" s="1"/>
      <c r="W99" s="1"/>
    </row>
    <row r="100" spans="1:23" x14ac:dyDescent="0.25">
      <c r="A100" s="1">
        <v>500</v>
      </c>
      <c r="B100" s="1">
        <v>648</v>
      </c>
      <c r="C100" s="1">
        <v>2379</v>
      </c>
      <c r="D100" s="1">
        <v>-140.5</v>
      </c>
      <c r="E100" s="1">
        <v>9.6999999999999993</v>
      </c>
      <c r="F100" s="1">
        <v>2.8</v>
      </c>
      <c r="G100" s="1">
        <v>0</v>
      </c>
      <c r="H100" s="1">
        <v>0</v>
      </c>
      <c r="I100" s="1">
        <v>0</v>
      </c>
      <c r="J100" s="1"/>
      <c r="K100" s="1">
        <v>500</v>
      </c>
      <c r="L100" s="1">
        <v>652</v>
      </c>
      <c r="M100" s="1">
        <v>2410</v>
      </c>
      <c r="N100" s="1">
        <v>-139.4</v>
      </c>
      <c r="O100" s="1">
        <v>9.6</v>
      </c>
      <c r="P100" s="1">
        <v>2.8</v>
      </c>
      <c r="Q100" s="1">
        <v>0</v>
      </c>
      <c r="R100" s="1">
        <v>0</v>
      </c>
      <c r="S100" s="1">
        <v>0</v>
      </c>
      <c r="T100" s="1"/>
      <c r="U100" s="1"/>
      <c r="V100" s="1"/>
      <c r="W100" s="1"/>
    </row>
    <row r="101" spans="1:23" x14ac:dyDescent="0.25">
      <c r="T101" s="1"/>
      <c r="U101" s="1"/>
      <c r="V101" s="1"/>
      <c r="W101" s="1"/>
    </row>
    <row r="102" spans="1:23" x14ac:dyDescent="0.25">
      <c r="A102" t="s">
        <v>71</v>
      </c>
      <c r="K102" t="s">
        <v>65</v>
      </c>
      <c r="T102" s="1"/>
      <c r="U102" s="1"/>
      <c r="V102" s="1"/>
      <c r="W102" s="1"/>
    </row>
    <row r="103" spans="1:23" x14ac:dyDescent="0.25">
      <c r="A103" t="s">
        <v>11</v>
      </c>
      <c r="B103" t="s">
        <v>12</v>
      </c>
      <c r="C103" t="s">
        <v>13</v>
      </c>
      <c r="D103" t="s">
        <v>14</v>
      </c>
      <c r="E103" t="s">
        <v>15</v>
      </c>
      <c r="F103" t="s">
        <v>16</v>
      </c>
      <c r="G103" t="s">
        <v>29</v>
      </c>
      <c r="H103" t="s">
        <v>30</v>
      </c>
      <c r="I103" t="s">
        <v>31</v>
      </c>
      <c r="K103" t="s">
        <v>11</v>
      </c>
      <c r="L103" t="s">
        <v>12</v>
      </c>
      <c r="M103" t="s">
        <v>13</v>
      </c>
      <c r="N103" t="s">
        <v>14</v>
      </c>
      <c r="O103" t="s">
        <v>15</v>
      </c>
      <c r="P103" t="s">
        <v>16</v>
      </c>
      <c r="Q103" t="s">
        <v>29</v>
      </c>
      <c r="R103" t="s">
        <v>30</v>
      </c>
      <c r="S103" t="s">
        <v>31</v>
      </c>
      <c r="T103" s="1"/>
      <c r="U103" s="1"/>
      <c r="V103" s="1"/>
      <c r="W103" s="1"/>
    </row>
    <row r="104" spans="1:23" x14ac:dyDescent="0.25">
      <c r="A104" s="1">
        <v>0</v>
      </c>
      <c r="B104" s="1">
        <v>914</v>
      </c>
      <c r="C104" s="1">
        <v>4741</v>
      </c>
      <c r="D104" s="1">
        <v>-3.8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/>
      <c r="K104" s="1">
        <v>0</v>
      </c>
      <c r="L104" s="1">
        <v>914</v>
      </c>
      <c r="M104" s="1">
        <v>4741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/>
      <c r="U104" s="1"/>
      <c r="V104" s="1"/>
      <c r="W104" s="1"/>
    </row>
    <row r="105" spans="1:23" x14ac:dyDescent="0.25">
      <c r="A105" s="1">
        <v>25</v>
      </c>
      <c r="B105" s="1">
        <v>900</v>
      </c>
      <c r="C105" s="1">
        <v>4589</v>
      </c>
      <c r="D105" s="1">
        <v>-1.7</v>
      </c>
      <c r="E105" s="1">
        <v>2.4</v>
      </c>
      <c r="F105" s="1">
        <v>0.7</v>
      </c>
      <c r="G105" s="1">
        <v>0</v>
      </c>
      <c r="H105" s="1">
        <v>0</v>
      </c>
      <c r="I105" s="1">
        <v>0</v>
      </c>
      <c r="J105" s="1"/>
      <c r="K105" s="1">
        <v>25</v>
      </c>
      <c r="L105" s="1">
        <v>900</v>
      </c>
      <c r="M105" s="1">
        <v>4594</v>
      </c>
      <c r="N105" s="1">
        <v>-1.7</v>
      </c>
      <c r="O105" s="1">
        <v>2.4</v>
      </c>
      <c r="P105" s="1">
        <v>0.7</v>
      </c>
      <c r="Q105" s="1">
        <v>0</v>
      </c>
      <c r="R105" s="1">
        <v>0</v>
      </c>
      <c r="S105" s="1">
        <v>0</v>
      </c>
      <c r="T105" s="1"/>
      <c r="U105" s="1"/>
      <c r="V105" s="1"/>
      <c r="W105" s="1"/>
    </row>
    <row r="106" spans="1:23" x14ac:dyDescent="0.25">
      <c r="A106" s="1">
        <v>50</v>
      </c>
      <c r="B106" s="1">
        <v>885</v>
      </c>
      <c r="C106" s="1">
        <v>4442</v>
      </c>
      <c r="D106" s="1">
        <v>-0.3</v>
      </c>
      <c r="E106" s="1">
        <v>0.2</v>
      </c>
      <c r="F106" s="1">
        <v>0.1</v>
      </c>
      <c r="G106" s="1">
        <v>0</v>
      </c>
      <c r="H106" s="1">
        <v>0</v>
      </c>
      <c r="I106" s="1">
        <v>0</v>
      </c>
      <c r="J106" s="1"/>
      <c r="K106" s="1">
        <v>50</v>
      </c>
      <c r="L106" s="1">
        <v>886</v>
      </c>
      <c r="M106" s="1">
        <v>4450</v>
      </c>
      <c r="N106" s="1">
        <v>-0.3</v>
      </c>
      <c r="O106" s="1">
        <v>0.2</v>
      </c>
      <c r="P106" s="1">
        <v>0.1</v>
      </c>
      <c r="Q106" s="1">
        <v>0</v>
      </c>
      <c r="R106" s="1">
        <v>0</v>
      </c>
      <c r="S106" s="1">
        <v>0</v>
      </c>
      <c r="T106" s="1"/>
      <c r="U106" s="1"/>
      <c r="V106" s="1"/>
      <c r="W106" s="1"/>
    </row>
    <row r="107" spans="1:23" x14ac:dyDescent="0.25">
      <c r="A107" s="1">
        <v>75</v>
      </c>
      <c r="B107" s="1">
        <v>871</v>
      </c>
      <c r="C107" s="1">
        <v>4299</v>
      </c>
      <c r="D107" s="1">
        <v>0.2</v>
      </c>
      <c r="E107" s="1">
        <v>-0.1</v>
      </c>
      <c r="F107" s="1">
        <v>0</v>
      </c>
      <c r="G107" s="1">
        <v>0</v>
      </c>
      <c r="H107" s="1">
        <v>0</v>
      </c>
      <c r="I107" s="1">
        <v>0</v>
      </c>
      <c r="J107" s="1"/>
      <c r="K107" s="1">
        <v>75</v>
      </c>
      <c r="L107" s="1">
        <v>872</v>
      </c>
      <c r="M107" s="1">
        <v>4311</v>
      </c>
      <c r="N107" s="1">
        <v>0.3</v>
      </c>
      <c r="O107" s="1">
        <v>-0.1</v>
      </c>
      <c r="P107" s="1">
        <v>0</v>
      </c>
      <c r="Q107" s="1">
        <v>0</v>
      </c>
      <c r="R107" s="1">
        <v>0</v>
      </c>
      <c r="S107" s="1">
        <v>0</v>
      </c>
      <c r="T107" s="1"/>
      <c r="U107" s="1"/>
      <c r="V107" s="1"/>
      <c r="W107" s="1"/>
    </row>
    <row r="108" spans="1:23" x14ac:dyDescent="0.25">
      <c r="A108" s="10">
        <v>100</v>
      </c>
      <c r="B108" s="10">
        <v>856</v>
      </c>
      <c r="C108" s="10">
        <v>4160</v>
      </c>
      <c r="D108" s="10">
        <v>0</v>
      </c>
      <c r="E108" s="10">
        <v>0</v>
      </c>
      <c r="F108" s="10">
        <v>0</v>
      </c>
      <c r="G108" s="1">
        <v>0</v>
      </c>
      <c r="H108" s="1">
        <v>0</v>
      </c>
      <c r="I108" s="1">
        <v>0</v>
      </c>
      <c r="J108" s="1"/>
      <c r="K108" s="1">
        <v>100</v>
      </c>
      <c r="L108" s="1">
        <v>858</v>
      </c>
      <c r="M108" s="1">
        <v>4174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/>
      <c r="U108" s="1"/>
      <c r="V108" s="1"/>
      <c r="W108" s="1"/>
    </row>
    <row r="109" spans="1:23" x14ac:dyDescent="0.25">
      <c r="A109" s="1">
        <v>125</v>
      </c>
      <c r="B109" s="1">
        <v>842</v>
      </c>
      <c r="C109" s="1">
        <v>4024</v>
      </c>
      <c r="D109" s="1">
        <v>-1.1000000000000001</v>
      </c>
      <c r="E109" s="1">
        <v>0.3</v>
      </c>
      <c r="F109" s="1">
        <v>0.1</v>
      </c>
      <c r="G109" s="1">
        <v>0</v>
      </c>
      <c r="H109" s="1">
        <v>0</v>
      </c>
      <c r="I109" s="1">
        <v>0</v>
      </c>
      <c r="J109" s="1"/>
      <c r="K109" s="1">
        <v>125</v>
      </c>
      <c r="L109" s="1">
        <v>844</v>
      </c>
      <c r="M109" s="1">
        <v>4041</v>
      </c>
      <c r="N109" s="1">
        <v>-1.1000000000000001</v>
      </c>
      <c r="O109" s="1">
        <v>0.3</v>
      </c>
      <c r="P109" s="1">
        <v>0.1</v>
      </c>
      <c r="Q109" s="1">
        <v>0</v>
      </c>
      <c r="R109" s="1">
        <v>0</v>
      </c>
      <c r="S109" s="1">
        <v>0</v>
      </c>
      <c r="T109" s="1"/>
      <c r="U109" s="1"/>
      <c r="V109" s="1"/>
      <c r="W109" s="1"/>
    </row>
    <row r="110" spans="1:23" x14ac:dyDescent="0.25">
      <c r="A110" s="1">
        <v>150</v>
      </c>
      <c r="B110" s="1">
        <v>828</v>
      </c>
      <c r="C110" s="1">
        <v>3892</v>
      </c>
      <c r="D110" s="1">
        <v>-3.1</v>
      </c>
      <c r="E110" s="1">
        <v>0.7</v>
      </c>
      <c r="F110" s="1">
        <v>0.2</v>
      </c>
      <c r="G110" s="1">
        <v>0</v>
      </c>
      <c r="H110" s="1">
        <v>0</v>
      </c>
      <c r="I110" s="1">
        <v>0</v>
      </c>
      <c r="J110" s="1"/>
      <c r="K110" s="1">
        <v>150</v>
      </c>
      <c r="L110" s="1">
        <v>831</v>
      </c>
      <c r="M110" s="1">
        <v>3911</v>
      </c>
      <c r="N110" s="1">
        <v>-3</v>
      </c>
      <c r="O110" s="1">
        <v>0.7</v>
      </c>
      <c r="P110" s="1">
        <v>0.2</v>
      </c>
      <c r="Q110" s="1">
        <v>0</v>
      </c>
      <c r="R110" s="1">
        <v>0</v>
      </c>
      <c r="S110" s="1">
        <v>0</v>
      </c>
      <c r="T110" s="1"/>
      <c r="U110" s="1"/>
      <c r="V110" s="1"/>
      <c r="W110" s="1"/>
    </row>
    <row r="111" spans="1:23" x14ac:dyDescent="0.25">
      <c r="A111" s="1">
        <v>175</v>
      </c>
      <c r="B111" s="1">
        <v>815</v>
      </c>
      <c r="C111" s="1">
        <v>3764</v>
      </c>
      <c r="D111" s="1">
        <v>-5.9</v>
      </c>
      <c r="E111" s="1">
        <v>1.2</v>
      </c>
      <c r="F111" s="1">
        <v>0.3</v>
      </c>
      <c r="G111" s="1">
        <v>0</v>
      </c>
      <c r="H111" s="1">
        <v>0</v>
      </c>
      <c r="I111" s="1">
        <v>0</v>
      </c>
      <c r="J111" s="1"/>
      <c r="K111" s="1">
        <v>175</v>
      </c>
      <c r="L111" s="1">
        <v>817</v>
      </c>
      <c r="M111" s="1">
        <v>3785</v>
      </c>
      <c r="N111" s="1">
        <v>-5.9</v>
      </c>
      <c r="O111" s="1">
        <v>1.2</v>
      </c>
      <c r="P111" s="1">
        <v>0.3</v>
      </c>
      <c r="Q111" s="1">
        <v>0</v>
      </c>
      <c r="R111" s="1">
        <v>0</v>
      </c>
      <c r="S111" s="1">
        <v>0</v>
      </c>
      <c r="T111" s="1"/>
      <c r="U111" s="1"/>
      <c r="V111" s="1"/>
      <c r="W111" s="1"/>
    </row>
    <row r="112" spans="1:23" x14ac:dyDescent="0.25">
      <c r="A112" s="1">
        <v>200</v>
      </c>
      <c r="B112" s="1">
        <v>801</v>
      </c>
      <c r="C112" s="1">
        <v>3639</v>
      </c>
      <c r="D112" s="1">
        <v>-9.8000000000000007</v>
      </c>
      <c r="E112" s="1">
        <v>1.7</v>
      </c>
      <c r="F112" s="1">
        <v>0.5</v>
      </c>
      <c r="G112" s="1">
        <v>0</v>
      </c>
      <c r="H112" s="1">
        <v>0</v>
      </c>
      <c r="I112" s="1">
        <v>0</v>
      </c>
      <c r="J112" s="1"/>
      <c r="K112" s="1">
        <v>200</v>
      </c>
      <c r="L112" s="1">
        <v>804</v>
      </c>
      <c r="M112" s="1">
        <v>3661</v>
      </c>
      <c r="N112" s="1">
        <v>-9.6999999999999993</v>
      </c>
      <c r="O112" s="1">
        <v>1.7</v>
      </c>
      <c r="P112" s="1">
        <v>0.5</v>
      </c>
      <c r="Q112" s="1">
        <v>0</v>
      </c>
      <c r="R112" s="1">
        <v>0</v>
      </c>
      <c r="S112" s="1">
        <v>0</v>
      </c>
      <c r="T112" s="1"/>
      <c r="U112" s="1"/>
      <c r="V112" s="1"/>
      <c r="W112" s="1"/>
    </row>
    <row r="113" spans="1:23" x14ac:dyDescent="0.25">
      <c r="A113" s="1">
        <v>225</v>
      </c>
      <c r="B113" s="1">
        <v>788</v>
      </c>
      <c r="C113" s="1">
        <v>3517</v>
      </c>
      <c r="D113" s="1">
        <v>-14.6</v>
      </c>
      <c r="E113" s="1">
        <v>2.2000000000000002</v>
      </c>
      <c r="F113" s="1">
        <v>0.6</v>
      </c>
      <c r="G113" s="1">
        <v>0</v>
      </c>
      <c r="H113" s="1">
        <v>0</v>
      </c>
      <c r="I113" s="1">
        <v>0</v>
      </c>
      <c r="J113" s="1"/>
      <c r="K113" s="1">
        <v>225</v>
      </c>
      <c r="L113" s="1">
        <v>790</v>
      </c>
      <c r="M113" s="1">
        <v>3541</v>
      </c>
      <c r="N113" s="1">
        <v>-14.5</v>
      </c>
      <c r="O113" s="1">
        <v>2.2000000000000002</v>
      </c>
      <c r="P113" s="1">
        <v>0.6</v>
      </c>
      <c r="Q113" s="1">
        <v>0</v>
      </c>
      <c r="R113" s="1">
        <v>0</v>
      </c>
      <c r="S113" s="1">
        <v>0</v>
      </c>
      <c r="T113" s="1"/>
      <c r="U113" s="1"/>
      <c r="V113" s="1"/>
      <c r="W113" s="1"/>
    </row>
    <row r="114" spans="1:23" x14ac:dyDescent="0.25">
      <c r="A114" s="1">
        <v>250</v>
      </c>
      <c r="B114" s="1">
        <v>774</v>
      </c>
      <c r="C114" s="1">
        <v>3398</v>
      </c>
      <c r="D114" s="1">
        <v>-20.3</v>
      </c>
      <c r="E114" s="1">
        <v>2.8</v>
      </c>
      <c r="F114" s="1">
        <v>0.8</v>
      </c>
      <c r="G114" s="1">
        <v>0</v>
      </c>
      <c r="H114" s="1">
        <v>0</v>
      </c>
      <c r="I114" s="1">
        <v>0</v>
      </c>
      <c r="J114" s="1"/>
      <c r="K114" s="1">
        <v>250</v>
      </c>
      <c r="L114" s="1">
        <v>777</v>
      </c>
      <c r="M114" s="1">
        <v>3424</v>
      </c>
      <c r="N114" s="1">
        <v>-20.2</v>
      </c>
      <c r="O114" s="1">
        <v>2.8</v>
      </c>
      <c r="P114" s="1">
        <v>0.8</v>
      </c>
      <c r="Q114" s="1">
        <v>0</v>
      </c>
      <c r="R114" s="1">
        <v>0</v>
      </c>
      <c r="S114" s="1">
        <v>0</v>
      </c>
      <c r="T114" s="1"/>
      <c r="U114" s="1"/>
      <c r="V114" s="1"/>
      <c r="W114" s="1"/>
    </row>
    <row r="115" spans="1:23" x14ac:dyDescent="0.25">
      <c r="A115" s="1">
        <v>275</v>
      </c>
      <c r="B115" s="1">
        <v>761</v>
      </c>
      <c r="C115" s="1">
        <v>3283</v>
      </c>
      <c r="D115" s="1">
        <v>-27.4</v>
      </c>
      <c r="E115" s="1">
        <v>3.4</v>
      </c>
      <c r="F115" s="1">
        <v>1</v>
      </c>
      <c r="G115" s="1">
        <v>0</v>
      </c>
      <c r="H115" s="1">
        <v>0</v>
      </c>
      <c r="I115" s="1">
        <v>0</v>
      </c>
      <c r="J115" s="1"/>
      <c r="K115" s="1">
        <v>275</v>
      </c>
      <c r="L115" s="1">
        <v>764</v>
      </c>
      <c r="M115" s="1">
        <v>3309</v>
      </c>
      <c r="N115" s="1">
        <v>-27.2</v>
      </c>
      <c r="O115" s="1">
        <v>3.4</v>
      </c>
      <c r="P115" s="1">
        <v>1</v>
      </c>
      <c r="Q115" s="1">
        <v>0</v>
      </c>
      <c r="R115" s="1">
        <v>0</v>
      </c>
      <c r="S115" s="1">
        <v>0</v>
      </c>
    </row>
    <row r="116" spans="1:23" x14ac:dyDescent="0.25">
      <c r="A116" s="1">
        <v>300</v>
      </c>
      <c r="B116" s="1">
        <v>748</v>
      </c>
      <c r="C116" s="1">
        <v>3171</v>
      </c>
      <c r="D116" s="1">
        <v>-35.200000000000003</v>
      </c>
      <c r="E116" s="1">
        <v>4</v>
      </c>
      <c r="F116" s="1">
        <v>1.2</v>
      </c>
      <c r="G116" s="1">
        <v>0</v>
      </c>
      <c r="H116" s="1">
        <v>0</v>
      </c>
      <c r="I116" s="1">
        <v>0</v>
      </c>
      <c r="J116" s="1"/>
      <c r="K116" s="1">
        <v>300</v>
      </c>
      <c r="L116" s="1">
        <v>751</v>
      </c>
      <c r="M116" s="1">
        <v>3198</v>
      </c>
      <c r="N116" s="1">
        <v>-35</v>
      </c>
      <c r="O116" s="1">
        <v>4</v>
      </c>
      <c r="P116" s="1">
        <v>1.2</v>
      </c>
      <c r="Q116" s="1">
        <v>0</v>
      </c>
      <c r="R116" s="1">
        <v>0</v>
      </c>
      <c r="S116" s="1">
        <v>0</v>
      </c>
    </row>
    <row r="117" spans="1:23" x14ac:dyDescent="0.25">
      <c r="A117" s="1">
        <v>325</v>
      </c>
      <c r="B117" s="1">
        <v>735</v>
      </c>
      <c r="C117" s="1">
        <v>3062</v>
      </c>
      <c r="D117" s="1">
        <v>-44.2</v>
      </c>
      <c r="E117" s="1">
        <v>4.7</v>
      </c>
      <c r="F117" s="1">
        <v>1.4</v>
      </c>
      <c r="G117" s="1">
        <v>0</v>
      </c>
      <c r="H117" s="1">
        <v>0</v>
      </c>
      <c r="I117" s="1">
        <v>0</v>
      </c>
      <c r="J117" s="1"/>
      <c r="K117" s="1">
        <v>325</v>
      </c>
      <c r="L117" s="1">
        <v>738</v>
      </c>
      <c r="M117" s="1">
        <v>3090</v>
      </c>
      <c r="N117" s="1">
        <v>-43.9</v>
      </c>
      <c r="O117" s="1">
        <v>4.7</v>
      </c>
      <c r="P117" s="1">
        <v>1.4</v>
      </c>
      <c r="Q117" s="1">
        <v>0</v>
      </c>
      <c r="R117" s="1">
        <v>0</v>
      </c>
      <c r="S117" s="1">
        <v>0</v>
      </c>
    </row>
    <row r="118" spans="1:23" x14ac:dyDescent="0.25">
      <c r="A118" s="1">
        <v>350</v>
      </c>
      <c r="B118" s="1">
        <v>722</v>
      </c>
      <c r="C118" s="1">
        <v>2955</v>
      </c>
      <c r="D118" s="1">
        <v>-54.8</v>
      </c>
      <c r="E118" s="1">
        <v>5.4</v>
      </c>
      <c r="F118" s="1">
        <v>1.6</v>
      </c>
      <c r="G118" s="1">
        <v>0</v>
      </c>
      <c r="H118" s="1">
        <v>0</v>
      </c>
      <c r="I118" s="1">
        <v>0</v>
      </c>
      <c r="J118" s="1"/>
      <c r="K118" s="1">
        <v>350</v>
      </c>
      <c r="L118" s="1">
        <v>725</v>
      </c>
      <c r="M118" s="1">
        <v>2984</v>
      </c>
      <c r="N118" s="1">
        <v>-54.4</v>
      </c>
      <c r="O118" s="1">
        <v>5.3</v>
      </c>
      <c r="P118" s="1">
        <v>1.6</v>
      </c>
      <c r="Q118" s="1">
        <v>0</v>
      </c>
      <c r="R118" s="1">
        <v>0</v>
      </c>
      <c r="S118" s="1">
        <v>0</v>
      </c>
      <c r="T118" s="1"/>
      <c r="U118" s="1"/>
      <c r="V118" s="1"/>
      <c r="W118" s="1"/>
    </row>
    <row r="119" spans="1:23" x14ac:dyDescent="0.25">
      <c r="A119" s="1">
        <v>375</v>
      </c>
      <c r="B119" s="1">
        <v>709</v>
      </c>
      <c r="C119" s="1">
        <v>2852</v>
      </c>
      <c r="D119" s="1">
        <v>-66.2</v>
      </c>
      <c r="E119" s="1">
        <v>6.1</v>
      </c>
      <c r="F119" s="1">
        <v>1.8</v>
      </c>
      <c r="G119" s="1">
        <v>0</v>
      </c>
      <c r="H119" s="1">
        <v>0</v>
      </c>
      <c r="I119" s="1">
        <v>0</v>
      </c>
      <c r="J119" s="1"/>
      <c r="K119" s="1">
        <v>375</v>
      </c>
      <c r="L119" s="1">
        <v>713</v>
      </c>
      <c r="M119" s="1">
        <v>2881</v>
      </c>
      <c r="N119" s="1">
        <v>-65.7</v>
      </c>
      <c r="O119" s="1">
        <v>6</v>
      </c>
      <c r="P119" s="1">
        <v>1.8</v>
      </c>
      <c r="Q119" s="1">
        <v>0</v>
      </c>
      <c r="R119" s="1">
        <v>0</v>
      </c>
      <c r="S119" s="1">
        <v>0</v>
      </c>
      <c r="T119" s="1"/>
      <c r="U119" s="1"/>
      <c r="V119" s="1"/>
      <c r="W119" s="1"/>
    </row>
    <row r="120" spans="1:23" x14ac:dyDescent="0.25">
      <c r="A120" s="1">
        <v>400</v>
      </c>
      <c r="B120" s="1">
        <v>697</v>
      </c>
      <c r="C120" s="1">
        <v>2751</v>
      </c>
      <c r="D120" s="1">
        <v>-78.8</v>
      </c>
      <c r="E120" s="1">
        <v>6.8</v>
      </c>
      <c r="F120" s="1">
        <v>2</v>
      </c>
      <c r="G120" s="1">
        <v>0</v>
      </c>
      <c r="H120" s="1">
        <v>0</v>
      </c>
      <c r="I120" s="1">
        <v>0</v>
      </c>
      <c r="J120" s="1"/>
      <c r="K120" s="1">
        <v>400</v>
      </c>
      <c r="L120" s="1">
        <v>700</v>
      </c>
      <c r="M120" s="1">
        <v>2781</v>
      </c>
      <c r="N120" s="1">
        <v>-78.3</v>
      </c>
      <c r="O120" s="1">
        <v>6.7</v>
      </c>
      <c r="P120" s="1">
        <v>2</v>
      </c>
      <c r="Q120" s="1">
        <v>0</v>
      </c>
      <c r="R120" s="1">
        <v>0</v>
      </c>
      <c r="S120" s="1">
        <v>0</v>
      </c>
      <c r="T120" s="1"/>
      <c r="U120" s="1"/>
      <c r="V120" s="1"/>
      <c r="W120" s="1"/>
    </row>
    <row r="121" spans="1:23" x14ac:dyDescent="0.25">
      <c r="A121" s="1">
        <v>425</v>
      </c>
      <c r="B121" s="1">
        <v>684</v>
      </c>
      <c r="C121" s="1">
        <v>2653</v>
      </c>
      <c r="D121" s="1">
        <v>-93.3</v>
      </c>
      <c r="E121" s="1">
        <v>7.5</v>
      </c>
      <c r="F121" s="1">
        <v>2.2000000000000002</v>
      </c>
      <c r="G121" s="1">
        <v>0</v>
      </c>
      <c r="H121" s="1">
        <v>0</v>
      </c>
      <c r="I121" s="1">
        <v>0</v>
      </c>
      <c r="J121" s="1"/>
      <c r="K121" s="1">
        <v>425</v>
      </c>
      <c r="L121" s="1">
        <v>688</v>
      </c>
      <c r="M121" s="1">
        <v>2683</v>
      </c>
      <c r="N121" s="1">
        <v>-92.6</v>
      </c>
      <c r="O121" s="1">
        <v>7.5</v>
      </c>
      <c r="P121" s="1">
        <v>2.2000000000000002</v>
      </c>
      <c r="Q121" s="1">
        <v>0</v>
      </c>
      <c r="R121" s="1">
        <v>0</v>
      </c>
      <c r="S121" s="1">
        <v>0</v>
      </c>
      <c r="T121" s="1"/>
      <c r="U121" s="1"/>
      <c r="V121" s="1"/>
      <c r="W121" s="1"/>
    </row>
    <row r="122" spans="1:23" x14ac:dyDescent="0.25">
      <c r="A122" s="1">
        <v>450</v>
      </c>
      <c r="B122" s="1">
        <v>672</v>
      </c>
      <c r="C122" s="1">
        <v>2558</v>
      </c>
      <c r="D122" s="1">
        <v>-108.7</v>
      </c>
      <c r="E122" s="1">
        <v>8.3000000000000007</v>
      </c>
      <c r="F122" s="1">
        <v>2.4</v>
      </c>
      <c r="G122" s="1">
        <v>0</v>
      </c>
      <c r="H122" s="1">
        <v>0</v>
      </c>
      <c r="I122" s="1">
        <v>0</v>
      </c>
      <c r="J122" s="1"/>
      <c r="K122" s="1">
        <v>450</v>
      </c>
      <c r="L122" s="1">
        <v>676</v>
      </c>
      <c r="M122" s="1">
        <v>2589</v>
      </c>
      <c r="N122" s="1">
        <v>-107.9</v>
      </c>
      <c r="O122" s="1">
        <v>8.1999999999999993</v>
      </c>
      <c r="P122" s="1">
        <v>2.4</v>
      </c>
      <c r="Q122" s="1">
        <v>0</v>
      </c>
      <c r="R122" s="1">
        <v>0</v>
      </c>
      <c r="S122" s="1">
        <v>0</v>
      </c>
      <c r="T122" s="1"/>
      <c r="U122" s="1"/>
      <c r="V122" s="1"/>
      <c r="W122" s="1"/>
    </row>
    <row r="123" spans="1:23" x14ac:dyDescent="0.25">
      <c r="A123" s="1">
        <v>475</v>
      </c>
      <c r="B123" s="1">
        <v>659</v>
      </c>
      <c r="C123" s="1">
        <v>2466</v>
      </c>
      <c r="D123" s="1">
        <v>-125.5</v>
      </c>
      <c r="E123" s="1">
        <v>9.1</v>
      </c>
      <c r="F123" s="1">
        <v>2.6</v>
      </c>
      <c r="G123" s="1">
        <v>0</v>
      </c>
      <c r="H123" s="1">
        <v>0</v>
      </c>
      <c r="I123" s="1">
        <v>0</v>
      </c>
      <c r="J123" s="1"/>
      <c r="K123" s="1">
        <v>475</v>
      </c>
      <c r="L123" s="1">
        <v>663</v>
      </c>
      <c r="M123" s="1">
        <v>2496</v>
      </c>
      <c r="N123" s="1">
        <v>-124.5</v>
      </c>
      <c r="O123" s="1">
        <v>9</v>
      </c>
      <c r="P123" s="1">
        <v>2.6</v>
      </c>
      <c r="Q123" s="1">
        <v>0</v>
      </c>
      <c r="R123" s="1">
        <v>0</v>
      </c>
      <c r="S123" s="1">
        <v>0</v>
      </c>
      <c r="T123" s="1"/>
      <c r="U123" s="1"/>
      <c r="V123" s="1"/>
      <c r="W123" s="1"/>
    </row>
    <row r="124" spans="1:23" x14ac:dyDescent="0.25">
      <c r="A124" s="1">
        <v>500</v>
      </c>
      <c r="B124" s="1">
        <v>648</v>
      </c>
      <c r="C124" s="1">
        <v>2379</v>
      </c>
      <c r="D124" s="1">
        <v>-143.69999999999999</v>
      </c>
      <c r="E124" s="1">
        <v>9.9</v>
      </c>
      <c r="F124" s="1">
        <v>2.9</v>
      </c>
      <c r="G124" s="1">
        <v>0</v>
      </c>
      <c r="H124" s="1">
        <v>0</v>
      </c>
      <c r="I124" s="1">
        <v>0</v>
      </c>
      <c r="J124" s="1"/>
      <c r="K124" s="1">
        <v>500</v>
      </c>
      <c r="L124" s="1">
        <v>652</v>
      </c>
      <c r="M124" s="1">
        <v>2410</v>
      </c>
      <c r="N124" s="1">
        <v>-142.5</v>
      </c>
      <c r="O124" s="1">
        <v>9.8000000000000007</v>
      </c>
      <c r="P124" s="1">
        <v>2.9</v>
      </c>
      <c r="Q124" s="1">
        <v>0</v>
      </c>
      <c r="R124" s="1">
        <v>0</v>
      </c>
      <c r="S124" s="1">
        <v>0</v>
      </c>
      <c r="T124" s="1"/>
      <c r="U124" s="1"/>
      <c r="V124" s="1"/>
      <c r="W124" s="1"/>
    </row>
    <row r="125" spans="1:23" x14ac:dyDescent="0.25">
      <c r="T125" s="1"/>
      <c r="U125" s="1"/>
      <c r="V125" s="1"/>
      <c r="W125" s="1"/>
    </row>
    <row r="126" spans="1:23" x14ac:dyDescent="0.25">
      <c r="A126" t="s">
        <v>72</v>
      </c>
      <c r="K126" t="s">
        <v>66</v>
      </c>
      <c r="T126" s="1"/>
      <c r="U126" s="1"/>
      <c r="V126" s="1"/>
      <c r="W126" s="1"/>
    </row>
    <row r="127" spans="1:23" x14ac:dyDescent="0.25">
      <c r="A127" t="s">
        <v>11</v>
      </c>
      <c r="B127" t="s">
        <v>12</v>
      </c>
      <c r="C127" t="s">
        <v>13</v>
      </c>
      <c r="D127" t="s">
        <v>14</v>
      </c>
      <c r="E127" t="s">
        <v>15</v>
      </c>
      <c r="F127" t="s">
        <v>16</v>
      </c>
      <c r="G127" t="s">
        <v>29</v>
      </c>
      <c r="H127" t="s">
        <v>30</v>
      </c>
      <c r="I127" t="s">
        <v>31</v>
      </c>
      <c r="K127" t="s">
        <v>11</v>
      </c>
      <c r="L127" t="s">
        <v>12</v>
      </c>
      <c r="M127" t="s">
        <v>13</v>
      </c>
      <c r="N127" t="s">
        <v>14</v>
      </c>
      <c r="O127" t="s">
        <v>15</v>
      </c>
      <c r="P127" t="s">
        <v>16</v>
      </c>
      <c r="Q127" t="s">
        <v>29</v>
      </c>
      <c r="R127" t="s">
        <v>30</v>
      </c>
      <c r="S127" t="s">
        <v>31</v>
      </c>
      <c r="T127" s="1"/>
      <c r="U127" s="1"/>
      <c r="V127" s="1"/>
      <c r="W127" s="1"/>
    </row>
    <row r="128" spans="1:23" x14ac:dyDescent="0.25">
      <c r="A128" s="1">
        <v>0</v>
      </c>
      <c r="B128" s="1">
        <v>914</v>
      </c>
      <c r="C128" s="1">
        <v>4741</v>
      </c>
      <c r="D128" s="1">
        <v>-3.8</v>
      </c>
      <c r="E128" s="1">
        <v>0</v>
      </c>
      <c r="F128" s="1">
        <v>0</v>
      </c>
      <c r="G128" s="31">
        <v>0</v>
      </c>
      <c r="H128" s="31">
        <v>0</v>
      </c>
      <c r="I128" s="31">
        <v>0</v>
      </c>
      <c r="K128" s="1">
        <v>0</v>
      </c>
      <c r="L128" s="1">
        <v>914</v>
      </c>
      <c r="M128" s="1">
        <v>4741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/>
      <c r="U128" s="1"/>
      <c r="V128" s="1"/>
      <c r="W128" s="1"/>
    </row>
    <row r="129" spans="1:23" x14ac:dyDescent="0.25">
      <c r="A129" s="1">
        <v>25</v>
      </c>
      <c r="B129" s="1">
        <v>900</v>
      </c>
      <c r="C129" s="1">
        <v>4589</v>
      </c>
      <c r="D129" s="1">
        <v>-1.2</v>
      </c>
      <c r="E129" s="1">
        <v>1.6</v>
      </c>
      <c r="F129" s="1">
        <v>0.5</v>
      </c>
      <c r="G129" s="31">
        <v>0</v>
      </c>
      <c r="H129" s="31">
        <v>0</v>
      </c>
      <c r="I129" s="31">
        <v>0</v>
      </c>
      <c r="K129" s="1">
        <v>25</v>
      </c>
      <c r="L129" s="1">
        <v>900</v>
      </c>
      <c r="M129" s="1">
        <v>4594</v>
      </c>
      <c r="N129" s="1">
        <v>-1.2</v>
      </c>
      <c r="O129" s="1">
        <v>1.7</v>
      </c>
      <c r="P129" s="1">
        <v>0.5</v>
      </c>
      <c r="Q129" s="1">
        <v>0</v>
      </c>
      <c r="R129" s="1">
        <v>0</v>
      </c>
      <c r="S129" s="1">
        <v>0</v>
      </c>
      <c r="T129" s="1"/>
      <c r="U129" s="1"/>
      <c r="V129" s="1"/>
      <c r="W129" s="1"/>
    </row>
    <row r="130" spans="1:23" x14ac:dyDescent="0.25">
      <c r="A130" s="1">
        <v>50</v>
      </c>
      <c r="B130" s="1">
        <v>885</v>
      </c>
      <c r="C130" s="1">
        <v>4442</v>
      </c>
      <c r="D130" s="1">
        <v>0.7</v>
      </c>
      <c r="E130" s="1">
        <v>-0.5</v>
      </c>
      <c r="F130" s="1">
        <v>-0.1</v>
      </c>
      <c r="G130" s="31">
        <v>0</v>
      </c>
      <c r="H130" s="31">
        <v>0</v>
      </c>
      <c r="I130" s="31">
        <v>0</v>
      </c>
      <c r="K130" s="1">
        <v>50</v>
      </c>
      <c r="L130" s="1">
        <v>886</v>
      </c>
      <c r="M130" s="1">
        <v>4450</v>
      </c>
      <c r="N130" s="1">
        <v>0.7</v>
      </c>
      <c r="O130" s="1">
        <v>-0.5</v>
      </c>
      <c r="P130" s="1">
        <v>-0.1</v>
      </c>
      <c r="Q130" s="1">
        <v>0</v>
      </c>
      <c r="R130" s="1">
        <v>0</v>
      </c>
      <c r="S130" s="1">
        <v>0</v>
      </c>
      <c r="T130" s="1"/>
      <c r="U130" s="1"/>
      <c r="V130" s="1"/>
      <c r="W130" s="1"/>
    </row>
    <row r="131" spans="1:23" x14ac:dyDescent="0.25">
      <c r="A131" s="1">
        <v>75</v>
      </c>
      <c r="B131" s="1">
        <v>871</v>
      </c>
      <c r="C131" s="1">
        <v>4299</v>
      </c>
      <c r="D131" s="1">
        <v>1.8</v>
      </c>
      <c r="E131" s="1">
        <v>-0.8</v>
      </c>
      <c r="F131" s="1">
        <v>-0.2</v>
      </c>
      <c r="G131" s="31">
        <v>0</v>
      </c>
      <c r="H131" s="31">
        <v>0</v>
      </c>
      <c r="I131" s="31">
        <v>0</v>
      </c>
      <c r="K131" s="1">
        <v>75</v>
      </c>
      <c r="L131" s="1">
        <v>872</v>
      </c>
      <c r="M131" s="1">
        <v>4311</v>
      </c>
      <c r="N131" s="1">
        <v>1.8</v>
      </c>
      <c r="O131" s="1">
        <v>-0.8</v>
      </c>
      <c r="P131" s="1">
        <v>-0.2</v>
      </c>
      <c r="Q131" s="1">
        <v>0</v>
      </c>
      <c r="R131" s="1">
        <v>0</v>
      </c>
      <c r="S131" s="1">
        <v>0</v>
      </c>
      <c r="T131" s="1"/>
      <c r="U131" s="1"/>
      <c r="V131" s="1"/>
      <c r="W131" s="1"/>
    </row>
    <row r="132" spans="1:23" x14ac:dyDescent="0.25">
      <c r="A132" s="1">
        <v>100</v>
      </c>
      <c r="B132" s="1">
        <v>856</v>
      </c>
      <c r="C132" s="1">
        <v>4160</v>
      </c>
      <c r="D132" s="1">
        <v>2.1</v>
      </c>
      <c r="E132" s="1">
        <v>-0.7</v>
      </c>
      <c r="F132" s="1">
        <v>-0.2</v>
      </c>
      <c r="G132" s="31">
        <v>0</v>
      </c>
      <c r="H132" s="31">
        <v>0</v>
      </c>
      <c r="I132" s="31">
        <v>0</v>
      </c>
      <c r="K132" s="1">
        <v>100</v>
      </c>
      <c r="L132" s="1">
        <v>858</v>
      </c>
      <c r="M132" s="1">
        <v>4174</v>
      </c>
      <c r="N132" s="1">
        <v>2</v>
      </c>
      <c r="O132" s="1">
        <v>-0.7</v>
      </c>
      <c r="P132" s="1">
        <v>-0.2</v>
      </c>
      <c r="Q132" s="1">
        <v>0</v>
      </c>
      <c r="R132" s="1">
        <v>0</v>
      </c>
      <c r="S132" s="1">
        <v>0</v>
      </c>
      <c r="T132" s="1"/>
      <c r="U132" s="1"/>
      <c r="V132" s="1"/>
      <c r="W132" s="1"/>
    </row>
    <row r="133" spans="1:23" x14ac:dyDescent="0.25">
      <c r="A133" s="1">
        <v>125</v>
      </c>
      <c r="B133" s="1">
        <v>842</v>
      </c>
      <c r="C133" s="1">
        <v>4024</v>
      </c>
      <c r="D133" s="1">
        <v>1.5</v>
      </c>
      <c r="E133" s="1">
        <v>-0.4</v>
      </c>
      <c r="F133" s="1">
        <v>-0.1</v>
      </c>
      <c r="G133" s="31">
        <v>0</v>
      </c>
      <c r="H133" s="31">
        <v>0</v>
      </c>
      <c r="I133" s="31">
        <v>0</v>
      </c>
      <c r="K133" s="1">
        <v>125</v>
      </c>
      <c r="L133" s="1">
        <v>844</v>
      </c>
      <c r="M133" s="1">
        <v>4041</v>
      </c>
      <c r="N133" s="1">
        <v>1.4</v>
      </c>
      <c r="O133" s="1">
        <v>-0.4</v>
      </c>
      <c r="P133" s="1">
        <v>-0.1</v>
      </c>
      <c r="Q133" s="1">
        <v>0</v>
      </c>
      <c r="R133" s="1">
        <v>0</v>
      </c>
      <c r="S133" s="1">
        <v>0</v>
      </c>
      <c r="T133" s="1"/>
      <c r="U133" s="1"/>
      <c r="V133" s="1"/>
      <c r="W133" s="1"/>
    </row>
    <row r="134" spans="1:23" x14ac:dyDescent="0.25">
      <c r="A134" s="10">
        <v>150</v>
      </c>
      <c r="B134" s="10">
        <v>828</v>
      </c>
      <c r="C134" s="10">
        <v>3892</v>
      </c>
      <c r="D134" s="10">
        <v>0</v>
      </c>
      <c r="E134" s="10">
        <v>0</v>
      </c>
      <c r="F134" s="10">
        <v>0</v>
      </c>
      <c r="G134" s="31">
        <v>0</v>
      </c>
      <c r="H134" s="31">
        <v>0</v>
      </c>
      <c r="I134" s="31">
        <v>0</v>
      </c>
      <c r="K134" s="1">
        <v>150</v>
      </c>
      <c r="L134" s="1">
        <v>831</v>
      </c>
      <c r="M134" s="1">
        <v>3911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/>
      <c r="U134" s="1"/>
      <c r="V134" s="1"/>
      <c r="W134" s="1"/>
    </row>
    <row r="135" spans="1:23" x14ac:dyDescent="0.25">
      <c r="A135" s="1">
        <v>175</v>
      </c>
      <c r="B135" s="1">
        <v>815</v>
      </c>
      <c r="C135" s="1">
        <v>3764</v>
      </c>
      <c r="D135" s="1">
        <v>-2.2999999999999998</v>
      </c>
      <c r="E135" s="1">
        <v>0.5</v>
      </c>
      <c r="F135" s="1">
        <v>0.1</v>
      </c>
      <c r="G135" s="31">
        <v>0</v>
      </c>
      <c r="H135" s="31">
        <v>0</v>
      </c>
      <c r="I135" s="31">
        <v>0</v>
      </c>
      <c r="K135" s="1">
        <v>175</v>
      </c>
      <c r="L135" s="1">
        <v>817</v>
      </c>
      <c r="M135" s="1">
        <v>3785</v>
      </c>
      <c r="N135" s="1">
        <v>-2.2999999999999998</v>
      </c>
      <c r="O135" s="1">
        <v>0.5</v>
      </c>
      <c r="P135" s="1">
        <v>0.1</v>
      </c>
      <c r="Q135" s="1">
        <v>0</v>
      </c>
      <c r="R135" s="1">
        <v>0</v>
      </c>
      <c r="S135" s="1">
        <v>0</v>
      </c>
      <c r="T135" s="1"/>
      <c r="U135" s="1"/>
      <c r="V135" s="1"/>
      <c r="W135" s="1"/>
    </row>
    <row r="136" spans="1:23" x14ac:dyDescent="0.25">
      <c r="A136" s="1">
        <v>200</v>
      </c>
      <c r="B136" s="1">
        <v>801</v>
      </c>
      <c r="C136" s="1">
        <v>3639</v>
      </c>
      <c r="D136" s="1">
        <v>-5.7</v>
      </c>
      <c r="E136" s="1">
        <v>1</v>
      </c>
      <c r="F136" s="1">
        <v>0.3</v>
      </c>
      <c r="G136" s="31">
        <v>0</v>
      </c>
      <c r="H136" s="31">
        <v>0</v>
      </c>
      <c r="I136" s="31">
        <v>0</v>
      </c>
      <c r="K136" s="1">
        <v>200</v>
      </c>
      <c r="L136" s="1">
        <v>804</v>
      </c>
      <c r="M136" s="1">
        <v>3661</v>
      </c>
      <c r="N136" s="1">
        <v>-5.7</v>
      </c>
      <c r="O136" s="1">
        <v>1</v>
      </c>
      <c r="P136" s="1">
        <v>0.3</v>
      </c>
      <c r="Q136" s="1">
        <v>0</v>
      </c>
      <c r="R136" s="1">
        <v>0</v>
      </c>
      <c r="S136" s="1">
        <v>0</v>
      </c>
      <c r="T136" s="1"/>
      <c r="U136" s="1"/>
      <c r="V136" s="1"/>
      <c r="W136" s="1"/>
    </row>
    <row r="137" spans="1:23" x14ac:dyDescent="0.25">
      <c r="A137" s="1">
        <v>225</v>
      </c>
      <c r="B137" s="1">
        <v>788</v>
      </c>
      <c r="C137" s="1">
        <v>3517</v>
      </c>
      <c r="D137" s="1">
        <v>-10</v>
      </c>
      <c r="E137" s="1">
        <v>1.5</v>
      </c>
      <c r="F137" s="1">
        <v>0.4</v>
      </c>
      <c r="G137" s="31">
        <v>0</v>
      </c>
      <c r="H137" s="31">
        <v>0</v>
      </c>
      <c r="I137" s="31">
        <v>0</v>
      </c>
      <c r="K137" s="1">
        <v>225</v>
      </c>
      <c r="L137" s="1">
        <v>790</v>
      </c>
      <c r="M137" s="1">
        <v>3541</v>
      </c>
      <c r="N137" s="1">
        <v>-9.9</v>
      </c>
      <c r="O137" s="1">
        <v>1.5</v>
      </c>
      <c r="P137" s="1">
        <v>0.4</v>
      </c>
      <c r="Q137" s="1">
        <v>0</v>
      </c>
      <c r="R137" s="1">
        <v>0</v>
      </c>
      <c r="S137" s="1">
        <v>0</v>
      </c>
      <c r="T137" s="1"/>
      <c r="U137" s="1"/>
      <c r="V137" s="1"/>
      <c r="W137" s="1"/>
    </row>
    <row r="138" spans="1:23" x14ac:dyDescent="0.25">
      <c r="A138" s="1">
        <v>250</v>
      </c>
      <c r="B138" s="1">
        <v>774</v>
      </c>
      <c r="C138" s="1">
        <v>3398</v>
      </c>
      <c r="D138" s="1">
        <v>-15.2</v>
      </c>
      <c r="E138" s="1">
        <v>2.1</v>
      </c>
      <c r="F138" s="1">
        <v>0.6</v>
      </c>
      <c r="G138" s="31">
        <v>0</v>
      </c>
      <c r="H138" s="31">
        <v>0</v>
      </c>
      <c r="I138" s="31">
        <v>0</v>
      </c>
      <c r="K138" s="1">
        <v>250</v>
      </c>
      <c r="L138" s="1">
        <v>777</v>
      </c>
      <c r="M138" s="1">
        <v>3424</v>
      </c>
      <c r="N138" s="1">
        <v>-15.1</v>
      </c>
      <c r="O138" s="1">
        <v>2.1</v>
      </c>
      <c r="P138" s="1">
        <v>0.6</v>
      </c>
      <c r="Q138" s="1">
        <v>0</v>
      </c>
      <c r="R138" s="1">
        <v>0</v>
      </c>
      <c r="S138" s="1">
        <v>0</v>
      </c>
      <c r="T138" s="1"/>
      <c r="U138" s="1"/>
      <c r="V138" s="1"/>
      <c r="W138" s="1"/>
    </row>
    <row r="139" spans="1:23" x14ac:dyDescent="0.25">
      <c r="A139" s="1">
        <v>275</v>
      </c>
      <c r="B139" s="1">
        <v>761</v>
      </c>
      <c r="C139" s="1">
        <v>3283</v>
      </c>
      <c r="D139" s="1">
        <v>-21.7</v>
      </c>
      <c r="E139" s="1">
        <v>2.7</v>
      </c>
      <c r="F139" s="1">
        <v>0.8</v>
      </c>
      <c r="G139" s="31">
        <v>0</v>
      </c>
      <c r="H139" s="31">
        <v>0</v>
      </c>
      <c r="I139" s="31">
        <v>0</v>
      </c>
      <c r="K139" s="1">
        <v>275</v>
      </c>
      <c r="L139" s="1">
        <v>764</v>
      </c>
      <c r="M139" s="1">
        <v>3309</v>
      </c>
      <c r="N139" s="1">
        <v>-21.6</v>
      </c>
      <c r="O139" s="1">
        <v>2.7</v>
      </c>
      <c r="P139" s="1">
        <v>0.8</v>
      </c>
      <c r="Q139" s="1">
        <v>0</v>
      </c>
      <c r="R139" s="1">
        <v>0</v>
      </c>
      <c r="S139" s="1">
        <v>0</v>
      </c>
    </row>
    <row r="140" spans="1:23" x14ac:dyDescent="0.25">
      <c r="A140" s="1">
        <v>300</v>
      </c>
      <c r="B140" s="1">
        <v>748</v>
      </c>
      <c r="C140" s="1">
        <v>3171</v>
      </c>
      <c r="D140" s="1">
        <v>-29.1</v>
      </c>
      <c r="E140" s="1">
        <v>3.3</v>
      </c>
      <c r="F140" s="1">
        <v>1</v>
      </c>
      <c r="G140" s="31">
        <v>0</v>
      </c>
      <c r="H140" s="31">
        <v>0</v>
      </c>
      <c r="I140" s="31">
        <v>0</v>
      </c>
      <c r="K140" s="1">
        <v>300</v>
      </c>
      <c r="L140" s="1">
        <v>751</v>
      </c>
      <c r="M140" s="1">
        <v>3198</v>
      </c>
      <c r="N140" s="1">
        <v>-29</v>
      </c>
      <c r="O140" s="1">
        <v>3.3</v>
      </c>
      <c r="P140" s="1">
        <v>1</v>
      </c>
      <c r="Q140" s="1">
        <v>0</v>
      </c>
      <c r="R140" s="1">
        <v>0</v>
      </c>
      <c r="S140" s="1">
        <v>0</v>
      </c>
    </row>
    <row r="141" spans="1:23" x14ac:dyDescent="0.25">
      <c r="A141" s="1">
        <v>325</v>
      </c>
      <c r="B141" s="1">
        <v>735</v>
      </c>
      <c r="C141" s="1">
        <v>3062</v>
      </c>
      <c r="D141" s="1">
        <v>-37.6</v>
      </c>
      <c r="E141" s="1">
        <v>4</v>
      </c>
      <c r="F141" s="1">
        <v>1.2</v>
      </c>
      <c r="G141" s="31">
        <v>0</v>
      </c>
      <c r="H141" s="31">
        <v>0</v>
      </c>
      <c r="I141" s="31">
        <v>0</v>
      </c>
      <c r="K141" s="1">
        <v>325</v>
      </c>
      <c r="L141" s="1">
        <v>738</v>
      </c>
      <c r="M141" s="1">
        <v>3090</v>
      </c>
      <c r="N141" s="1">
        <v>-37.4</v>
      </c>
      <c r="O141" s="1">
        <v>4</v>
      </c>
      <c r="P141" s="1">
        <v>1.2</v>
      </c>
      <c r="Q141" s="1">
        <v>0</v>
      </c>
      <c r="R141" s="1">
        <v>0</v>
      </c>
      <c r="S141" s="1">
        <v>0</v>
      </c>
    </row>
    <row r="142" spans="1:23" x14ac:dyDescent="0.25">
      <c r="A142" s="1">
        <v>350</v>
      </c>
      <c r="B142" s="1">
        <v>722</v>
      </c>
      <c r="C142" s="1">
        <v>2955</v>
      </c>
      <c r="D142" s="1">
        <v>-47.6</v>
      </c>
      <c r="E142" s="1">
        <v>4.7</v>
      </c>
      <c r="F142" s="1">
        <v>1.4</v>
      </c>
      <c r="G142" s="31">
        <v>0</v>
      </c>
      <c r="H142" s="31">
        <v>0</v>
      </c>
      <c r="I142" s="31">
        <v>0</v>
      </c>
      <c r="K142" s="1">
        <v>350</v>
      </c>
      <c r="L142" s="1">
        <v>725</v>
      </c>
      <c r="M142" s="1">
        <v>2984</v>
      </c>
      <c r="N142" s="1">
        <v>-47.4</v>
      </c>
      <c r="O142" s="1">
        <v>4.5999999999999996</v>
      </c>
      <c r="P142" s="1">
        <v>1.4</v>
      </c>
      <c r="Q142" s="1">
        <v>0</v>
      </c>
      <c r="R142" s="1">
        <v>0</v>
      </c>
      <c r="S142" s="1">
        <v>0</v>
      </c>
      <c r="T142" s="1"/>
      <c r="U142" s="1"/>
      <c r="V142" s="1"/>
      <c r="W142" s="1"/>
    </row>
    <row r="143" spans="1:23" x14ac:dyDescent="0.25">
      <c r="A143" s="1">
        <v>375</v>
      </c>
      <c r="B143" s="1">
        <v>709</v>
      </c>
      <c r="C143" s="1">
        <v>2852</v>
      </c>
      <c r="D143" s="1">
        <v>-58.5</v>
      </c>
      <c r="E143" s="1">
        <v>5.4</v>
      </c>
      <c r="F143" s="1">
        <v>1.6</v>
      </c>
      <c r="G143" s="31">
        <v>0</v>
      </c>
      <c r="H143" s="31">
        <v>0</v>
      </c>
      <c r="I143" s="31">
        <v>0</v>
      </c>
      <c r="K143" s="1">
        <v>375</v>
      </c>
      <c r="L143" s="1">
        <v>713</v>
      </c>
      <c r="M143" s="1">
        <v>2881</v>
      </c>
      <c r="N143" s="1">
        <v>-58.2</v>
      </c>
      <c r="O143" s="1">
        <v>5.3</v>
      </c>
      <c r="P143" s="1">
        <v>1.6</v>
      </c>
      <c r="Q143" s="1">
        <v>0</v>
      </c>
      <c r="R143" s="1">
        <v>0</v>
      </c>
      <c r="S143" s="1">
        <v>0</v>
      </c>
      <c r="T143" s="1"/>
      <c r="U143" s="1"/>
      <c r="V143" s="1"/>
      <c r="W143" s="1"/>
    </row>
    <row r="144" spans="1:23" x14ac:dyDescent="0.25">
      <c r="A144" s="1">
        <v>400</v>
      </c>
      <c r="B144" s="1">
        <v>697</v>
      </c>
      <c r="C144" s="1">
        <v>2751</v>
      </c>
      <c r="D144" s="1">
        <v>-70.599999999999994</v>
      </c>
      <c r="E144" s="1">
        <v>6.1</v>
      </c>
      <c r="F144" s="1">
        <v>1.8</v>
      </c>
      <c r="G144" s="31">
        <v>0</v>
      </c>
      <c r="H144" s="31">
        <v>0</v>
      </c>
      <c r="I144" s="31">
        <v>0</v>
      </c>
      <c r="K144" s="1">
        <v>400</v>
      </c>
      <c r="L144" s="1">
        <v>700</v>
      </c>
      <c r="M144" s="1">
        <v>2781</v>
      </c>
      <c r="N144" s="1">
        <v>-70.2</v>
      </c>
      <c r="O144" s="1">
        <v>6</v>
      </c>
      <c r="P144" s="1">
        <v>1.8</v>
      </c>
      <c r="Q144" s="1">
        <v>0</v>
      </c>
      <c r="R144" s="1">
        <v>0</v>
      </c>
      <c r="S144" s="1">
        <v>0</v>
      </c>
      <c r="T144" s="1"/>
      <c r="U144" s="1"/>
      <c r="V144" s="1"/>
      <c r="W144" s="1"/>
    </row>
    <row r="145" spans="1:23" x14ac:dyDescent="0.25">
      <c r="A145" s="1">
        <v>425</v>
      </c>
      <c r="B145" s="1">
        <v>684</v>
      </c>
      <c r="C145" s="1">
        <v>2653</v>
      </c>
      <c r="D145" s="1">
        <v>-84.6</v>
      </c>
      <c r="E145" s="1">
        <v>6.8</v>
      </c>
      <c r="F145" s="1">
        <v>2</v>
      </c>
      <c r="G145" s="31">
        <v>0</v>
      </c>
      <c r="H145" s="31">
        <v>0</v>
      </c>
      <c r="I145" s="31">
        <v>0</v>
      </c>
      <c r="K145" s="1">
        <v>425</v>
      </c>
      <c r="L145" s="1">
        <v>688</v>
      </c>
      <c r="M145" s="1">
        <v>2683</v>
      </c>
      <c r="N145" s="1">
        <v>-84.1</v>
      </c>
      <c r="O145" s="1">
        <v>6.8</v>
      </c>
      <c r="P145" s="1">
        <v>2</v>
      </c>
      <c r="Q145" s="1">
        <v>0</v>
      </c>
      <c r="R145" s="1">
        <v>0</v>
      </c>
      <c r="S145" s="1">
        <v>0</v>
      </c>
      <c r="T145" s="1"/>
      <c r="U145" s="1"/>
      <c r="V145" s="1"/>
      <c r="W145" s="1"/>
    </row>
    <row r="146" spans="1:23" x14ac:dyDescent="0.25">
      <c r="A146" s="1">
        <v>450</v>
      </c>
      <c r="B146" s="1">
        <v>672</v>
      </c>
      <c r="C146" s="1">
        <v>2558</v>
      </c>
      <c r="D146" s="1">
        <v>-99.5</v>
      </c>
      <c r="E146" s="1">
        <v>7.6</v>
      </c>
      <c r="F146" s="1">
        <v>2.2000000000000002</v>
      </c>
      <c r="G146" s="31">
        <v>0</v>
      </c>
      <c r="H146" s="31">
        <v>0</v>
      </c>
      <c r="I146" s="31">
        <v>0</v>
      </c>
      <c r="K146" s="1">
        <v>450</v>
      </c>
      <c r="L146" s="1">
        <v>676</v>
      </c>
      <c r="M146" s="1">
        <v>2589</v>
      </c>
      <c r="N146" s="1">
        <v>-98.8</v>
      </c>
      <c r="O146" s="1">
        <v>7.5</v>
      </c>
      <c r="P146" s="1">
        <v>2.2000000000000002</v>
      </c>
      <c r="Q146" s="1">
        <v>0</v>
      </c>
      <c r="R146" s="1">
        <v>0</v>
      </c>
      <c r="S146" s="1">
        <v>0</v>
      </c>
      <c r="T146" s="1"/>
      <c r="U146" s="1"/>
      <c r="V146" s="1"/>
      <c r="W146" s="1"/>
    </row>
    <row r="147" spans="1:23" x14ac:dyDescent="0.25">
      <c r="A147" s="1">
        <v>475</v>
      </c>
      <c r="B147" s="1">
        <v>659</v>
      </c>
      <c r="C147" s="1">
        <v>2466</v>
      </c>
      <c r="D147" s="1">
        <v>-115.7</v>
      </c>
      <c r="E147" s="1">
        <v>8.4</v>
      </c>
      <c r="F147" s="1">
        <v>2.4</v>
      </c>
      <c r="G147" s="31">
        <v>0</v>
      </c>
      <c r="H147" s="31">
        <v>0</v>
      </c>
      <c r="I147" s="31">
        <v>0</v>
      </c>
      <c r="K147" s="1">
        <v>475</v>
      </c>
      <c r="L147" s="1">
        <v>663</v>
      </c>
      <c r="M147" s="1">
        <v>2496</v>
      </c>
      <c r="N147" s="1">
        <v>-114.9</v>
      </c>
      <c r="O147" s="1">
        <v>8.3000000000000007</v>
      </c>
      <c r="P147" s="1">
        <v>2.4</v>
      </c>
      <c r="Q147" s="1">
        <v>0</v>
      </c>
      <c r="R147" s="1">
        <v>0</v>
      </c>
      <c r="S147" s="1">
        <v>0</v>
      </c>
      <c r="T147" s="1"/>
      <c r="U147" s="1"/>
      <c r="V147" s="1"/>
      <c r="W147" s="1"/>
    </row>
    <row r="148" spans="1:23" x14ac:dyDescent="0.25">
      <c r="A148" s="1">
        <v>500</v>
      </c>
      <c r="B148" s="1">
        <v>648</v>
      </c>
      <c r="C148" s="1">
        <v>2379</v>
      </c>
      <c r="D148" s="1">
        <v>-133.5</v>
      </c>
      <c r="E148" s="1">
        <v>9.1999999999999993</v>
      </c>
      <c r="F148" s="1">
        <v>2.7</v>
      </c>
      <c r="G148" s="31">
        <v>0</v>
      </c>
      <c r="H148" s="31">
        <v>0</v>
      </c>
      <c r="I148" s="31">
        <v>0</v>
      </c>
      <c r="K148" s="1">
        <v>500</v>
      </c>
      <c r="L148" s="1">
        <v>652</v>
      </c>
      <c r="M148" s="1">
        <v>2410</v>
      </c>
      <c r="N148" s="1">
        <v>-132.5</v>
      </c>
      <c r="O148" s="1">
        <v>9.1</v>
      </c>
      <c r="P148" s="1">
        <v>2.7</v>
      </c>
      <c r="Q148" s="1">
        <v>0</v>
      </c>
      <c r="R148" s="1">
        <v>0</v>
      </c>
      <c r="S148" s="1">
        <v>0</v>
      </c>
      <c r="T148" s="1"/>
      <c r="U148" s="1"/>
      <c r="V148" s="1"/>
      <c r="W148" s="1"/>
    </row>
    <row r="149" spans="1:23" x14ac:dyDescent="0.25">
      <c r="T149" s="1"/>
      <c r="U149" s="1"/>
      <c r="V149" s="1"/>
      <c r="W149" s="1"/>
    </row>
    <row r="150" spans="1:23" x14ac:dyDescent="0.25">
      <c r="A150" t="s">
        <v>73</v>
      </c>
      <c r="K150" t="s">
        <v>67</v>
      </c>
      <c r="T150" s="1"/>
      <c r="U150" s="1"/>
      <c r="V150" s="1"/>
      <c r="W150" s="1"/>
    </row>
    <row r="151" spans="1:23" x14ac:dyDescent="0.25">
      <c r="A151" t="s">
        <v>11</v>
      </c>
      <c r="B151" t="s">
        <v>12</v>
      </c>
      <c r="C151" t="s">
        <v>13</v>
      </c>
      <c r="D151" t="s">
        <v>14</v>
      </c>
      <c r="E151" t="s">
        <v>15</v>
      </c>
      <c r="F151" t="s">
        <v>16</v>
      </c>
      <c r="G151" t="s">
        <v>29</v>
      </c>
      <c r="H151" t="s">
        <v>30</v>
      </c>
      <c r="I151" t="s">
        <v>31</v>
      </c>
      <c r="K151" t="s">
        <v>11</v>
      </c>
      <c r="L151" t="s">
        <v>12</v>
      </c>
      <c r="M151" t="s">
        <v>13</v>
      </c>
      <c r="N151" t="s">
        <v>14</v>
      </c>
      <c r="O151" t="s">
        <v>15</v>
      </c>
      <c r="P151" t="s">
        <v>16</v>
      </c>
      <c r="Q151" t="s">
        <v>29</v>
      </c>
      <c r="R151" t="s">
        <v>30</v>
      </c>
      <c r="S151" t="s">
        <v>31</v>
      </c>
      <c r="T151" s="1"/>
      <c r="U151" s="1"/>
      <c r="V151" s="1"/>
      <c r="W151" s="1"/>
    </row>
    <row r="152" spans="1:23" x14ac:dyDescent="0.25">
      <c r="A152" s="1">
        <v>0</v>
      </c>
      <c r="B152" s="1">
        <v>914</v>
      </c>
      <c r="C152" s="1">
        <v>4741</v>
      </c>
      <c r="D152" s="1">
        <v>-3.8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K152" s="1">
        <v>0</v>
      </c>
      <c r="L152" s="1">
        <v>914</v>
      </c>
      <c r="M152" s="1">
        <v>4741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/>
      <c r="U152" s="1"/>
      <c r="V152" s="1"/>
      <c r="W152" s="1"/>
    </row>
    <row r="153" spans="1:23" x14ac:dyDescent="0.25">
      <c r="A153" s="1">
        <v>25</v>
      </c>
      <c r="B153" s="1">
        <v>900</v>
      </c>
      <c r="C153" s="1">
        <v>4589</v>
      </c>
      <c r="D153" s="1">
        <v>-0.5</v>
      </c>
      <c r="E153" s="1">
        <v>0.7</v>
      </c>
      <c r="F153" s="1">
        <v>0.2</v>
      </c>
      <c r="G153" s="1">
        <v>0</v>
      </c>
      <c r="H153" s="1">
        <v>0</v>
      </c>
      <c r="I153" s="1">
        <v>0</v>
      </c>
      <c r="K153" s="1">
        <v>25</v>
      </c>
      <c r="L153" s="1">
        <v>900</v>
      </c>
      <c r="M153" s="1">
        <v>4594</v>
      </c>
      <c r="N153" s="1">
        <v>-0.5</v>
      </c>
      <c r="O153" s="1">
        <v>0.7</v>
      </c>
      <c r="P153" s="1">
        <v>0.2</v>
      </c>
      <c r="Q153" s="1">
        <v>0</v>
      </c>
      <c r="R153" s="1">
        <v>0</v>
      </c>
      <c r="S153" s="1">
        <v>0</v>
      </c>
      <c r="T153" s="1"/>
      <c r="U153" s="1"/>
      <c r="V153" s="1"/>
      <c r="W153" s="1"/>
    </row>
    <row r="154" spans="1:23" x14ac:dyDescent="0.25">
      <c r="A154" s="1">
        <v>50</v>
      </c>
      <c r="B154" s="1">
        <v>885</v>
      </c>
      <c r="C154" s="1">
        <v>4442</v>
      </c>
      <c r="D154" s="1">
        <v>2.2000000000000002</v>
      </c>
      <c r="E154" s="1">
        <v>-1.5</v>
      </c>
      <c r="F154" s="1">
        <v>-0.4</v>
      </c>
      <c r="G154" s="1">
        <v>0</v>
      </c>
      <c r="H154" s="1">
        <v>0</v>
      </c>
      <c r="I154" s="1">
        <v>0</v>
      </c>
      <c r="K154" s="1">
        <v>50</v>
      </c>
      <c r="L154" s="1">
        <v>886</v>
      </c>
      <c r="M154" s="1">
        <v>4450</v>
      </c>
      <c r="N154" s="1">
        <v>2.1</v>
      </c>
      <c r="O154" s="1">
        <v>-1.5</v>
      </c>
      <c r="P154" s="1">
        <v>-0.4</v>
      </c>
      <c r="Q154" s="1">
        <v>0</v>
      </c>
      <c r="R154" s="1">
        <v>0</v>
      </c>
      <c r="S154" s="1">
        <v>0</v>
      </c>
      <c r="T154" s="1"/>
      <c r="U154" s="1"/>
      <c r="V154" s="1"/>
      <c r="W154" s="1"/>
    </row>
    <row r="155" spans="1:23" x14ac:dyDescent="0.25">
      <c r="A155" s="1">
        <v>75</v>
      </c>
      <c r="B155" s="1">
        <v>871</v>
      </c>
      <c r="C155" s="1">
        <v>4299</v>
      </c>
      <c r="D155" s="1">
        <v>3.9</v>
      </c>
      <c r="E155" s="1">
        <v>-1.8</v>
      </c>
      <c r="F155" s="1">
        <v>-0.5</v>
      </c>
      <c r="G155" s="1">
        <v>0</v>
      </c>
      <c r="H155" s="1">
        <v>0</v>
      </c>
      <c r="I155" s="1">
        <v>0</v>
      </c>
      <c r="K155" s="1">
        <v>75</v>
      </c>
      <c r="L155" s="1">
        <v>872</v>
      </c>
      <c r="M155" s="1">
        <v>4311</v>
      </c>
      <c r="N155" s="1">
        <v>3.9</v>
      </c>
      <c r="O155" s="1">
        <v>-1.8</v>
      </c>
      <c r="P155" s="1">
        <v>-0.5</v>
      </c>
      <c r="Q155" s="1">
        <v>0</v>
      </c>
      <c r="R155" s="1">
        <v>0</v>
      </c>
      <c r="S155" s="1">
        <v>0</v>
      </c>
      <c r="T155" s="1"/>
      <c r="U155" s="1"/>
      <c r="V155" s="1"/>
      <c r="W155" s="1"/>
    </row>
    <row r="156" spans="1:23" x14ac:dyDescent="0.25">
      <c r="A156" s="1">
        <v>100</v>
      </c>
      <c r="B156" s="1">
        <v>856</v>
      </c>
      <c r="C156" s="1">
        <v>4160</v>
      </c>
      <c r="D156" s="1">
        <v>4.9000000000000004</v>
      </c>
      <c r="E156" s="1">
        <v>-1.7</v>
      </c>
      <c r="F156" s="1">
        <v>-0.5</v>
      </c>
      <c r="G156" s="1">
        <v>0</v>
      </c>
      <c r="H156" s="1">
        <v>0</v>
      </c>
      <c r="I156" s="1">
        <v>0</v>
      </c>
      <c r="K156" s="1">
        <v>100</v>
      </c>
      <c r="L156" s="1">
        <v>858</v>
      </c>
      <c r="M156" s="1">
        <v>4174</v>
      </c>
      <c r="N156" s="1">
        <v>4.9000000000000004</v>
      </c>
      <c r="O156" s="1">
        <v>-1.7</v>
      </c>
      <c r="P156" s="1">
        <v>-0.5</v>
      </c>
      <c r="Q156" s="1">
        <v>0</v>
      </c>
      <c r="R156" s="1">
        <v>0</v>
      </c>
      <c r="S156" s="1">
        <v>0</v>
      </c>
      <c r="T156" s="1"/>
      <c r="U156" s="1"/>
      <c r="V156" s="1"/>
      <c r="W156" s="1"/>
    </row>
    <row r="157" spans="1:23" x14ac:dyDescent="0.25">
      <c r="A157" s="1">
        <v>125</v>
      </c>
      <c r="B157" s="1">
        <v>842</v>
      </c>
      <c r="C157" s="1">
        <v>4024</v>
      </c>
      <c r="D157" s="1">
        <v>5</v>
      </c>
      <c r="E157" s="1">
        <v>-1.4</v>
      </c>
      <c r="F157" s="1">
        <v>-0.4</v>
      </c>
      <c r="G157" s="1">
        <v>0</v>
      </c>
      <c r="H157" s="1">
        <v>0</v>
      </c>
      <c r="I157" s="1">
        <v>0</v>
      </c>
      <c r="K157" s="1">
        <v>125</v>
      </c>
      <c r="L157" s="1">
        <v>844</v>
      </c>
      <c r="M157" s="1">
        <v>4041</v>
      </c>
      <c r="N157" s="1">
        <v>5</v>
      </c>
      <c r="O157" s="1">
        <v>-1.4</v>
      </c>
      <c r="P157" s="1">
        <v>-0.4</v>
      </c>
      <c r="Q157" s="1">
        <v>0</v>
      </c>
      <c r="R157" s="1">
        <v>0</v>
      </c>
      <c r="S157" s="1">
        <v>0</v>
      </c>
      <c r="T157" s="1"/>
      <c r="U157" s="1"/>
      <c r="V157" s="1"/>
      <c r="W157" s="1"/>
    </row>
    <row r="158" spans="1:23" x14ac:dyDescent="0.25">
      <c r="A158" s="1">
        <v>150</v>
      </c>
      <c r="B158" s="1">
        <v>828</v>
      </c>
      <c r="C158" s="1">
        <v>3892</v>
      </c>
      <c r="D158" s="1">
        <v>4.3</v>
      </c>
      <c r="E158" s="1">
        <v>-1</v>
      </c>
      <c r="F158" s="1">
        <v>-0.3</v>
      </c>
      <c r="G158" s="1">
        <v>0</v>
      </c>
      <c r="H158" s="1">
        <v>0</v>
      </c>
      <c r="I158" s="1">
        <v>0</v>
      </c>
      <c r="K158" s="1">
        <v>150</v>
      </c>
      <c r="L158" s="1">
        <v>831</v>
      </c>
      <c r="M158" s="1">
        <v>3911</v>
      </c>
      <c r="N158" s="1">
        <v>4.2</v>
      </c>
      <c r="O158" s="1">
        <v>-1</v>
      </c>
      <c r="P158" s="1">
        <v>-0.3</v>
      </c>
      <c r="Q158" s="1">
        <v>0</v>
      </c>
      <c r="R158" s="1">
        <v>0</v>
      </c>
      <c r="S158" s="1">
        <v>0</v>
      </c>
      <c r="T158" s="1"/>
      <c r="U158" s="1"/>
      <c r="V158" s="1"/>
      <c r="W158" s="1"/>
    </row>
    <row r="159" spans="1:23" x14ac:dyDescent="0.25">
      <c r="A159" s="1">
        <v>175</v>
      </c>
      <c r="B159" s="1">
        <v>815</v>
      </c>
      <c r="C159" s="1">
        <v>3764</v>
      </c>
      <c r="D159" s="1">
        <v>2.6</v>
      </c>
      <c r="E159" s="1">
        <v>-0.5</v>
      </c>
      <c r="F159" s="1">
        <v>-0.2</v>
      </c>
      <c r="G159" s="1">
        <v>0</v>
      </c>
      <c r="H159" s="1">
        <v>0</v>
      </c>
      <c r="I159" s="1">
        <v>0</v>
      </c>
      <c r="K159" s="1">
        <v>175</v>
      </c>
      <c r="L159" s="1">
        <v>817</v>
      </c>
      <c r="M159" s="1">
        <v>3785</v>
      </c>
      <c r="N159" s="1">
        <v>2.6</v>
      </c>
      <c r="O159" s="1">
        <v>-0.5</v>
      </c>
      <c r="P159" s="1">
        <v>-0.1</v>
      </c>
      <c r="Q159" s="1">
        <v>0</v>
      </c>
      <c r="R159" s="1">
        <v>0</v>
      </c>
      <c r="S159" s="1">
        <v>0</v>
      </c>
      <c r="T159" s="1"/>
      <c r="U159" s="1"/>
      <c r="V159" s="1"/>
      <c r="W159" s="1"/>
    </row>
    <row r="160" spans="1:23" x14ac:dyDescent="0.25">
      <c r="A160" s="10">
        <v>200</v>
      </c>
      <c r="B160" s="10">
        <v>801</v>
      </c>
      <c r="C160" s="10">
        <v>3639</v>
      </c>
      <c r="D160" s="10">
        <v>0</v>
      </c>
      <c r="E160" s="10">
        <v>0</v>
      </c>
      <c r="F160" s="10">
        <v>0</v>
      </c>
      <c r="G160" s="1">
        <v>0</v>
      </c>
      <c r="H160" s="1">
        <v>0</v>
      </c>
      <c r="I160" s="1">
        <v>0</v>
      </c>
      <c r="K160" s="1">
        <v>200</v>
      </c>
      <c r="L160" s="1">
        <v>804</v>
      </c>
      <c r="M160" s="1">
        <v>3661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/>
      <c r="U160" s="1"/>
      <c r="V160" s="1"/>
      <c r="W160" s="1"/>
    </row>
    <row r="161" spans="1:23" x14ac:dyDescent="0.25">
      <c r="A161" s="1">
        <v>225</v>
      </c>
      <c r="B161" s="1">
        <v>788</v>
      </c>
      <c r="C161" s="1">
        <v>3517</v>
      </c>
      <c r="D161" s="1">
        <v>-3.6</v>
      </c>
      <c r="E161" s="1">
        <v>0.5</v>
      </c>
      <c r="F161" s="1">
        <v>0.2</v>
      </c>
      <c r="G161" s="1">
        <v>0</v>
      </c>
      <c r="H161" s="1">
        <v>0</v>
      </c>
      <c r="I161" s="1">
        <v>0</v>
      </c>
      <c r="K161" s="1">
        <v>225</v>
      </c>
      <c r="L161" s="1">
        <v>790</v>
      </c>
      <c r="M161" s="1">
        <v>3541</v>
      </c>
      <c r="N161" s="1">
        <v>-3.6</v>
      </c>
      <c r="O161" s="1">
        <v>0.5</v>
      </c>
      <c r="P161" s="1">
        <v>0.2</v>
      </c>
      <c r="Q161" s="1">
        <v>0</v>
      </c>
      <c r="R161" s="1">
        <v>0</v>
      </c>
      <c r="S161" s="1">
        <v>0</v>
      </c>
      <c r="T161" s="1"/>
      <c r="U161" s="1"/>
      <c r="V161" s="1"/>
      <c r="W161" s="1"/>
    </row>
    <row r="162" spans="1:23" x14ac:dyDescent="0.25">
      <c r="A162" s="1">
        <v>250</v>
      </c>
      <c r="B162" s="1">
        <v>774</v>
      </c>
      <c r="C162" s="1">
        <v>3398</v>
      </c>
      <c r="D162" s="1">
        <v>-8.1</v>
      </c>
      <c r="E162" s="1">
        <v>1.1000000000000001</v>
      </c>
      <c r="F162" s="1">
        <v>0.3</v>
      </c>
      <c r="G162" s="1">
        <v>0</v>
      </c>
      <c r="H162" s="1">
        <v>0</v>
      </c>
      <c r="I162" s="1">
        <v>0</v>
      </c>
      <c r="K162" s="1">
        <v>250</v>
      </c>
      <c r="L162" s="1">
        <v>777</v>
      </c>
      <c r="M162" s="1">
        <v>3424</v>
      </c>
      <c r="N162" s="1">
        <v>-8.1</v>
      </c>
      <c r="O162" s="1">
        <v>1.1000000000000001</v>
      </c>
      <c r="P162" s="1">
        <v>0.3</v>
      </c>
      <c r="Q162" s="1">
        <v>0</v>
      </c>
      <c r="R162" s="1">
        <v>0</v>
      </c>
      <c r="S162" s="1">
        <v>0</v>
      </c>
      <c r="T162" s="1"/>
      <c r="U162" s="1"/>
      <c r="V162" s="1"/>
      <c r="W162" s="1"/>
    </row>
    <row r="163" spans="1:23" x14ac:dyDescent="0.25">
      <c r="A163" s="1">
        <v>275</v>
      </c>
      <c r="B163" s="1">
        <v>761</v>
      </c>
      <c r="C163" s="1">
        <v>3283</v>
      </c>
      <c r="D163" s="1">
        <v>-13.9</v>
      </c>
      <c r="E163" s="1">
        <v>1.7</v>
      </c>
      <c r="F163" s="1">
        <v>0.5</v>
      </c>
      <c r="G163" s="1">
        <v>0</v>
      </c>
      <c r="H163" s="1">
        <v>0</v>
      </c>
      <c r="I163" s="1">
        <v>0</v>
      </c>
      <c r="K163" s="1">
        <v>275</v>
      </c>
      <c r="L163" s="1">
        <v>764</v>
      </c>
      <c r="M163" s="1">
        <v>3309</v>
      </c>
      <c r="N163" s="1">
        <v>-13.8</v>
      </c>
      <c r="O163" s="1">
        <v>1.7</v>
      </c>
      <c r="P163" s="1">
        <v>0.5</v>
      </c>
      <c r="Q163" s="1">
        <v>0</v>
      </c>
      <c r="R163" s="1">
        <v>0</v>
      </c>
      <c r="S163" s="1">
        <v>0</v>
      </c>
    </row>
    <row r="164" spans="1:23" x14ac:dyDescent="0.25">
      <c r="A164" s="1">
        <v>300</v>
      </c>
      <c r="B164" s="1">
        <v>748</v>
      </c>
      <c r="C164" s="1">
        <v>3171</v>
      </c>
      <c r="D164" s="1">
        <v>-20.6</v>
      </c>
      <c r="E164" s="1">
        <v>2.4</v>
      </c>
      <c r="F164" s="1">
        <v>0.7</v>
      </c>
      <c r="G164" s="1">
        <v>0</v>
      </c>
      <c r="H164" s="1">
        <v>0</v>
      </c>
      <c r="I164" s="1">
        <v>0</v>
      </c>
      <c r="K164" s="1">
        <v>300</v>
      </c>
      <c r="L164" s="1">
        <v>751</v>
      </c>
      <c r="M164" s="1">
        <v>3198</v>
      </c>
      <c r="N164" s="1">
        <v>-20.5</v>
      </c>
      <c r="O164" s="1">
        <v>2.2999999999999998</v>
      </c>
      <c r="P164" s="1">
        <v>0.7</v>
      </c>
      <c r="Q164" s="1">
        <v>0</v>
      </c>
      <c r="R164" s="1">
        <v>0</v>
      </c>
      <c r="S164" s="1">
        <v>0</v>
      </c>
    </row>
    <row r="165" spans="1:23" x14ac:dyDescent="0.25">
      <c r="A165" s="1">
        <v>325</v>
      </c>
      <c r="B165" s="1">
        <v>735</v>
      </c>
      <c r="C165" s="1">
        <v>3062</v>
      </c>
      <c r="D165" s="1">
        <v>-28.4</v>
      </c>
      <c r="E165" s="1">
        <v>3</v>
      </c>
      <c r="F165" s="1">
        <v>0.9</v>
      </c>
      <c r="G165" s="1">
        <v>0</v>
      </c>
      <c r="H165" s="1">
        <v>0</v>
      </c>
      <c r="I165" s="1">
        <v>0</v>
      </c>
      <c r="K165" s="1">
        <v>325</v>
      </c>
      <c r="L165" s="1">
        <v>738</v>
      </c>
      <c r="M165" s="1">
        <v>3090</v>
      </c>
      <c r="N165" s="1">
        <v>-28.2</v>
      </c>
      <c r="O165" s="1">
        <v>3</v>
      </c>
      <c r="P165" s="1">
        <v>0.9</v>
      </c>
      <c r="Q165" s="1">
        <v>0</v>
      </c>
      <c r="R165" s="1">
        <v>0</v>
      </c>
      <c r="S165" s="1">
        <v>0</v>
      </c>
    </row>
    <row r="166" spans="1:23" x14ac:dyDescent="0.25">
      <c r="A166" s="1">
        <v>350</v>
      </c>
      <c r="B166" s="1">
        <v>722</v>
      </c>
      <c r="C166" s="1">
        <v>2955</v>
      </c>
      <c r="D166" s="1">
        <v>-37.700000000000003</v>
      </c>
      <c r="E166" s="1">
        <v>3.7</v>
      </c>
      <c r="F166" s="1">
        <v>1.1000000000000001</v>
      </c>
      <c r="G166" s="1">
        <v>0</v>
      </c>
      <c r="H166" s="1">
        <v>0</v>
      </c>
      <c r="I166" s="1">
        <v>0</v>
      </c>
      <c r="K166" s="1">
        <v>350</v>
      </c>
      <c r="L166" s="1">
        <v>725</v>
      </c>
      <c r="M166" s="1">
        <v>2984</v>
      </c>
      <c r="N166" s="1">
        <v>-37.4</v>
      </c>
      <c r="O166" s="1">
        <v>3.7</v>
      </c>
      <c r="P166" s="1">
        <v>1.1000000000000001</v>
      </c>
      <c r="Q166" s="1">
        <v>0</v>
      </c>
      <c r="R166" s="1">
        <v>0</v>
      </c>
      <c r="S166" s="1">
        <v>0</v>
      </c>
      <c r="T166" s="1"/>
      <c r="U166" s="1"/>
      <c r="V166" s="1"/>
      <c r="W166" s="1"/>
    </row>
    <row r="167" spans="1:23" x14ac:dyDescent="0.25">
      <c r="A167" s="1">
        <v>375</v>
      </c>
      <c r="B167" s="1">
        <v>709</v>
      </c>
      <c r="C167" s="1">
        <v>2852</v>
      </c>
      <c r="D167" s="1">
        <v>-47.9</v>
      </c>
      <c r="E167" s="1">
        <v>4.4000000000000004</v>
      </c>
      <c r="F167" s="1">
        <v>1.3</v>
      </c>
      <c r="G167" s="1">
        <v>0</v>
      </c>
      <c r="H167" s="1">
        <v>0</v>
      </c>
      <c r="I167" s="1">
        <v>0</v>
      </c>
      <c r="K167" s="1">
        <v>375</v>
      </c>
      <c r="L167" s="1">
        <v>713</v>
      </c>
      <c r="M167" s="1">
        <v>2881</v>
      </c>
      <c r="N167" s="1">
        <v>-47.5</v>
      </c>
      <c r="O167" s="1">
        <v>4.4000000000000004</v>
      </c>
      <c r="P167" s="1">
        <v>1.3</v>
      </c>
      <c r="Q167" s="1">
        <v>0</v>
      </c>
      <c r="R167" s="1">
        <v>0</v>
      </c>
      <c r="S167" s="1">
        <v>0</v>
      </c>
      <c r="T167" s="1"/>
      <c r="U167" s="1"/>
      <c r="V167" s="1"/>
      <c r="W167" s="1"/>
    </row>
    <row r="168" spans="1:23" x14ac:dyDescent="0.25">
      <c r="A168" s="1">
        <v>400</v>
      </c>
      <c r="B168" s="1">
        <v>697</v>
      </c>
      <c r="C168" s="1">
        <v>2751</v>
      </c>
      <c r="D168" s="1">
        <v>-59.3</v>
      </c>
      <c r="E168" s="1">
        <v>5.0999999999999996</v>
      </c>
      <c r="F168" s="1">
        <v>1.5</v>
      </c>
      <c r="G168" s="1">
        <v>0</v>
      </c>
      <c r="H168" s="1">
        <v>0</v>
      </c>
      <c r="I168" s="1">
        <v>0</v>
      </c>
      <c r="K168" s="1">
        <v>400</v>
      </c>
      <c r="L168" s="1">
        <v>700</v>
      </c>
      <c r="M168" s="1">
        <v>2781</v>
      </c>
      <c r="N168" s="1">
        <v>-58.9</v>
      </c>
      <c r="O168" s="1">
        <v>5.0999999999999996</v>
      </c>
      <c r="P168" s="1">
        <v>1.5</v>
      </c>
      <c r="Q168" s="1">
        <v>0</v>
      </c>
      <c r="R168" s="1">
        <v>0</v>
      </c>
      <c r="S168" s="1">
        <v>0</v>
      </c>
      <c r="T168" s="1"/>
      <c r="U168" s="1"/>
      <c r="V168" s="1"/>
      <c r="W168" s="1"/>
    </row>
    <row r="169" spans="1:23" x14ac:dyDescent="0.25">
      <c r="A169" s="1">
        <v>425</v>
      </c>
      <c r="B169" s="1">
        <v>684</v>
      </c>
      <c r="C169" s="1">
        <v>2653</v>
      </c>
      <c r="D169" s="1">
        <v>-72.599999999999994</v>
      </c>
      <c r="E169" s="1">
        <v>5.9</v>
      </c>
      <c r="F169" s="1">
        <v>1.7</v>
      </c>
      <c r="G169" s="1">
        <v>0</v>
      </c>
      <c r="H169" s="1">
        <v>0</v>
      </c>
      <c r="I169" s="1">
        <v>0</v>
      </c>
      <c r="K169" s="1">
        <v>425</v>
      </c>
      <c r="L169" s="1">
        <v>688</v>
      </c>
      <c r="M169" s="1">
        <v>2683</v>
      </c>
      <c r="N169" s="1">
        <v>-72</v>
      </c>
      <c r="O169" s="1">
        <v>5.8</v>
      </c>
      <c r="P169" s="1">
        <v>1.7</v>
      </c>
      <c r="Q169" s="1">
        <v>0</v>
      </c>
      <c r="R169" s="1">
        <v>0</v>
      </c>
      <c r="S169" s="1">
        <v>0</v>
      </c>
      <c r="T169" s="1"/>
      <c r="U169" s="1"/>
      <c r="V169" s="1"/>
      <c r="W169" s="1"/>
    </row>
    <row r="170" spans="1:23" x14ac:dyDescent="0.25">
      <c r="A170" s="1">
        <v>450</v>
      </c>
      <c r="B170" s="1">
        <v>672</v>
      </c>
      <c r="C170" s="1">
        <v>2558</v>
      </c>
      <c r="D170" s="1">
        <v>-86.7</v>
      </c>
      <c r="E170" s="1">
        <v>6.6</v>
      </c>
      <c r="F170" s="1">
        <v>1.9</v>
      </c>
      <c r="G170" s="1">
        <v>0</v>
      </c>
      <c r="H170" s="1">
        <v>0</v>
      </c>
      <c r="I170" s="1">
        <v>0</v>
      </c>
      <c r="K170" s="1">
        <v>450</v>
      </c>
      <c r="L170" s="1">
        <v>676</v>
      </c>
      <c r="M170" s="1">
        <v>2589</v>
      </c>
      <c r="N170" s="1">
        <v>-86.1</v>
      </c>
      <c r="O170" s="1">
        <v>6.6</v>
      </c>
      <c r="P170" s="1">
        <v>1.9</v>
      </c>
      <c r="Q170" s="1">
        <v>0</v>
      </c>
      <c r="R170" s="1">
        <v>0</v>
      </c>
      <c r="S170" s="1">
        <v>0</v>
      </c>
      <c r="T170" s="1"/>
      <c r="U170" s="1"/>
      <c r="V170" s="1"/>
      <c r="W170" s="1"/>
    </row>
    <row r="171" spans="1:23" x14ac:dyDescent="0.25">
      <c r="A171" s="1">
        <v>475</v>
      </c>
      <c r="B171" s="1">
        <v>659</v>
      </c>
      <c r="C171" s="1">
        <v>2466</v>
      </c>
      <c r="D171" s="1">
        <v>-102.3</v>
      </c>
      <c r="E171" s="1">
        <v>7.4</v>
      </c>
      <c r="F171" s="1">
        <v>2.2000000000000002</v>
      </c>
      <c r="G171" s="1">
        <v>0</v>
      </c>
      <c r="H171" s="1">
        <v>0</v>
      </c>
      <c r="I171" s="1">
        <v>0</v>
      </c>
      <c r="K171" s="1">
        <v>475</v>
      </c>
      <c r="L171" s="1">
        <v>663</v>
      </c>
      <c r="M171" s="1">
        <v>2496</v>
      </c>
      <c r="N171" s="1">
        <v>-101.5</v>
      </c>
      <c r="O171" s="1">
        <v>7.3</v>
      </c>
      <c r="P171" s="1">
        <v>2.1</v>
      </c>
      <c r="Q171" s="1">
        <v>0</v>
      </c>
      <c r="R171" s="1">
        <v>0</v>
      </c>
      <c r="S171" s="1">
        <v>0</v>
      </c>
      <c r="T171" s="1"/>
      <c r="U171" s="1"/>
      <c r="V171" s="1"/>
      <c r="W171" s="1"/>
    </row>
    <row r="172" spans="1:23" x14ac:dyDescent="0.25">
      <c r="A172" s="1">
        <v>500</v>
      </c>
      <c r="B172" s="1">
        <v>648</v>
      </c>
      <c r="C172" s="1">
        <v>2379</v>
      </c>
      <c r="D172" s="1">
        <v>-119.3</v>
      </c>
      <c r="E172" s="1">
        <v>8.1999999999999993</v>
      </c>
      <c r="F172" s="1">
        <v>2.4</v>
      </c>
      <c r="G172" s="1">
        <v>0</v>
      </c>
      <c r="H172" s="1">
        <v>0</v>
      </c>
      <c r="I172" s="1">
        <v>0</v>
      </c>
      <c r="K172" s="1">
        <v>500</v>
      </c>
      <c r="L172" s="1">
        <v>652</v>
      </c>
      <c r="M172" s="1">
        <v>2410</v>
      </c>
      <c r="N172" s="1">
        <v>-118.3</v>
      </c>
      <c r="O172" s="1">
        <v>8.1</v>
      </c>
      <c r="P172" s="1">
        <v>2.4</v>
      </c>
      <c r="Q172" s="1">
        <v>0</v>
      </c>
      <c r="R172" s="1">
        <v>0</v>
      </c>
      <c r="S172" s="1">
        <v>0</v>
      </c>
      <c r="T172" s="1"/>
      <c r="U172" s="1"/>
      <c r="V172" s="1"/>
      <c r="W172" s="1"/>
    </row>
    <row r="173" spans="1:23" x14ac:dyDescent="0.25">
      <c r="T173" s="1"/>
      <c r="U173" s="1"/>
      <c r="V173" s="1"/>
      <c r="W173" s="1"/>
    </row>
    <row r="174" spans="1:23" x14ac:dyDescent="0.25">
      <c r="A174" t="s">
        <v>74</v>
      </c>
      <c r="K174" t="s">
        <v>68</v>
      </c>
      <c r="T174" s="1"/>
      <c r="U174" s="1"/>
      <c r="V174" s="1"/>
      <c r="W174" s="1"/>
    </row>
    <row r="175" spans="1:23" x14ac:dyDescent="0.25">
      <c r="A175" t="s">
        <v>11</v>
      </c>
      <c r="B175" t="s">
        <v>12</v>
      </c>
      <c r="C175" t="s">
        <v>13</v>
      </c>
      <c r="D175" t="s">
        <v>14</v>
      </c>
      <c r="E175" t="s">
        <v>15</v>
      </c>
      <c r="F175" t="s">
        <v>16</v>
      </c>
      <c r="G175" t="s">
        <v>29</v>
      </c>
      <c r="H175" t="s">
        <v>30</v>
      </c>
      <c r="I175" t="s">
        <v>31</v>
      </c>
      <c r="K175" t="s">
        <v>11</v>
      </c>
      <c r="L175" t="s">
        <v>12</v>
      </c>
      <c r="M175" t="s">
        <v>13</v>
      </c>
      <c r="N175" t="s">
        <v>14</v>
      </c>
      <c r="O175" t="s">
        <v>15</v>
      </c>
      <c r="P175" t="s">
        <v>16</v>
      </c>
      <c r="Q175" t="s">
        <v>29</v>
      </c>
      <c r="R175" t="s">
        <v>30</v>
      </c>
      <c r="S175" t="s">
        <v>31</v>
      </c>
      <c r="T175" s="1"/>
      <c r="U175" s="1"/>
      <c r="V175" s="1"/>
      <c r="W175" s="1"/>
    </row>
    <row r="176" spans="1:23" x14ac:dyDescent="0.25">
      <c r="A176" s="1">
        <v>0</v>
      </c>
      <c r="B176" s="1">
        <v>914</v>
      </c>
      <c r="C176" s="1">
        <v>4741</v>
      </c>
      <c r="D176" s="1">
        <v>-3.8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K176" s="1">
        <v>0</v>
      </c>
      <c r="L176" s="1">
        <v>914</v>
      </c>
      <c r="M176" s="1">
        <v>4741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/>
      <c r="U176" s="1"/>
      <c r="V176" s="1"/>
      <c r="W176" s="1"/>
    </row>
    <row r="177" spans="1:23" x14ac:dyDescent="0.25">
      <c r="A177" s="1">
        <v>25</v>
      </c>
      <c r="B177" s="1">
        <v>900</v>
      </c>
      <c r="C177" s="1">
        <v>4589</v>
      </c>
      <c r="D177" s="1">
        <v>1.2</v>
      </c>
      <c r="E177" s="1">
        <v>-1.7</v>
      </c>
      <c r="F177" s="1">
        <v>-0.5</v>
      </c>
      <c r="G177" s="1">
        <v>0</v>
      </c>
      <c r="H177" s="1">
        <v>0</v>
      </c>
      <c r="I177" s="1">
        <v>0</v>
      </c>
      <c r="K177" s="1">
        <v>25</v>
      </c>
      <c r="L177" s="1">
        <v>900</v>
      </c>
      <c r="M177" s="1">
        <v>4594</v>
      </c>
      <c r="N177" s="1">
        <v>1.2</v>
      </c>
      <c r="O177" s="1">
        <v>-1.7</v>
      </c>
      <c r="P177" s="1">
        <v>-0.5</v>
      </c>
      <c r="Q177" s="1">
        <v>0</v>
      </c>
      <c r="R177" s="1">
        <v>0</v>
      </c>
      <c r="S177" s="1">
        <v>0</v>
      </c>
      <c r="T177" s="1"/>
      <c r="U177" s="1"/>
      <c r="V177" s="1"/>
      <c r="W177" s="1"/>
    </row>
    <row r="178" spans="1:23" x14ac:dyDescent="0.25">
      <c r="A178" s="1">
        <v>50</v>
      </c>
      <c r="B178" s="1">
        <v>885</v>
      </c>
      <c r="C178" s="1">
        <v>4442</v>
      </c>
      <c r="D178" s="1">
        <v>5.6</v>
      </c>
      <c r="E178" s="1">
        <v>-3.8</v>
      </c>
      <c r="F178" s="1">
        <v>-1.1000000000000001</v>
      </c>
      <c r="G178" s="1">
        <v>0</v>
      </c>
      <c r="H178" s="1">
        <v>0</v>
      </c>
      <c r="I178" s="1">
        <v>0</v>
      </c>
      <c r="K178" s="1">
        <v>50</v>
      </c>
      <c r="L178" s="1">
        <v>886</v>
      </c>
      <c r="M178" s="1">
        <v>4450</v>
      </c>
      <c r="N178" s="1">
        <v>5.6</v>
      </c>
      <c r="O178" s="1">
        <v>-3.8</v>
      </c>
      <c r="P178" s="1">
        <v>-1.1000000000000001</v>
      </c>
      <c r="Q178" s="1">
        <v>0</v>
      </c>
      <c r="R178" s="1">
        <v>0</v>
      </c>
      <c r="S178" s="1">
        <v>0</v>
      </c>
      <c r="T178" s="1"/>
      <c r="U178" s="1"/>
      <c r="V178" s="1"/>
      <c r="W178" s="1"/>
    </row>
    <row r="179" spans="1:23" x14ac:dyDescent="0.25">
      <c r="A179" s="1">
        <v>75</v>
      </c>
      <c r="B179" s="1">
        <v>871</v>
      </c>
      <c r="C179" s="1">
        <v>4299</v>
      </c>
      <c r="D179" s="1">
        <v>9.1</v>
      </c>
      <c r="E179" s="1">
        <v>-4.2</v>
      </c>
      <c r="F179" s="1">
        <v>-1.2</v>
      </c>
      <c r="G179" s="1">
        <v>0</v>
      </c>
      <c r="H179" s="1">
        <v>0</v>
      </c>
      <c r="I179" s="1">
        <v>0</v>
      </c>
      <c r="K179" s="1">
        <v>75</v>
      </c>
      <c r="L179" s="1">
        <v>872</v>
      </c>
      <c r="M179" s="1">
        <v>4311</v>
      </c>
      <c r="N179" s="1">
        <v>9</v>
      </c>
      <c r="O179" s="1">
        <v>-4.0999999999999996</v>
      </c>
      <c r="P179" s="1">
        <v>-1.2</v>
      </c>
      <c r="Q179" s="1">
        <v>0</v>
      </c>
      <c r="R179" s="1">
        <v>0</v>
      </c>
      <c r="S179" s="1">
        <v>0</v>
      </c>
      <c r="T179" s="1"/>
      <c r="U179" s="1"/>
      <c r="V179" s="1"/>
      <c r="W179" s="1"/>
    </row>
    <row r="180" spans="1:23" x14ac:dyDescent="0.25">
      <c r="A180" s="1">
        <v>100</v>
      </c>
      <c r="B180" s="1">
        <v>856</v>
      </c>
      <c r="C180" s="1">
        <v>4160</v>
      </c>
      <c r="D180" s="1">
        <v>11.7</v>
      </c>
      <c r="E180" s="1">
        <v>-4</v>
      </c>
      <c r="F180" s="1">
        <v>-1.2</v>
      </c>
      <c r="G180" s="1">
        <v>0</v>
      </c>
      <c r="H180" s="1">
        <v>0</v>
      </c>
      <c r="I180" s="1">
        <v>0</v>
      </c>
      <c r="K180" s="1">
        <v>100</v>
      </c>
      <c r="L180" s="1">
        <v>858</v>
      </c>
      <c r="M180" s="1">
        <v>4174</v>
      </c>
      <c r="N180" s="1">
        <v>11.7</v>
      </c>
      <c r="O180" s="1">
        <v>-4</v>
      </c>
      <c r="P180" s="1">
        <v>-1.2</v>
      </c>
      <c r="Q180" s="1">
        <v>0</v>
      </c>
      <c r="R180" s="1">
        <v>0</v>
      </c>
      <c r="S180" s="1">
        <v>0</v>
      </c>
      <c r="T180" s="1"/>
      <c r="U180" s="1"/>
      <c r="V180" s="1"/>
      <c r="W180" s="1"/>
    </row>
    <row r="181" spans="1:23" x14ac:dyDescent="0.25">
      <c r="A181" s="1">
        <v>125</v>
      </c>
      <c r="B181" s="1">
        <v>842</v>
      </c>
      <c r="C181" s="1">
        <v>4024</v>
      </c>
      <c r="D181" s="1">
        <v>13.6</v>
      </c>
      <c r="E181" s="1">
        <v>-3.7</v>
      </c>
      <c r="F181" s="1">
        <v>-1.1000000000000001</v>
      </c>
      <c r="G181" s="1">
        <v>0</v>
      </c>
      <c r="H181" s="1">
        <v>0</v>
      </c>
      <c r="I181" s="1">
        <v>0</v>
      </c>
      <c r="K181" s="1">
        <v>125</v>
      </c>
      <c r="L181" s="1">
        <v>844</v>
      </c>
      <c r="M181" s="1">
        <v>4041</v>
      </c>
      <c r="N181" s="1">
        <v>13.5</v>
      </c>
      <c r="O181" s="1">
        <v>-3.7</v>
      </c>
      <c r="P181" s="1">
        <v>-1.1000000000000001</v>
      </c>
      <c r="Q181" s="1">
        <v>0</v>
      </c>
      <c r="R181" s="1">
        <v>0</v>
      </c>
      <c r="S181" s="1">
        <v>0</v>
      </c>
      <c r="T181" s="1"/>
      <c r="U181" s="1"/>
      <c r="V181" s="1"/>
      <c r="W181" s="1"/>
    </row>
    <row r="182" spans="1:23" x14ac:dyDescent="0.25">
      <c r="A182" s="1">
        <v>150</v>
      </c>
      <c r="B182" s="1">
        <v>828</v>
      </c>
      <c r="C182" s="1">
        <v>3892</v>
      </c>
      <c r="D182" s="1">
        <v>14.6</v>
      </c>
      <c r="E182" s="1">
        <v>-3.3</v>
      </c>
      <c r="F182" s="1">
        <v>-1</v>
      </c>
      <c r="G182" s="1">
        <v>0</v>
      </c>
      <c r="H182" s="1">
        <v>0</v>
      </c>
      <c r="I182" s="1">
        <v>0</v>
      </c>
      <c r="K182" s="1">
        <v>150</v>
      </c>
      <c r="L182" s="1">
        <v>831</v>
      </c>
      <c r="M182" s="1">
        <v>3911</v>
      </c>
      <c r="N182" s="1">
        <v>14.5</v>
      </c>
      <c r="O182" s="1">
        <v>-3.3</v>
      </c>
      <c r="P182" s="1">
        <v>-1</v>
      </c>
      <c r="Q182" s="1">
        <v>0</v>
      </c>
      <c r="R182" s="1">
        <v>0</v>
      </c>
      <c r="S182" s="1">
        <v>0</v>
      </c>
      <c r="T182" s="1"/>
      <c r="U182" s="1"/>
      <c r="V182" s="1"/>
      <c r="W182" s="1"/>
    </row>
    <row r="183" spans="1:23" x14ac:dyDescent="0.25">
      <c r="A183" s="1">
        <v>175</v>
      </c>
      <c r="B183" s="1">
        <v>815</v>
      </c>
      <c r="C183" s="1">
        <v>3764</v>
      </c>
      <c r="D183" s="1">
        <v>14.6</v>
      </c>
      <c r="E183" s="1">
        <v>-2.9</v>
      </c>
      <c r="F183" s="1">
        <v>-0.8</v>
      </c>
      <c r="G183" s="1">
        <v>0</v>
      </c>
      <c r="H183" s="1">
        <v>0</v>
      </c>
      <c r="I183" s="1">
        <v>0</v>
      </c>
      <c r="K183" s="1">
        <v>175</v>
      </c>
      <c r="L183" s="1">
        <v>817</v>
      </c>
      <c r="M183" s="1">
        <v>3785</v>
      </c>
      <c r="N183" s="1">
        <v>14.5</v>
      </c>
      <c r="O183" s="1">
        <v>-2.9</v>
      </c>
      <c r="P183" s="1">
        <v>-0.8</v>
      </c>
      <c r="Q183" s="1">
        <v>0</v>
      </c>
      <c r="R183" s="1">
        <v>0</v>
      </c>
      <c r="S183" s="1">
        <v>0</v>
      </c>
      <c r="T183" s="1"/>
      <c r="U183" s="1"/>
      <c r="V183" s="1"/>
      <c r="W183" s="1"/>
    </row>
    <row r="184" spans="1:23" x14ac:dyDescent="0.25">
      <c r="A184" s="1">
        <v>200</v>
      </c>
      <c r="B184" s="1">
        <v>801</v>
      </c>
      <c r="C184" s="1">
        <v>3639</v>
      </c>
      <c r="D184" s="1">
        <v>13.7</v>
      </c>
      <c r="E184" s="1">
        <v>-2.4</v>
      </c>
      <c r="F184" s="1">
        <v>-0.7</v>
      </c>
      <c r="G184" s="1">
        <v>0</v>
      </c>
      <c r="H184" s="1">
        <v>0</v>
      </c>
      <c r="I184" s="1">
        <v>0</v>
      </c>
      <c r="K184" s="1">
        <v>200</v>
      </c>
      <c r="L184" s="1">
        <v>804</v>
      </c>
      <c r="M184" s="1">
        <v>3661</v>
      </c>
      <c r="N184" s="1">
        <v>13.6</v>
      </c>
      <c r="O184" s="1">
        <v>-2.2999999999999998</v>
      </c>
      <c r="P184" s="1">
        <v>-0.7</v>
      </c>
      <c r="Q184" s="1">
        <v>0</v>
      </c>
      <c r="R184" s="1">
        <v>0</v>
      </c>
      <c r="S184" s="1">
        <v>0</v>
      </c>
      <c r="T184" s="1"/>
      <c r="U184" s="1"/>
      <c r="V184" s="1"/>
      <c r="W184" s="1"/>
    </row>
    <row r="185" spans="1:23" x14ac:dyDescent="0.25">
      <c r="A185" s="1">
        <v>225</v>
      </c>
      <c r="B185" s="1">
        <v>788</v>
      </c>
      <c r="C185" s="1">
        <v>3517</v>
      </c>
      <c r="D185" s="1">
        <v>11.9</v>
      </c>
      <c r="E185" s="1">
        <v>-1.8</v>
      </c>
      <c r="F185" s="1">
        <v>-0.5</v>
      </c>
      <c r="G185" s="1">
        <v>0</v>
      </c>
      <c r="H185" s="1">
        <v>0</v>
      </c>
      <c r="I185" s="1">
        <v>0</v>
      </c>
      <c r="K185" s="1">
        <v>225</v>
      </c>
      <c r="L185" s="1">
        <v>790</v>
      </c>
      <c r="M185" s="1">
        <v>3541</v>
      </c>
      <c r="N185" s="1">
        <v>11.8</v>
      </c>
      <c r="O185" s="1">
        <v>-1.8</v>
      </c>
      <c r="P185" s="1">
        <v>-0.5</v>
      </c>
      <c r="Q185" s="1">
        <v>0</v>
      </c>
      <c r="R185" s="1">
        <v>0</v>
      </c>
      <c r="S185" s="1">
        <v>0</v>
      </c>
      <c r="T185" s="1"/>
      <c r="U185" s="1"/>
      <c r="V185" s="1"/>
      <c r="W185" s="1"/>
    </row>
    <row r="186" spans="1:23" x14ac:dyDescent="0.25">
      <c r="A186" s="1">
        <v>250</v>
      </c>
      <c r="B186" s="1">
        <v>774</v>
      </c>
      <c r="C186" s="1">
        <v>3398</v>
      </c>
      <c r="D186" s="1">
        <v>9</v>
      </c>
      <c r="E186" s="1">
        <v>-1.2</v>
      </c>
      <c r="F186" s="1">
        <v>-0.4</v>
      </c>
      <c r="G186" s="1">
        <v>0</v>
      </c>
      <c r="H186" s="1">
        <v>0</v>
      </c>
      <c r="I186" s="1">
        <v>0</v>
      </c>
      <c r="K186" s="1">
        <v>250</v>
      </c>
      <c r="L186" s="1">
        <v>777</v>
      </c>
      <c r="M186" s="1">
        <v>3424</v>
      </c>
      <c r="N186" s="1">
        <v>9</v>
      </c>
      <c r="O186" s="1">
        <v>-1.2</v>
      </c>
      <c r="P186" s="1">
        <v>-0.4</v>
      </c>
      <c r="Q186" s="1">
        <v>0</v>
      </c>
      <c r="R186" s="1">
        <v>0</v>
      </c>
      <c r="S186" s="1">
        <v>0</v>
      </c>
      <c r="T186" s="1"/>
      <c r="U186" s="1"/>
      <c r="V186" s="1"/>
      <c r="W186" s="1"/>
    </row>
    <row r="187" spans="1:23" x14ac:dyDescent="0.25">
      <c r="A187" s="1">
        <v>275</v>
      </c>
      <c r="B187" s="1">
        <v>761</v>
      </c>
      <c r="C187" s="1">
        <v>3283</v>
      </c>
      <c r="D187" s="1">
        <v>5</v>
      </c>
      <c r="E187" s="1">
        <v>-0.6</v>
      </c>
      <c r="F187" s="1">
        <v>-0.2</v>
      </c>
      <c r="G187" s="1">
        <v>0</v>
      </c>
      <c r="H187" s="1">
        <v>0</v>
      </c>
      <c r="I187" s="1">
        <v>0</v>
      </c>
      <c r="K187" s="1">
        <v>275</v>
      </c>
      <c r="L187" s="1">
        <v>764</v>
      </c>
      <c r="M187" s="1">
        <v>3309</v>
      </c>
      <c r="N187" s="1">
        <v>5</v>
      </c>
      <c r="O187" s="1">
        <v>-0.6</v>
      </c>
      <c r="P187" s="1">
        <v>-0.2</v>
      </c>
      <c r="Q187" s="1">
        <v>0</v>
      </c>
      <c r="R187" s="1">
        <v>0</v>
      </c>
      <c r="S187" s="1">
        <v>0</v>
      </c>
    </row>
    <row r="188" spans="1:23" x14ac:dyDescent="0.25">
      <c r="A188" s="10">
        <v>300</v>
      </c>
      <c r="B188" s="10">
        <v>748</v>
      </c>
      <c r="C188" s="10">
        <v>3171</v>
      </c>
      <c r="D188" s="10">
        <v>0</v>
      </c>
      <c r="E188" s="10">
        <v>0</v>
      </c>
      <c r="F188" s="10">
        <v>0</v>
      </c>
      <c r="G188" s="1">
        <v>0</v>
      </c>
      <c r="H188" s="1">
        <v>0</v>
      </c>
      <c r="I188" s="1">
        <v>0</v>
      </c>
      <c r="K188" s="1">
        <v>300</v>
      </c>
      <c r="L188" s="1">
        <v>751</v>
      </c>
      <c r="M188" s="1">
        <v>3198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23" x14ac:dyDescent="0.25">
      <c r="A189" s="1">
        <v>325</v>
      </c>
      <c r="B189" s="1">
        <v>735</v>
      </c>
      <c r="C189" s="1">
        <v>3062</v>
      </c>
      <c r="D189" s="1">
        <v>-6.1</v>
      </c>
      <c r="E189" s="1">
        <v>0.6</v>
      </c>
      <c r="F189" s="1">
        <v>0.2</v>
      </c>
      <c r="G189" s="1">
        <v>0</v>
      </c>
      <c r="H189" s="1">
        <v>0</v>
      </c>
      <c r="I189" s="1">
        <v>0</v>
      </c>
      <c r="K189" s="1">
        <v>325</v>
      </c>
      <c r="L189" s="1">
        <v>738</v>
      </c>
      <c r="M189" s="1">
        <v>3089</v>
      </c>
      <c r="N189" s="1">
        <v>-6</v>
      </c>
      <c r="O189" s="1">
        <v>0.6</v>
      </c>
      <c r="P189" s="1">
        <v>0.2</v>
      </c>
      <c r="Q189" s="1">
        <v>0</v>
      </c>
      <c r="R189" s="1">
        <v>0</v>
      </c>
      <c r="S189" s="1">
        <v>0</v>
      </c>
    </row>
    <row r="190" spans="1:23" x14ac:dyDescent="0.25">
      <c r="A190" s="1">
        <v>350</v>
      </c>
      <c r="B190" s="1">
        <v>722</v>
      </c>
      <c r="C190" s="1">
        <v>2955</v>
      </c>
      <c r="D190" s="1">
        <v>-13.6</v>
      </c>
      <c r="E190" s="1">
        <v>1.3</v>
      </c>
      <c r="F190" s="1">
        <v>0.4</v>
      </c>
      <c r="G190" s="1">
        <v>0</v>
      </c>
      <c r="H190" s="1">
        <v>0</v>
      </c>
      <c r="I190" s="1">
        <v>0</v>
      </c>
      <c r="K190" s="1">
        <v>350</v>
      </c>
      <c r="L190" s="1">
        <v>725</v>
      </c>
      <c r="M190" s="1">
        <v>2984</v>
      </c>
      <c r="N190" s="1">
        <v>-13.5</v>
      </c>
      <c r="O190" s="1">
        <v>1.3</v>
      </c>
      <c r="P190" s="1">
        <v>0.4</v>
      </c>
      <c r="Q190" s="1">
        <v>0</v>
      </c>
      <c r="R190" s="1">
        <v>0</v>
      </c>
      <c r="S190" s="1">
        <v>0</v>
      </c>
      <c r="T190" s="1"/>
      <c r="U190" s="1"/>
      <c r="V190" s="1"/>
      <c r="W190" s="1"/>
    </row>
    <row r="191" spans="1:23" x14ac:dyDescent="0.25">
      <c r="A191" s="1">
        <v>375</v>
      </c>
      <c r="B191" s="1">
        <v>709</v>
      </c>
      <c r="C191" s="1">
        <v>2852</v>
      </c>
      <c r="D191" s="1">
        <v>-22.1</v>
      </c>
      <c r="E191" s="1">
        <v>2</v>
      </c>
      <c r="F191" s="1">
        <v>0.6</v>
      </c>
      <c r="G191" s="1">
        <v>0</v>
      </c>
      <c r="H191" s="1">
        <v>0</v>
      </c>
      <c r="I191" s="1">
        <v>0</v>
      </c>
      <c r="K191" s="1">
        <v>375</v>
      </c>
      <c r="L191" s="1">
        <v>713</v>
      </c>
      <c r="M191" s="1">
        <v>2881</v>
      </c>
      <c r="N191" s="1">
        <v>-22</v>
      </c>
      <c r="O191" s="1">
        <v>2</v>
      </c>
      <c r="P191" s="1">
        <v>0.6</v>
      </c>
      <c r="Q191" s="1">
        <v>0</v>
      </c>
      <c r="R191" s="1">
        <v>0</v>
      </c>
      <c r="S191" s="1">
        <v>0</v>
      </c>
      <c r="T191" s="1"/>
      <c r="U191" s="1"/>
      <c r="V191" s="1"/>
      <c r="W191" s="1"/>
    </row>
    <row r="192" spans="1:23" x14ac:dyDescent="0.25">
      <c r="A192" s="1">
        <v>400</v>
      </c>
      <c r="B192" s="1">
        <v>697</v>
      </c>
      <c r="C192" s="1">
        <v>2751</v>
      </c>
      <c r="D192" s="1">
        <v>-31.9</v>
      </c>
      <c r="E192" s="1">
        <v>2.7</v>
      </c>
      <c r="F192" s="1">
        <v>0.8</v>
      </c>
      <c r="G192" s="1">
        <v>0</v>
      </c>
      <c r="H192" s="1">
        <v>0</v>
      </c>
      <c r="I192" s="1">
        <v>0</v>
      </c>
      <c r="K192" s="1">
        <v>400</v>
      </c>
      <c r="L192" s="1">
        <v>700</v>
      </c>
      <c r="M192" s="1">
        <v>2781</v>
      </c>
      <c r="N192" s="1">
        <v>-31.6</v>
      </c>
      <c r="O192" s="1">
        <v>2.7</v>
      </c>
      <c r="P192" s="1">
        <v>0.8</v>
      </c>
      <c r="Q192" s="1">
        <v>0</v>
      </c>
      <c r="R192" s="1">
        <v>0</v>
      </c>
      <c r="S192" s="1">
        <v>0</v>
      </c>
      <c r="T192" s="1"/>
      <c r="U192" s="1"/>
      <c r="V192" s="1"/>
      <c r="W192" s="1"/>
    </row>
    <row r="193" spans="1:23" x14ac:dyDescent="0.25">
      <c r="A193" s="1">
        <v>425</v>
      </c>
      <c r="B193" s="1">
        <v>684</v>
      </c>
      <c r="C193" s="1">
        <v>2653</v>
      </c>
      <c r="D193" s="1">
        <v>-43.4</v>
      </c>
      <c r="E193" s="1">
        <v>3.5</v>
      </c>
      <c r="F193" s="1">
        <v>1</v>
      </c>
      <c r="G193" s="1">
        <v>0</v>
      </c>
      <c r="H193" s="1">
        <v>0</v>
      </c>
      <c r="I193" s="1">
        <v>0</v>
      </c>
      <c r="K193" s="1">
        <v>425</v>
      </c>
      <c r="L193" s="1">
        <v>688</v>
      </c>
      <c r="M193" s="1">
        <v>2683</v>
      </c>
      <c r="N193" s="1">
        <v>-43</v>
      </c>
      <c r="O193" s="1">
        <v>3.5</v>
      </c>
      <c r="P193" s="1">
        <v>1</v>
      </c>
      <c r="Q193" s="1">
        <v>0</v>
      </c>
      <c r="R193" s="1">
        <v>0</v>
      </c>
      <c r="S193" s="1">
        <v>0</v>
      </c>
      <c r="T193" s="1"/>
      <c r="U193" s="1"/>
      <c r="V193" s="1"/>
      <c r="W193" s="1"/>
    </row>
    <row r="194" spans="1:23" x14ac:dyDescent="0.25">
      <c r="A194" s="1">
        <v>450</v>
      </c>
      <c r="B194" s="1">
        <v>672</v>
      </c>
      <c r="C194" s="1">
        <v>2558</v>
      </c>
      <c r="D194" s="1">
        <v>-55.8</v>
      </c>
      <c r="E194" s="1">
        <v>4.3</v>
      </c>
      <c r="F194" s="1">
        <v>1.2</v>
      </c>
      <c r="G194" s="1">
        <v>0</v>
      </c>
      <c r="H194" s="1">
        <v>0</v>
      </c>
      <c r="I194" s="1">
        <v>0</v>
      </c>
      <c r="K194" s="1">
        <v>450</v>
      </c>
      <c r="L194" s="1">
        <v>676</v>
      </c>
      <c r="M194" s="1">
        <v>2588</v>
      </c>
      <c r="N194" s="1">
        <v>-55.4</v>
      </c>
      <c r="O194" s="1">
        <v>4.2</v>
      </c>
      <c r="P194" s="1">
        <v>1.2</v>
      </c>
      <c r="Q194" s="1">
        <v>0</v>
      </c>
      <c r="R194" s="1">
        <v>0</v>
      </c>
      <c r="S194" s="1">
        <v>0</v>
      </c>
      <c r="T194" s="1"/>
      <c r="U194" s="1"/>
      <c r="V194" s="1"/>
      <c r="W194" s="1"/>
    </row>
    <row r="195" spans="1:23" x14ac:dyDescent="0.25">
      <c r="A195" s="1">
        <v>475</v>
      </c>
      <c r="B195" s="1">
        <v>659</v>
      </c>
      <c r="C195" s="1">
        <v>2466</v>
      </c>
      <c r="D195" s="1">
        <v>-69.7</v>
      </c>
      <c r="E195" s="1">
        <v>5</v>
      </c>
      <c r="F195" s="1">
        <v>1.5</v>
      </c>
      <c r="G195" s="1">
        <v>0</v>
      </c>
      <c r="H195" s="1">
        <v>0</v>
      </c>
      <c r="I195" s="1">
        <v>0</v>
      </c>
      <c r="K195" s="1">
        <v>475</v>
      </c>
      <c r="L195" s="1">
        <v>663</v>
      </c>
      <c r="M195" s="1">
        <v>2496</v>
      </c>
      <c r="N195" s="1">
        <v>-69.099999999999994</v>
      </c>
      <c r="O195" s="1">
        <v>5</v>
      </c>
      <c r="P195" s="1">
        <v>1.5</v>
      </c>
      <c r="Q195" s="1">
        <v>0</v>
      </c>
      <c r="R195" s="1">
        <v>0</v>
      </c>
      <c r="S195" s="1">
        <v>0</v>
      </c>
      <c r="T195" s="1"/>
      <c r="U195" s="1"/>
      <c r="V195" s="1"/>
      <c r="W195" s="1"/>
    </row>
    <row r="196" spans="1:23" x14ac:dyDescent="0.25">
      <c r="A196" s="1">
        <v>500</v>
      </c>
      <c r="B196" s="1">
        <v>648</v>
      </c>
      <c r="C196" s="1">
        <v>2379</v>
      </c>
      <c r="D196" s="1">
        <v>-85</v>
      </c>
      <c r="E196" s="1">
        <v>5.9</v>
      </c>
      <c r="F196" s="1">
        <v>1.7</v>
      </c>
      <c r="G196" s="1">
        <v>0</v>
      </c>
      <c r="H196" s="1">
        <v>0</v>
      </c>
      <c r="I196" s="1">
        <v>0</v>
      </c>
      <c r="K196" s="1">
        <v>500</v>
      </c>
      <c r="L196" s="1">
        <v>652</v>
      </c>
      <c r="M196" s="1">
        <v>2410</v>
      </c>
      <c r="N196" s="1">
        <v>-84.3</v>
      </c>
      <c r="O196" s="1">
        <v>5.8</v>
      </c>
      <c r="P196" s="1">
        <v>1.7</v>
      </c>
      <c r="Q196" s="1">
        <v>0</v>
      </c>
      <c r="R196" s="1">
        <v>0</v>
      </c>
      <c r="S196" s="1">
        <v>0</v>
      </c>
      <c r="T196" s="1"/>
      <c r="U196" s="1"/>
      <c r="V196" s="1"/>
      <c r="W196" s="1"/>
    </row>
    <row r="197" spans="1:23" x14ac:dyDescent="0.25">
      <c r="T197" s="1"/>
      <c r="U197" s="1"/>
      <c r="V197" s="1"/>
      <c r="W197" s="1"/>
    </row>
    <row r="198" spans="1:23" x14ac:dyDescent="0.25">
      <c r="A198" t="s">
        <v>75</v>
      </c>
      <c r="K198" t="s">
        <v>69</v>
      </c>
      <c r="T198" s="1"/>
      <c r="U198" s="1"/>
      <c r="V198" s="1"/>
      <c r="W198" s="1"/>
    </row>
    <row r="199" spans="1:23" x14ac:dyDescent="0.25">
      <c r="A199" t="s">
        <v>11</v>
      </c>
      <c r="B199" t="s">
        <v>12</v>
      </c>
      <c r="C199" t="s">
        <v>13</v>
      </c>
      <c r="D199" t="s">
        <v>14</v>
      </c>
      <c r="E199" t="s">
        <v>15</v>
      </c>
      <c r="F199" t="s">
        <v>16</v>
      </c>
      <c r="G199" t="s">
        <v>29</v>
      </c>
      <c r="H199" t="s">
        <v>30</v>
      </c>
      <c r="I199" t="s">
        <v>31</v>
      </c>
      <c r="K199" t="s">
        <v>11</v>
      </c>
      <c r="L199" t="s">
        <v>12</v>
      </c>
      <c r="M199" t="s">
        <v>13</v>
      </c>
      <c r="N199" t="s">
        <v>14</v>
      </c>
      <c r="O199" t="s">
        <v>15</v>
      </c>
      <c r="P199" t="s">
        <v>16</v>
      </c>
      <c r="Q199" t="s">
        <v>29</v>
      </c>
      <c r="R199" t="s">
        <v>30</v>
      </c>
      <c r="S199" t="s">
        <v>31</v>
      </c>
      <c r="T199" s="1"/>
      <c r="U199" s="1"/>
      <c r="V199" s="1"/>
      <c r="W199" s="1"/>
    </row>
    <row r="200" spans="1:23" x14ac:dyDescent="0.25">
      <c r="A200" s="1">
        <v>0</v>
      </c>
      <c r="B200" s="1">
        <v>914</v>
      </c>
      <c r="C200" s="1">
        <v>4741</v>
      </c>
      <c r="D200" s="1">
        <v>-3.8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K200" s="1">
        <v>0</v>
      </c>
      <c r="L200" s="1">
        <v>914</v>
      </c>
      <c r="M200" s="1">
        <v>4741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/>
      <c r="U200" s="1"/>
      <c r="V200" s="1"/>
      <c r="W200" s="1"/>
    </row>
    <row r="201" spans="1:23" x14ac:dyDescent="0.25">
      <c r="A201" s="1">
        <v>25</v>
      </c>
      <c r="B201" s="1">
        <v>900</v>
      </c>
      <c r="C201" s="1">
        <v>4589</v>
      </c>
      <c r="D201" s="1">
        <v>3.2</v>
      </c>
      <c r="E201" s="1">
        <v>-4.4000000000000004</v>
      </c>
      <c r="F201" s="1">
        <v>-1.3</v>
      </c>
      <c r="G201" s="1">
        <v>0</v>
      </c>
      <c r="H201" s="1">
        <v>0</v>
      </c>
      <c r="I201" s="1">
        <v>0</v>
      </c>
      <c r="K201" s="1">
        <v>25</v>
      </c>
      <c r="L201" s="1">
        <v>900</v>
      </c>
      <c r="M201" s="1">
        <v>4594</v>
      </c>
      <c r="N201" s="1">
        <v>3.2</v>
      </c>
      <c r="O201" s="1">
        <v>-4.4000000000000004</v>
      </c>
      <c r="P201" s="1">
        <v>-1.3</v>
      </c>
      <c r="Q201" s="1">
        <v>0</v>
      </c>
      <c r="R201" s="1">
        <v>0</v>
      </c>
      <c r="S201" s="1">
        <v>0</v>
      </c>
      <c r="T201" s="1"/>
      <c r="U201" s="1"/>
      <c r="V201" s="1"/>
      <c r="W201" s="1"/>
    </row>
    <row r="202" spans="1:23" x14ac:dyDescent="0.25">
      <c r="A202" s="1">
        <v>50</v>
      </c>
      <c r="B202" s="1">
        <v>885</v>
      </c>
      <c r="C202" s="1">
        <v>4442</v>
      </c>
      <c r="D202" s="1">
        <v>9.6999999999999993</v>
      </c>
      <c r="E202" s="1">
        <v>-6.6</v>
      </c>
      <c r="F202" s="1">
        <v>-1.9</v>
      </c>
      <c r="G202" s="1">
        <v>0</v>
      </c>
      <c r="H202" s="1">
        <v>0</v>
      </c>
      <c r="I202" s="1">
        <v>0</v>
      </c>
      <c r="K202" s="1">
        <v>50</v>
      </c>
      <c r="L202" s="1">
        <v>886</v>
      </c>
      <c r="M202" s="1">
        <v>4450</v>
      </c>
      <c r="N202" s="1">
        <v>9.6</v>
      </c>
      <c r="O202" s="1">
        <v>-6.5</v>
      </c>
      <c r="P202" s="1">
        <v>-1.9</v>
      </c>
      <c r="Q202" s="1">
        <v>0</v>
      </c>
      <c r="R202" s="1">
        <v>0</v>
      </c>
      <c r="S202" s="1">
        <v>0</v>
      </c>
      <c r="T202" s="1"/>
      <c r="U202" s="1"/>
      <c r="V202" s="1"/>
      <c r="W202" s="1"/>
    </row>
    <row r="203" spans="1:23" x14ac:dyDescent="0.25">
      <c r="A203" s="1">
        <v>75</v>
      </c>
      <c r="B203" s="1">
        <v>871</v>
      </c>
      <c r="C203" s="1">
        <v>4299</v>
      </c>
      <c r="D203" s="1">
        <v>15.1</v>
      </c>
      <c r="E203" s="1">
        <v>-6.9</v>
      </c>
      <c r="F203" s="1">
        <v>-2</v>
      </c>
      <c r="G203" s="1">
        <v>0</v>
      </c>
      <c r="H203" s="1">
        <v>0</v>
      </c>
      <c r="I203" s="1">
        <v>0</v>
      </c>
      <c r="K203" s="1">
        <v>75</v>
      </c>
      <c r="L203" s="1">
        <v>872</v>
      </c>
      <c r="M203" s="1">
        <v>4311</v>
      </c>
      <c r="N203" s="1">
        <v>15</v>
      </c>
      <c r="O203" s="1">
        <v>-6.9</v>
      </c>
      <c r="P203" s="1">
        <v>-2</v>
      </c>
      <c r="Q203" s="1">
        <v>0</v>
      </c>
      <c r="R203" s="1">
        <v>0</v>
      </c>
      <c r="S203" s="1">
        <v>0</v>
      </c>
      <c r="T203" s="1"/>
      <c r="U203" s="1"/>
      <c r="V203" s="1"/>
      <c r="W203" s="1"/>
    </row>
    <row r="204" spans="1:23" x14ac:dyDescent="0.25">
      <c r="A204" s="1">
        <v>100</v>
      </c>
      <c r="B204" s="1">
        <v>856</v>
      </c>
      <c r="C204" s="1">
        <v>4160</v>
      </c>
      <c r="D204" s="1">
        <v>19.7</v>
      </c>
      <c r="E204" s="1">
        <v>-6.8</v>
      </c>
      <c r="F204" s="1">
        <v>-2</v>
      </c>
      <c r="G204" s="1">
        <v>0</v>
      </c>
      <c r="H204" s="1">
        <v>0</v>
      </c>
      <c r="I204" s="1">
        <v>0</v>
      </c>
      <c r="K204" s="1">
        <v>100</v>
      </c>
      <c r="L204" s="1">
        <v>858</v>
      </c>
      <c r="M204" s="1">
        <v>4174</v>
      </c>
      <c r="N204" s="1">
        <v>19.600000000000001</v>
      </c>
      <c r="O204" s="1">
        <v>-6.7</v>
      </c>
      <c r="P204" s="1">
        <v>-2</v>
      </c>
      <c r="Q204" s="1">
        <v>0</v>
      </c>
      <c r="R204" s="1">
        <v>0</v>
      </c>
      <c r="S204" s="1">
        <v>0</v>
      </c>
      <c r="T204" s="1"/>
      <c r="U204" s="1"/>
      <c r="V204" s="1"/>
      <c r="W204" s="1"/>
    </row>
    <row r="205" spans="1:23" x14ac:dyDescent="0.25">
      <c r="A205" s="1">
        <v>125</v>
      </c>
      <c r="B205" s="1">
        <v>842</v>
      </c>
      <c r="C205" s="1">
        <v>4024</v>
      </c>
      <c r="D205" s="1">
        <v>23.7</v>
      </c>
      <c r="E205" s="1">
        <v>-6.5</v>
      </c>
      <c r="F205" s="1">
        <v>-1.9</v>
      </c>
      <c r="G205" s="1">
        <v>0</v>
      </c>
      <c r="H205" s="1">
        <v>0</v>
      </c>
      <c r="I205" s="1">
        <v>0</v>
      </c>
      <c r="K205" s="1">
        <v>125</v>
      </c>
      <c r="L205" s="1">
        <v>844</v>
      </c>
      <c r="M205" s="1">
        <v>4041</v>
      </c>
      <c r="N205" s="1">
        <v>23.5</v>
      </c>
      <c r="O205" s="1">
        <v>-6.4</v>
      </c>
      <c r="P205" s="1">
        <v>-1.9</v>
      </c>
      <c r="Q205" s="1">
        <v>0</v>
      </c>
      <c r="R205" s="1">
        <v>0</v>
      </c>
      <c r="S205" s="1">
        <v>0</v>
      </c>
      <c r="T205" s="1"/>
      <c r="U205" s="1"/>
      <c r="V205" s="1"/>
      <c r="W205" s="1"/>
    </row>
    <row r="206" spans="1:23" x14ac:dyDescent="0.25">
      <c r="A206" s="1">
        <v>150</v>
      </c>
      <c r="B206" s="1">
        <v>828</v>
      </c>
      <c r="C206" s="1">
        <v>3892</v>
      </c>
      <c r="D206" s="1">
        <v>26.6</v>
      </c>
      <c r="E206" s="1">
        <v>-6.1</v>
      </c>
      <c r="F206" s="1">
        <v>-1.8</v>
      </c>
      <c r="G206" s="1">
        <v>0</v>
      </c>
      <c r="H206" s="1">
        <v>0</v>
      </c>
      <c r="I206" s="1">
        <v>0</v>
      </c>
      <c r="K206" s="1">
        <v>150</v>
      </c>
      <c r="L206" s="1">
        <v>831</v>
      </c>
      <c r="M206" s="1">
        <v>3911</v>
      </c>
      <c r="N206" s="1">
        <v>26.4</v>
      </c>
      <c r="O206" s="1">
        <v>-6</v>
      </c>
      <c r="P206" s="1">
        <v>-1.8</v>
      </c>
      <c r="Q206" s="1">
        <v>0</v>
      </c>
      <c r="R206" s="1">
        <v>0</v>
      </c>
      <c r="S206" s="1">
        <v>0</v>
      </c>
      <c r="T206" s="1"/>
      <c r="U206" s="1"/>
      <c r="V206" s="1"/>
      <c r="W206" s="1"/>
    </row>
    <row r="207" spans="1:23" x14ac:dyDescent="0.25">
      <c r="A207" s="1">
        <v>175</v>
      </c>
      <c r="B207" s="1">
        <v>815</v>
      </c>
      <c r="C207" s="1">
        <v>3764</v>
      </c>
      <c r="D207" s="1">
        <v>28.6</v>
      </c>
      <c r="E207" s="1">
        <v>-5.6</v>
      </c>
      <c r="F207" s="1">
        <v>-1.6</v>
      </c>
      <c r="G207" s="1">
        <v>0</v>
      </c>
      <c r="H207" s="1">
        <v>0</v>
      </c>
      <c r="I207" s="1">
        <v>0</v>
      </c>
      <c r="K207" s="1">
        <v>175</v>
      </c>
      <c r="L207" s="1">
        <v>817</v>
      </c>
      <c r="M207" s="1">
        <v>3785</v>
      </c>
      <c r="N207" s="1">
        <v>28.4</v>
      </c>
      <c r="O207" s="1">
        <v>-5.6</v>
      </c>
      <c r="P207" s="1">
        <v>-1.6</v>
      </c>
      <c r="Q207" s="1">
        <v>0</v>
      </c>
      <c r="R207" s="1">
        <v>0</v>
      </c>
      <c r="S207" s="1">
        <v>0</v>
      </c>
      <c r="T207" s="1"/>
      <c r="U207" s="1"/>
      <c r="V207" s="1"/>
      <c r="W207" s="1"/>
    </row>
    <row r="208" spans="1:23" x14ac:dyDescent="0.25">
      <c r="A208" s="1">
        <v>200</v>
      </c>
      <c r="B208" s="1">
        <v>801</v>
      </c>
      <c r="C208" s="1">
        <v>3639</v>
      </c>
      <c r="D208" s="1">
        <v>29.8</v>
      </c>
      <c r="E208" s="1">
        <v>-5.0999999999999996</v>
      </c>
      <c r="F208" s="1">
        <v>-1.5</v>
      </c>
      <c r="G208" s="1">
        <v>0</v>
      </c>
      <c r="H208" s="1">
        <v>0</v>
      </c>
      <c r="I208" s="1">
        <v>0</v>
      </c>
      <c r="K208" s="1">
        <v>200</v>
      </c>
      <c r="L208" s="1">
        <v>804</v>
      </c>
      <c r="M208" s="1">
        <v>3661</v>
      </c>
      <c r="N208" s="1">
        <v>29.6</v>
      </c>
      <c r="O208" s="1">
        <v>-5.0999999999999996</v>
      </c>
      <c r="P208" s="1">
        <v>-1.5</v>
      </c>
      <c r="Q208" s="1">
        <v>0</v>
      </c>
      <c r="R208" s="1">
        <v>0</v>
      </c>
      <c r="S208" s="1">
        <v>0</v>
      </c>
      <c r="T208" s="1"/>
      <c r="U208" s="1"/>
      <c r="V208" s="1"/>
      <c r="W208" s="1"/>
    </row>
    <row r="209" spans="1:23" x14ac:dyDescent="0.25">
      <c r="A209" s="1">
        <v>225</v>
      </c>
      <c r="B209" s="1">
        <v>788</v>
      </c>
      <c r="C209" s="1">
        <v>3517</v>
      </c>
      <c r="D209" s="1">
        <v>29.9</v>
      </c>
      <c r="E209" s="1">
        <v>-4.5999999999999996</v>
      </c>
      <c r="F209" s="1">
        <v>-1.3</v>
      </c>
      <c r="G209" s="1">
        <v>0</v>
      </c>
      <c r="H209" s="1">
        <v>0</v>
      </c>
      <c r="I209" s="1">
        <v>0</v>
      </c>
      <c r="K209" s="1">
        <v>225</v>
      </c>
      <c r="L209" s="1">
        <v>790</v>
      </c>
      <c r="M209" s="1">
        <v>3541</v>
      </c>
      <c r="N209" s="1">
        <v>29.7</v>
      </c>
      <c r="O209" s="1">
        <v>-4.5</v>
      </c>
      <c r="P209" s="1">
        <v>-1.3</v>
      </c>
      <c r="Q209" s="1">
        <v>0</v>
      </c>
      <c r="R209" s="1">
        <v>0</v>
      </c>
      <c r="S209" s="1">
        <v>0</v>
      </c>
      <c r="T209" s="1"/>
      <c r="U209" s="1"/>
      <c r="V209" s="1"/>
      <c r="W209" s="1"/>
    </row>
    <row r="210" spans="1:23" x14ac:dyDescent="0.25">
      <c r="A210" s="1">
        <v>250</v>
      </c>
      <c r="B210" s="1">
        <v>774</v>
      </c>
      <c r="C210" s="1">
        <v>3398</v>
      </c>
      <c r="D210" s="1">
        <v>29</v>
      </c>
      <c r="E210" s="1">
        <v>-4</v>
      </c>
      <c r="F210" s="1">
        <v>-1.2</v>
      </c>
      <c r="G210" s="1">
        <v>0</v>
      </c>
      <c r="H210" s="1">
        <v>0</v>
      </c>
      <c r="I210" s="1">
        <v>0</v>
      </c>
      <c r="K210" s="1">
        <v>250</v>
      </c>
      <c r="L210" s="1">
        <v>777</v>
      </c>
      <c r="M210" s="1">
        <v>3424</v>
      </c>
      <c r="N210" s="1">
        <v>28.8</v>
      </c>
      <c r="O210" s="1">
        <v>-4</v>
      </c>
      <c r="P210" s="1">
        <v>-1.2</v>
      </c>
      <c r="Q210" s="1">
        <v>0</v>
      </c>
      <c r="R210" s="1">
        <v>0</v>
      </c>
      <c r="S210" s="1">
        <v>0</v>
      </c>
      <c r="T210" s="1"/>
      <c r="U210" s="1"/>
      <c r="V210" s="1"/>
      <c r="W210" s="1"/>
    </row>
    <row r="211" spans="1:23" x14ac:dyDescent="0.25">
      <c r="A211" s="1">
        <v>275</v>
      </c>
      <c r="B211" s="1">
        <v>761</v>
      </c>
      <c r="C211" s="1">
        <v>3283</v>
      </c>
      <c r="D211" s="1">
        <v>27.1</v>
      </c>
      <c r="E211" s="1">
        <v>-3.4</v>
      </c>
      <c r="F211" s="1">
        <v>-1</v>
      </c>
      <c r="G211" s="1">
        <v>0</v>
      </c>
      <c r="H211" s="1">
        <v>0</v>
      </c>
      <c r="I211" s="1">
        <v>0</v>
      </c>
      <c r="K211" s="1">
        <v>275</v>
      </c>
      <c r="L211" s="1">
        <v>764</v>
      </c>
      <c r="M211" s="1">
        <v>3309</v>
      </c>
      <c r="N211" s="1">
        <v>26.8</v>
      </c>
      <c r="O211" s="1">
        <v>-3.3</v>
      </c>
      <c r="P211" s="1">
        <v>-1</v>
      </c>
      <c r="Q211" s="1">
        <v>0</v>
      </c>
      <c r="R211" s="1">
        <v>0</v>
      </c>
      <c r="S211" s="1">
        <v>0</v>
      </c>
    </row>
    <row r="212" spans="1:23" x14ac:dyDescent="0.25">
      <c r="A212" s="1">
        <v>300</v>
      </c>
      <c r="B212" s="1">
        <v>748</v>
      </c>
      <c r="C212" s="1">
        <v>3171</v>
      </c>
      <c r="D212" s="1">
        <v>24.1</v>
      </c>
      <c r="E212" s="1">
        <v>-2.8</v>
      </c>
      <c r="F212" s="1">
        <v>-0.8</v>
      </c>
      <c r="G212" s="1">
        <v>0</v>
      </c>
      <c r="H212" s="1">
        <v>0</v>
      </c>
      <c r="I212" s="1">
        <v>0</v>
      </c>
      <c r="K212" s="1">
        <v>300</v>
      </c>
      <c r="L212" s="1">
        <v>751</v>
      </c>
      <c r="M212" s="1">
        <v>3198</v>
      </c>
      <c r="N212" s="1">
        <v>23.8</v>
      </c>
      <c r="O212" s="1">
        <v>-2.7</v>
      </c>
      <c r="P212" s="1">
        <v>-0.8</v>
      </c>
      <c r="Q212" s="1">
        <v>0</v>
      </c>
      <c r="R212" s="1">
        <v>0</v>
      </c>
      <c r="S212" s="1">
        <v>0</v>
      </c>
    </row>
    <row r="213" spans="1:23" x14ac:dyDescent="0.25">
      <c r="A213" s="1">
        <v>325</v>
      </c>
      <c r="B213" s="1">
        <v>735</v>
      </c>
      <c r="C213" s="1">
        <v>3062</v>
      </c>
      <c r="D213" s="1">
        <v>19.899999999999999</v>
      </c>
      <c r="E213" s="1">
        <v>-2.1</v>
      </c>
      <c r="F213" s="1">
        <v>-0.6</v>
      </c>
      <c r="G213" s="1">
        <v>0</v>
      </c>
      <c r="H213" s="1">
        <v>0</v>
      </c>
      <c r="I213" s="1">
        <v>0</v>
      </c>
      <c r="K213" s="1">
        <v>325</v>
      </c>
      <c r="L213" s="1">
        <v>738</v>
      </c>
      <c r="M213" s="1">
        <v>3089</v>
      </c>
      <c r="N213" s="1">
        <v>19.7</v>
      </c>
      <c r="O213" s="1">
        <v>-2.1</v>
      </c>
      <c r="P213" s="1">
        <v>-0.6</v>
      </c>
      <c r="Q213" s="1">
        <v>0</v>
      </c>
      <c r="R213" s="1">
        <v>0</v>
      </c>
      <c r="S213" s="1">
        <v>0</v>
      </c>
    </row>
    <row r="214" spans="1:23" x14ac:dyDescent="0.25">
      <c r="A214" s="1">
        <v>350</v>
      </c>
      <c r="B214" s="1">
        <v>722</v>
      </c>
      <c r="C214" s="1">
        <v>2955</v>
      </c>
      <c r="D214" s="1">
        <v>14.4</v>
      </c>
      <c r="E214" s="1">
        <v>-1.4</v>
      </c>
      <c r="F214" s="1">
        <v>-0.4</v>
      </c>
      <c r="G214" s="1">
        <v>0</v>
      </c>
      <c r="H214" s="1">
        <v>0</v>
      </c>
      <c r="I214" s="1">
        <v>0</v>
      </c>
      <c r="K214" s="1">
        <v>350</v>
      </c>
      <c r="L214" s="1">
        <v>725</v>
      </c>
      <c r="M214" s="1">
        <v>2984</v>
      </c>
      <c r="N214" s="1">
        <v>14.3</v>
      </c>
      <c r="O214" s="1">
        <v>-1.4</v>
      </c>
      <c r="P214" s="1">
        <v>-0.4</v>
      </c>
      <c r="Q214" s="1">
        <v>0</v>
      </c>
      <c r="R214" s="1">
        <v>0</v>
      </c>
      <c r="S214" s="1">
        <v>0</v>
      </c>
      <c r="T214" s="1"/>
      <c r="U214" s="1"/>
      <c r="V214" s="1"/>
      <c r="W214" s="1"/>
    </row>
    <row r="215" spans="1:23" x14ac:dyDescent="0.25">
      <c r="A215" s="1">
        <v>375</v>
      </c>
      <c r="B215" s="1">
        <v>709</v>
      </c>
      <c r="C215" s="1">
        <v>2852</v>
      </c>
      <c r="D215" s="1">
        <v>7.9</v>
      </c>
      <c r="E215" s="1">
        <v>-0.7</v>
      </c>
      <c r="F215" s="1">
        <v>-0.2</v>
      </c>
      <c r="G215" s="1">
        <v>0</v>
      </c>
      <c r="H215" s="1">
        <v>0</v>
      </c>
      <c r="I215" s="1">
        <v>0</v>
      </c>
      <c r="K215" s="1">
        <v>375</v>
      </c>
      <c r="L215" s="1">
        <v>713</v>
      </c>
      <c r="M215" s="1">
        <v>2881</v>
      </c>
      <c r="N215" s="1">
        <v>7.8</v>
      </c>
      <c r="O215" s="1">
        <v>-0.7</v>
      </c>
      <c r="P215" s="1">
        <v>-0.2</v>
      </c>
      <c r="Q215" s="1">
        <v>0</v>
      </c>
      <c r="R215" s="1">
        <v>0</v>
      </c>
      <c r="S215" s="1">
        <v>0</v>
      </c>
      <c r="T215" s="1"/>
      <c r="U215" s="1"/>
      <c r="V215" s="1"/>
      <c r="W215" s="1"/>
    </row>
    <row r="216" spans="1:23" x14ac:dyDescent="0.25">
      <c r="A216" s="10">
        <v>400</v>
      </c>
      <c r="B216" s="10">
        <v>697</v>
      </c>
      <c r="C216" s="10">
        <v>2751</v>
      </c>
      <c r="D216" s="10">
        <v>0.1</v>
      </c>
      <c r="E216" s="10">
        <v>0</v>
      </c>
      <c r="F216" s="10">
        <v>0</v>
      </c>
      <c r="G216" s="1">
        <v>0</v>
      </c>
      <c r="H216" s="1">
        <v>0</v>
      </c>
      <c r="I216" s="1">
        <v>0</v>
      </c>
      <c r="K216" s="1">
        <v>400</v>
      </c>
      <c r="L216" s="1">
        <v>700</v>
      </c>
      <c r="M216" s="1">
        <v>2781</v>
      </c>
      <c r="N216" s="1">
        <v>0.1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/>
      <c r="U216" s="1"/>
      <c r="V216" s="1"/>
      <c r="W216" s="1"/>
    </row>
    <row r="217" spans="1:23" x14ac:dyDescent="0.25">
      <c r="A217" s="1">
        <v>425</v>
      </c>
      <c r="B217" s="1">
        <v>684</v>
      </c>
      <c r="C217" s="1">
        <v>2653</v>
      </c>
      <c r="D217" s="1">
        <v>-9.3000000000000007</v>
      </c>
      <c r="E217" s="1">
        <v>0.8</v>
      </c>
      <c r="F217" s="1">
        <v>0.2</v>
      </c>
      <c r="G217" s="1">
        <v>0</v>
      </c>
      <c r="H217" s="1">
        <v>0</v>
      </c>
      <c r="I217" s="1">
        <v>0</v>
      </c>
      <c r="K217" s="1">
        <v>425</v>
      </c>
      <c r="L217" s="1">
        <v>688</v>
      </c>
      <c r="M217" s="1">
        <v>2683</v>
      </c>
      <c r="N217" s="1">
        <v>-9.1999999999999993</v>
      </c>
      <c r="O217" s="1">
        <v>0.7</v>
      </c>
      <c r="P217" s="1">
        <v>0.2</v>
      </c>
      <c r="Q217" s="1">
        <v>0</v>
      </c>
      <c r="R217" s="1">
        <v>0</v>
      </c>
      <c r="S217" s="1">
        <v>0</v>
      </c>
      <c r="T217" s="1"/>
      <c r="U217" s="1"/>
      <c r="V217" s="1"/>
      <c r="W217" s="1"/>
    </row>
    <row r="218" spans="1:23" x14ac:dyDescent="0.25">
      <c r="A218" s="1">
        <v>450</v>
      </c>
      <c r="B218" s="1">
        <v>672</v>
      </c>
      <c r="C218" s="1">
        <v>2558</v>
      </c>
      <c r="D218" s="1">
        <v>-19.8</v>
      </c>
      <c r="E218" s="1">
        <v>1.5</v>
      </c>
      <c r="F218" s="1">
        <v>0.4</v>
      </c>
      <c r="G218" s="1">
        <v>0</v>
      </c>
      <c r="H218" s="1">
        <v>0</v>
      </c>
      <c r="I218" s="1">
        <v>0</v>
      </c>
      <c r="K218" s="1">
        <v>450</v>
      </c>
      <c r="L218" s="1">
        <v>676</v>
      </c>
      <c r="M218" s="1">
        <v>2588</v>
      </c>
      <c r="N218" s="1">
        <v>-19.600000000000001</v>
      </c>
      <c r="O218" s="1">
        <v>1.5</v>
      </c>
      <c r="P218" s="1">
        <v>0.4</v>
      </c>
      <c r="Q218" s="1">
        <v>0</v>
      </c>
      <c r="R218" s="1">
        <v>0</v>
      </c>
      <c r="S218" s="1">
        <v>0</v>
      </c>
      <c r="T218" s="1"/>
      <c r="U218" s="1"/>
      <c r="V218" s="1"/>
      <c r="W218" s="1"/>
    </row>
    <row r="219" spans="1:23" x14ac:dyDescent="0.25">
      <c r="A219" s="1">
        <v>475</v>
      </c>
      <c r="B219" s="1">
        <v>659</v>
      </c>
      <c r="C219" s="1">
        <v>2466</v>
      </c>
      <c r="D219" s="1">
        <v>-31.7</v>
      </c>
      <c r="E219" s="1">
        <v>2.2999999999999998</v>
      </c>
      <c r="F219" s="1">
        <v>0.7</v>
      </c>
      <c r="G219" s="1">
        <v>0</v>
      </c>
      <c r="H219" s="1">
        <v>0</v>
      </c>
      <c r="I219" s="1">
        <v>0</v>
      </c>
      <c r="K219" s="1">
        <v>475</v>
      </c>
      <c r="L219" s="1">
        <v>663</v>
      </c>
      <c r="M219" s="1">
        <v>2496</v>
      </c>
      <c r="N219" s="1">
        <v>-31.4</v>
      </c>
      <c r="O219" s="1">
        <v>2.2999999999999998</v>
      </c>
      <c r="P219" s="1">
        <v>0.7</v>
      </c>
      <c r="Q219" s="1">
        <v>0</v>
      </c>
      <c r="R219" s="1">
        <v>0</v>
      </c>
      <c r="S219" s="1">
        <v>0</v>
      </c>
      <c r="T219" s="1"/>
      <c r="U219" s="1"/>
      <c r="V219" s="1"/>
      <c r="W219" s="1"/>
    </row>
    <row r="220" spans="1:23" x14ac:dyDescent="0.25">
      <c r="A220" s="1">
        <v>500</v>
      </c>
      <c r="B220" s="1">
        <v>648</v>
      </c>
      <c r="C220" s="1">
        <v>2379</v>
      </c>
      <c r="D220" s="1">
        <v>-45</v>
      </c>
      <c r="E220" s="1">
        <v>3.1</v>
      </c>
      <c r="F220" s="1">
        <v>0.9</v>
      </c>
      <c r="G220" s="1">
        <v>0</v>
      </c>
      <c r="H220" s="1">
        <v>0</v>
      </c>
      <c r="I220" s="1">
        <v>0</v>
      </c>
      <c r="K220" s="1">
        <v>500</v>
      </c>
      <c r="L220" s="1">
        <v>652</v>
      </c>
      <c r="M220" s="1">
        <v>2410</v>
      </c>
      <c r="N220" s="1">
        <v>-44.6</v>
      </c>
      <c r="O220" s="1">
        <v>3.1</v>
      </c>
      <c r="P220" s="1">
        <v>0.9</v>
      </c>
      <c r="Q220" s="1">
        <v>0</v>
      </c>
      <c r="R220" s="1">
        <v>0</v>
      </c>
      <c r="S220" s="1">
        <v>0</v>
      </c>
      <c r="T220" s="1"/>
      <c r="U220" s="1"/>
      <c r="V220" s="1"/>
      <c r="W220" s="1"/>
    </row>
    <row r="221" spans="1:23" x14ac:dyDescent="0.25">
      <c r="T221" s="1"/>
      <c r="U221" s="1"/>
      <c r="V221" s="1"/>
      <c r="W221" s="1"/>
    </row>
    <row r="222" spans="1:23" x14ac:dyDescent="0.25">
      <c r="A222" t="s">
        <v>76</v>
      </c>
      <c r="K222" t="s">
        <v>70</v>
      </c>
      <c r="T222" s="1"/>
      <c r="U222" s="1"/>
      <c r="V222" s="1"/>
      <c r="W222" s="1"/>
    </row>
    <row r="223" spans="1:23" x14ac:dyDescent="0.25">
      <c r="A223" t="s">
        <v>11</v>
      </c>
      <c r="B223" t="s">
        <v>12</v>
      </c>
      <c r="C223" t="s">
        <v>13</v>
      </c>
      <c r="D223" t="s">
        <v>14</v>
      </c>
      <c r="E223" t="s">
        <v>15</v>
      </c>
      <c r="F223" t="s">
        <v>16</v>
      </c>
      <c r="G223" t="s">
        <v>29</v>
      </c>
      <c r="H223" t="s">
        <v>30</v>
      </c>
      <c r="I223" t="s">
        <v>31</v>
      </c>
      <c r="K223" t="s">
        <v>11</v>
      </c>
      <c r="L223" t="s">
        <v>12</v>
      </c>
      <c r="M223" t="s">
        <v>13</v>
      </c>
      <c r="N223" t="s">
        <v>14</v>
      </c>
      <c r="O223" t="s">
        <v>15</v>
      </c>
      <c r="P223" t="s">
        <v>16</v>
      </c>
      <c r="Q223" t="s">
        <v>29</v>
      </c>
      <c r="R223" t="s">
        <v>30</v>
      </c>
      <c r="S223" t="s">
        <v>31</v>
      </c>
      <c r="T223" s="1"/>
      <c r="U223" s="1"/>
      <c r="V223" s="1"/>
      <c r="W223" s="1"/>
    </row>
    <row r="224" spans="1:23" x14ac:dyDescent="0.25">
      <c r="A224" s="1">
        <v>0</v>
      </c>
      <c r="B224" s="1">
        <v>914</v>
      </c>
      <c r="C224" s="1">
        <v>4741</v>
      </c>
      <c r="D224" s="1">
        <v>-3.8</v>
      </c>
      <c r="E224" s="1">
        <v>0</v>
      </c>
      <c r="F224" s="1">
        <v>0</v>
      </c>
      <c r="G224" s="1">
        <v>0</v>
      </c>
      <c r="H224" s="1">
        <v>0</v>
      </c>
      <c r="I224" s="1">
        <v>0</v>
      </c>
      <c r="K224" s="1">
        <v>0</v>
      </c>
      <c r="L224" s="1">
        <v>914</v>
      </c>
      <c r="M224" s="1">
        <v>4741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/>
      <c r="U224" s="1"/>
      <c r="V224" s="1"/>
      <c r="W224" s="1"/>
    </row>
    <row r="225" spans="1:23" x14ac:dyDescent="0.25">
      <c r="A225" s="1">
        <v>25</v>
      </c>
      <c r="B225" s="1">
        <v>900</v>
      </c>
      <c r="C225" s="1">
        <v>4589</v>
      </c>
      <c r="D225" s="1">
        <v>5.5</v>
      </c>
      <c r="E225" s="1">
        <v>-7.6</v>
      </c>
      <c r="F225" s="1">
        <v>-2.2000000000000002</v>
      </c>
      <c r="G225" s="1">
        <v>0</v>
      </c>
      <c r="H225" s="1">
        <v>0</v>
      </c>
      <c r="I225" s="1">
        <v>0</v>
      </c>
      <c r="K225" s="1">
        <v>25</v>
      </c>
      <c r="L225" s="1">
        <v>900</v>
      </c>
      <c r="M225" s="1">
        <v>4594</v>
      </c>
      <c r="N225" s="1">
        <v>5.4</v>
      </c>
      <c r="O225" s="1">
        <v>-7.5</v>
      </c>
      <c r="P225" s="1">
        <v>-2.2000000000000002</v>
      </c>
      <c r="Q225" s="1">
        <v>0</v>
      </c>
      <c r="R225" s="1">
        <v>0</v>
      </c>
      <c r="S225" s="1">
        <v>0</v>
      </c>
      <c r="T225" s="1"/>
      <c r="U225" s="1"/>
      <c r="V225" s="1"/>
      <c r="W225" s="1"/>
    </row>
    <row r="226" spans="1:23" x14ac:dyDescent="0.25">
      <c r="A226" s="1">
        <v>50</v>
      </c>
      <c r="B226" s="1">
        <v>885</v>
      </c>
      <c r="C226" s="1">
        <v>4442</v>
      </c>
      <c r="D226" s="1">
        <v>14.2</v>
      </c>
      <c r="E226" s="1">
        <v>-9.6999999999999993</v>
      </c>
      <c r="F226" s="1">
        <v>-2.8</v>
      </c>
      <c r="G226" s="1">
        <v>0</v>
      </c>
      <c r="H226" s="1">
        <v>0</v>
      </c>
      <c r="I226" s="1">
        <v>0</v>
      </c>
      <c r="K226" s="1">
        <v>50</v>
      </c>
      <c r="L226" s="1">
        <v>886</v>
      </c>
      <c r="M226" s="1">
        <v>4450</v>
      </c>
      <c r="N226" s="1">
        <v>14.1</v>
      </c>
      <c r="O226" s="1">
        <v>-9.6</v>
      </c>
      <c r="P226" s="1">
        <v>-2.8</v>
      </c>
      <c r="Q226" s="1">
        <v>0</v>
      </c>
      <c r="R226" s="1">
        <v>0</v>
      </c>
      <c r="S226" s="1">
        <v>0</v>
      </c>
      <c r="T226" s="1"/>
      <c r="U226" s="1"/>
      <c r="V226" s="1"/>
      <c r="W226" s="1"/>
    </row>
    <row r="227" spans="1:23" x14ac:dyDescent="0.25">
      <c r="A227" s="1">
        <v>75</v>
      </c>
      <c r="B227" s="1">
        <v>871</v>
      </c>
      <c r="C227" s="1">
        <v>4299</v>
      </c>
      <c r="D227" s="1">
        <v>21.9</v>
      </c>
      <c r="E227" s="1">
        <v>-10</v>
      </c>
      <c r="F227" s="1">
        <v>-2.9</v>
      </c>
      <c r="G227" s="1">
        <v>0</v>
      </c>
      <c r="H227" s="1">
        <v>0</v>
      </c>
      <c r="I227" s="1">
        <v>0</v>
      </c>
      <c r="K227" s="1">
        <v>75</v>
      </c>
      <c r="L227" s="1">
        <v>872</v>
      </c>
      <c r="M227" s="1">
        <v>4311</v>
      </c>
      <c r="N227" s="1">
        <v>21.8</v>
      </c>
      <c r="O227" s="1">
        <v>-10</v>
      </c>
      <c r="P227" s="1">
        <v>-2.9</v>
      </c>
      <c r="Q227" s="1">
        <v>0</v>
      </c>
      <c r="R227" s="1">
        <v>0</v>
      </c>
      <c r="S227" s="1">
        <v>0</v>
      </c>
      <c r="T227" s="1"/>
      <c r="U227" s="1"/>
      <c r="V227" s="1"/>
      <c r="W227" s="1"/>
    </row>
    <row r="228" spans="1:23" x14ac:dyDescent="0.25">
      <c r="A228" s="1">
        <v>100</v>
      </c>
      <c r="B228" s="1">
        <v>856</v>
      </c>
      <c r="C228" s="1">
        <v>4160</v>
      </c>
      <c r="D228" s="1">
        <v>28.8</v>
      </c>
      <c r="E228" s="1">
        <v>-9.9</v>
      </c>
      <c r="F228" s="1">
        <v>-2.9</v>
      </c>
      <c r="G228" s="1">
        <v>0</v>
      </c>
      <c r="H228" s="1">
        <v>0</v>
      </c>
      <c r="I228" s="1">
        <v>0</v>
      </c>
      <c r="K228" s="1">
        <v>100</v>
      </c>
      <c r="L228" s="1">
        <v>858</v>
      </c>
      <c r="M228" s="1">
        <v>4174</v>
      </c>
      <c r="N228" s="1">
        <v>28.6</v>
      </c>
      <c r="O228" s="1">
        <v>-9.9</v>
      </c>
      <c r="P228" s="1">
        <v>-2.9</v>
      </c>
      <c r="Q228" s="1">
        <v>0</v>
      </c>
      <c r="R228" s="1">
        <v>0</v>
      </c>
      <c r="S228" s="1">
        <v>0</v>
      </c>
      <c r="T228" s="1"/>
      <c r="U228" s="1"/>
      <c r="V228" s="1"/>
      <c r="W228" s="1"/>
    </row>
    <row r="229" spans="1:23" x14ac:dyDescent="0.25">
      <c r="A229" s="1">
        <v>125</v>
      </c>
      <c r="B229" s="1">
        <v>842</v>
      </c>
      <c r="C229" s="1">
        <v>4024</v>
      </c>
      <c r="D229" s="1">
        <v>35.1</v>
      </c>
      <c r="E229" s="1">
        <v>-9.6</v>
      </c>
      <c r="F229" s="1">
        <v>-2.8</v>
      </c>
      <c r="G229" s="1">
        <v>0</v>
      </c>
      <c r="H229" s="1">
        <v>0</v>
      </c>
      <c r="I229" s="1">
        <v>0</v>
      </c>
      <c r="K229" s="1">
        <v>125</v>
      </c>
      <c r="L229" s="1">
        <v>844</v>
      </c>
      <c r="M229" s="1">
        <v>4041</v>
      </c>
      <c r="N229" s="1">
        <v>34.799999999999997</v>
      </c>
      <c r="O229" s="1">
        <v>-9.5</v>
      </c>
      <c r="P229" s="1">
        <v>-2.8</v>
      </c>
      <c r="Q229" s="1">
        <v>0</v>
      </c>
      <c r="R229" s="1">
        <v>0</v>
      </c>
      <c r="S229" s="1">
        <v>0</v>
      </c>
      <c r="T229" s="1"/>
      <c r="U229" s="1"/>
      <c r="V229" s="1"/>
      <c r="W229" s="1"/>
    </row>
    <row r="230" spans="1:23" x14ac:dyDescent="0.25">
      <c r="A230" s="1">
        <v>150</v>
      </c>
      <c r="B230" s="1">
        <v>828</v>
      </c>
      <c r="C230" s="1">
        <v>3892</v>
      </c>
      <c r="D230" s="1">
        <v>40.299999999999997</v>
      </c>
      <c r="E230" s="1">
        <v>-9.1999999999999993</v>
      </c>
      <c r="F230" s="1">
        <v>-2.7</v>
      </c>
      <c r="G230" s="1">
        <v>0</v>
      </c>
      <c r="H230" s="1">
        <v>0</v>
      </c>
      <c r="I230" s="1">
        <v>0</v>
      </c>
      <c r="K230" s="1">
        <v>150</v>
      </c>
      <c r="L230" s="1">
        <v>831</v>
      </c>
      <c r="M230" s="1">
        <v>3911</v>
      </c>
      <c r="N230" s="1">
        <v>40</v>
      </c>
      <c r="O230" s="1">
        <v>-9.1999999999999993</v>
      </c>
      <c r="P230" s="1">
        <v>-2.7</v>
      </c>
      <c r="Q230" s="1">
        <v>0</v>
      </c>
      <c r="R230" s="1">
        <v>0</v>
      </c>
      <c r="S230" s="1">
        <v>0</v>
      </c>
      <c r="T230" s="1"/>
      <c r="U230" s="1"/>
      <c r="V230" s="1"/>
      <c r="W230" s="1"/>
    </row>
    <row r="231" spans="1:23" x14ac:dyDescent="0.25">
      <c r="A231" s="1">
        <v>175</v>
      </c>
      <c r="B231" s="1">
        <v>815</v>
      </c>
      <c r="C231" s="1">
        <v>3764</v>
      </c>
      <c r="D231" s="1">
        <v>44.5</v>
      </c>
      <c r="E231" s="1">
        <v>-8.8000000000000007</v>
      </c>
      <c r="F231" s="1">
        <v>-2.5</v>
      </c>
      <c r="G231" s="1">
        <v>0</v>
      </c>
      <c r="H231" s="1">
        <v>0</v>
      </c>
      <c r="I231" s="1">
        <v>0</v>
      </c>
      <c r="K231" s="1">
        <v>175</v>
      </c>
      <c r="L231" s="1">
        <v>817</v>
      </c>
      <c r="M231" s="1">
        <v>3785</v>
      </c>
      <c r="N231" s="1">
        <v>44.2</v>
      </c>
      <c r="O231" s="1">
        <v>-8.6999999999999993</v>
      </c>
      <c r="P231" s="1">
        <v>-2.5</v>
      </c>
      <c r="Q231" s="1">
        <v>0</v>
      </c>
      <c r="R231" s="1">
        <v>0</v>
      </c>
      <c r="S231" s="1">
        <v>0</v>
      </c>
      <c r="T231" s="1"/>
      <c r="U231" s="1"/>
      <c r="V231" s="1"/>
      <c r="W231" s="1"/>
    </row>
    <row r="232" spans="1:23" x14ac:dyDescent="0.25">
      <c r="A232" s="1">
        <v>200</v>
      </c>
      <c r="B232" s="1">
        <v>801</v>
      </c>
      <c r="C232" s="1">
        <v>3639</v>
      </c>
      <c r="D232" s="1">
        <v>48</v>
      </c>
      <c r="E232" s="1">
        <v>-8.1999999999999993</v>
      </c>
      <c r="F232" s="1">
        <v>-2.4</v>
      </c>
      <c r="G232" s="1">
        <v>0</v>
      </c>
      <c r="H232" s="1">
        <v>0</v>
      </c>
      <c r="I232" s="1">
        <v>0</v>
      </c>
      <c r="K232" s="1">
        <v>200</v>
      </c>
      <c r="L232" s="1">
        <v>804</v>
      </c>
      <c r="M232" s="1">
        <v>3661</v>
      </c>
      <c r="N232" s="1">
        <v>47.6</v>
      </c>
      <c r="O232" s="1">
        <v>-8.1999999999999993</v>
      </c>
      <c r="P232" s="1">
        <v>-2.4</v>
      </c>
      <c r="Q232" s="1">
        <v>0</v>
      </c>
      <c r="R232" s="1">
        <v>0</v>
      </c>
      <c r="S232" s="1">
        <v>0</v>
      </c>
      <c r="T232" s="1"/>
      <c r="U232" s="1"/>
      <c r="V232" s="1"/>
      <c r="W232" s="1"/>
    </row>
    <row r="233" spans="1:23" x14ac:dyDescent="0.25">
      <c r="A233" s="1">
        <v>225</v>
      </c>
      <c r="B233" s="1">
        <v>788</v>
      </c>
      <c r="C233" s="1">
        <v>3517</v>
      </c>
      <c r="D233" s="1">
        <v>50.4</v>
      </c>
      <c r="E233" s="1">
        <v>-7.7</v>
      </c>
      <c r="F233" s="1">
        <v>-2.2000000000000002</v>
      </c>
      <c r="G233" s="1">
        <v>0</v>
      </c>
      <c r="H233" s="1">
        <v>0</v>
      </c>
      <c r="I233" s="1">
        <v>0</v>
      </c>
      <c r="K233" s="1">
        <v>225</v>
      </c>
      <c r="L233" s="1">
        <v>790</v>
      </c>
      <c r="M233" s="1">
        <v>3541</v>
      </c>
      <c r="N233" s="1">
        <v>50</v>
      </c>
      <c r="O233" s="1">
        <v>-7.6</v>
      </c>
      <c r="P233" s="1">
        <v>-2.2000000000000002</v>
      </c>
      <c r="Q233" s="1">
        <v>0</v>
      </c>
      <c r="R233" s="1">
        <v>0</v>
      </c>
      <c r="S233" s="1">
        <v>0</v>
      </c>
      <c r="T233" s="1"/>
      <c r="U233" s="1"/>
      <c r="V233" s="1"/>
      <c r="W233" s="1"/>
    </row>
    <row r="234" spans="1:23" x14ac:dyDescent="0.25">
      <c r="A234" s="1">
        <v>250</v>
      </c>
      <c r="B234" s="1">
        <v>774</v>
      </c>
      <c r="C234" s="1">
        <v>3398</v>
      </c>
      <c r="D234" s="1">
        <v>51.8</v>
      </c>
      <c r="E234" s="1">
        <v>-7.1</v>
      </c>
      <c r="F234" s="1">
        <v>-2.1</v>
      </c>
      <c r="G234" s="1">
        <v>0</v>
      </c>
      <c r="H234" s="1">
        <v>0</v>
      </c>
      <c r="I234" s="1">
        <v>0</v>
      </c>
      <c r="K234" s="1">
        <v>250</v>
      </c>
      <c r="L234" s="1">
        <v>777</v>
      </c>
      <c r="M234" s="1">
        <v>3424</v>
      </c>
      <c r="N234" s="1">
        <v>51.3</v>
      </c>
      <c r="O234" s="1">
        <v>-7.1</v>
      </c>
      <c r="P234" s="1">
        <v>-2.1</v>
      </c>
      <c r="Q234" s="1">
        <v>0</v>
      </c>
      <c r="R234" s="1">
        <v>0</v>
      </c>
      <c r="S234" s="1">
        <v>0</v>
      </c>
      <c r="T234" s="1"/>
      <c r="U234" s="1"/>
      <c r="V234" s="1"/>
      <c r="W234" s="1"/>
    </row>
    <row r="235" spans="1:23" x14ac:dyDescent="0.25">
      <c r="A235" s="1">
        <v>275</v>
      </c>
      <c r="B235" s="1">
        <v>761</v>
      </c>
      <c r="C235" s="1">
        <v>3283</v>
      </c>
      <c r="D235" s="1">
        <v>52.1</v>
      </c>
      <c r="E235" s="1">
        <v>-6.5</v>
      </c>
      <c r="F235" s="1">
        <v>-1.9</v>
      </c>
      <c r="G235" s="1">
        <v>0</v>
      </c>
      <c r="H235" s="1">
        <v>0</v>
      </c>
      <c r="I235" s="1">
        <v>0</v>
      </c>
      <c r="K235" s="1">
        <v>275</v>
      </c>
      <c r="L235" s="1">
        <v>764</v>
      </c>
      <c r="M235" s="1">
        <v>3309</v>
      </c>
      <c r="N235" s="1">
        <v>51.7</v>
      </c>
      <c r="O235" s="1">
        <v>-6.5</v>
      </c>
      <c r="P235" s="1">
        <v>-1.9</v>
      </c>
      <c r="Q235" s="1">
        <v>0</v>
      </c>
      <c r="R235" s="1">
        <v>0</v>
      </c>
      <c r="S235" s="1">
        <v>0</v>
      </c>
      <c r="T235" s="1"/>
      <c r="U235" s="1"/>
      <c r="V235" s="1"/>
      <c r="W235" s="1"/>
    </row>
    <row r="236" spans="1:23" x14ac:dyDescent="0.25">
      <c r="A236" s="1">
        <v>300</v>
      </c>
      <c r="B236" s="1">
        <v>748</v>
      </c>
      <c r="C236" s="1">
        <v>3171</v>
      </c>
      <c r="D236" s="1">
        <v>51.4</v>
      </c>
      <c r="E236" s="1">
        <v>-5.9</v>
      </c>
      <c r="F236" s="1">
        <v>-1.7</v>
      </c>
      <c r="G236" s="1">
        <v>0</v>
      </c>
      <c r="H236" s="1">
        <v>0</v>
      </c>
      <c r="I236" s="1">
        <v>0</v>
      </c>
      <c r="K236" s="1">
        <v>300</v>
      </c>
      <c r="L236" s="1">
        <v>751</v>
      </c>
      <c r="M236" s="1">
        <v>3198</v>
      </c>
      <c r="N236" s="1">
        <v>50.9</v>
      </c>
      <c r="O236" s="1">
        <v>-5.8</v>
      </c>
      <c r="P236" s="1">
        <v>-1.7</v>
      </c>
      <c r="Q236" s="1">
        <v>0</v>
      </c>
      <c r="R236" s="1">
        <v>0</v>
      </c>
      <c r="S236" s="1">
        <v>0</v>
      </c>
      <c r="T236" s="1"/>
      <c r="U236" s="1"/>
      <c r="V236" s="1"/>
      <c r="W236" s="1"/>
    </row>
    <row r="237" spans="1:23" x14ac:dyDescent="0.25">
      <c r="A237" s="1">
        <v>325</v>
      </c>
      <c r="B237" s="1">
        <v>735</v>
      </c>
      <c r="C237" s="1">
        <v>3061</v>
      </c>
      <c r="D237" s="1">
        <v>49.5</v>
      </c>
      <c r="E237" s="1">
        <v>-5.2</v>
      </c>
      <c r="F237" s="1">
        <v>-1.5</v>
      </c>
      <c r="G237" s="1">
        <v>0</v>
      </c>
      <c r="H237" s="1">
        <v>0</v>
      </c>
      <c r="I237" s="1">
        <v>0</v>
      </c>
      <c r="K237" s="1">
        <v>325</v>
      </c>
      <c r="L237" s="1">
        <v>738</v>
      </c>
      <c r="M237" s="1">
        <v>3089</v>
      </c>
      <c r="N237" s="1">
        <v>49.1</v>
      </c>
      <c r="O237" s="1">
        <v>-5.2</v>
      </c>
      <c r="P237" s="1">
        <v>-1.5</v>
      </c>
      <c r="Q237" s="1">
        <v>0</v>
      </c>
      <c r="R237" s="1">
        <v>0</v>
      </c>
      <c r="S237" s="1">
        <v>0</v>
      </c>
    </row>
    <row r="238" spans="1:23" x14ac:dyDescent="0.25">
      <c r="A238" s="1">
        <v>350</v>
      </c>
      <c r="B238" s="1">
        <v>722</v>
      </c>
      <c r="C238" s="1">
        <v>2955</v>
      </c>
      <c r="D238" s="1">
        <v>46.3</v>
      </c>
      <c r="E238" s="1">
        <v>-4.5</v>
      </c>
      <c r="F238" s="1">
        <v>-1.3</v>
      </c>
      <c r="G238" s="1">
        <v>0</v>
      </c>
      <c r="H238" s="1">
        <v>0</v>
      </c>
      <c r="I238" s="1">
        <v>0</v>
      </c>
      <c r="K238" s="1">
        <v>350</v>
      </c>
      <c r="L238" s="1">
        <v>725</v>
      </c>
      <c r="M238" s="1">
        <v>2984</v>
      </c>
      <c r="N238" s="1">
        <v>45.9</v>
      </c>
      <c r="O238" s="1">
        <v>-4.5</v>
      </c>
      <c r="P238" s="1">
        <v>-1.3</v>
      </c>
      <c r="Q238" s="1">
        <v>0</v>
      </c>
      <c r="R238" s="1">
        <v>0</v>
      </c>
      <c r="S238" s="1">
        <v>0</v>
      </c>
    </row>
    <row r="239" spans="1:23" x14ac:dyDescent="0.25">
      <c r="A239" s="1">
        <v>375</v>
      </c>
      <c r="B239" s="1">
        <v>709</v>
      </c>
      <c r="C239" s="1">
        <v>2852</v>
      </c>
      <c r="D239" s="1">
        <v>42</v>
      </c>
      <c r="E239" s="1">
        <v>-3.9</v>
      </c>
      <c r="F239" s="1">
        <v>-1.1000000000000001</v>
      </c>
      <c r="G239" s="1">
        <v>0</v>
      </c>
      <c r="H239" s="1">
        <v>0</v>
      </c>
      <c r="I239" s="1">
        <v>0</v>
      </c>
      <c r="K239" s="1">
        <v>375</v>
      </c>
      <c r="L239" s="1">
        <v>713</v>
      </c>
      <c r="M239" s="1">
        <v>2881</v>
      </c>
      <c r="N239" s="1">
        <v>41.7</v>
      </c>
      <c r="O239" s="1">
        <v>-3.8</v>
      </c>
      <c r="P239" s="1">
        <v>-1.1000000000000001</v>
      </c>
      <c r="Q239" s="1">
        <v>0</v>
      </c>
      <c r="R239" s="1">
        <v>0</v>
      </c>
      <c r="S239" s="1">
        <v>0</v>
      </c>
    </row>
    <row r="240" spans="1:23" x14ac:dyDescent="0.25">
      <c r="A240" s="1">
        <v>400</v>
      </c>
      <c r="B240" s="1">
        <v>697</v>
      </c>
      <c r="C240" s="1">
        <v>2751</v>
      </c>
      <c r="D240" s="1">
        <v>36.5</v>
      </c>
      <c r="E240" s="1">
        <v>-3.1</v>
      </c>
      <c r="F240" s="1">
        <v>-0.9</v>
      </c>
      <c r="G240" s="1">
        <v>0</v>
      </c>
      <c r="H240" s="1">
        <v>0</v>
      </c>
      <c r="I240" s="1">
        <v>0</v>
      </c>
      <c r="K240" s="1">
        <v>400</v>
      </c>
      <c r="L240" s="1">
        <v>700</v>
      </c>
      <c r="M240" s="1">
        <v>2781</v>
      </c>
      <c r="N240" s="1">
        <v>36.200000000000003</v>
      </c>
      <c r="O240" s="1">
        <v>-3.1</v>
      </c>
      <c r="P240" s="1">
        <v>-0.9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684</v>
      </c>
      <c r="C241" s="1">
        <v>2653</v>
      </c>
      <c r="D241" s="1">
        <v>29.4</v>
      </c>
      <c r="E241" s="1">
        <v>-2.4</v>
      </c>
      <c r="F241" s="1">
        <v>-0.7</v>
      </c>
      <c r="G241" s="1">
        <v>0</v>
      </c>
      <c r="H241" s="1">
        <v>0</v>
      </c>
      <c r="I241" s="1">
        <v>0</v>
      </c>
      <c r="K241" s="1">
        <v>425</v>
      </c>
      <c r="L241" s="1">
        <v>688</v>
      </c>
      <c r="M241" s="1">
        <v>2683</v>
      </c>
      <c r="N241" s="1">
        <v>29.1</v>
      </c>
      <c r="O241" s="1">
        <v>-2.4</v>
      </c>
      <c r="P241" s="1">
        <v>-0.7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672</v>
      </c>
      <c r="C242" s="1">
        <v>2558</v>
      </c>
      <c r="D242" s="1">
        <v>21.2</v>
      </c>
      <c r="E242" s="1">
        <v>-1.6</v>
      </c>
      <c r="F242" s="1">
        <v>-0.5</v>
      </c>
      <c r="G242" s="1">
        <v>0</v>
      </c>
      <c r="H242" s="1">
        <v>0</v>
      </c>
      <c r="I242" s="1">
        <v>0</v>
      </c>
      <c r="K242" s="1">
        <v>450</v>
      </c>
      <c r="L242" s="1">
        <v>676</v>
      </c>
      <c r="M242" s="1">
        <v>2588</v>
      </c>
      <c r="N242" s="1">
        <v>21</v>
      </c>
      <c r="O242" s="1">
        <v>-1.6</v>
      </c>
      <c r="P242" s="1">
        <v>-0.5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659</v>
      </c>
      <c r="C243" s="1">
        <v>2465</v>
      </c>
      <c r="D243" s="1">
        <v>11.5</v>
      </c>
      <c r="E243" s="1">
        <v>-0.8</v>
      </c>
      <c r="F243" s="1">
        <v>-0.2</v>
      </c>
      <c r="G243" s="1">
        <v>0</v>
      </c>
      <c r="H243" s="1">
        <v>0</v>
      </c>
      <c r="I243" s="1">
        <v>0</v>
      </c>
      <c r="K243" s="1">
        <v>475</v>
      </c>
      <c r="L243" s="1">
        <v>663</v>
      </c>
      <c r="M243" s="1">
        <v>2496</v>
      </c>
      <c r="N243" s="1">
        <v>11.4</v>
      </c>
      <c r="O243" s="1">
        <v>-0.8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648</v>
      </c>
      <c r="C244" s="1">
        <v>2379</v>
      </c>
      <c r="D244" s="1">
        <v>0.4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K244" s="1">
        <v>500</v>
      </c>
      <c r="L244" s="1">
        <v>652</v>
      </c>
      <c r="M244" s="1">
        <v>2410</v>
      </c>
      <c r="N244" s="1">
        <v>0.4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5" spans="1:19" x14ac:dyDescent="0.25">
      <c r="A245" s="1"/>
      <c r="B245" s="1"/>
      <c r="C245" s="1"/>
      <c r="D245" s="1"/>
      <c r="E245" s="1"/>
      <c r="F245" s="1"/>
      <c r="O245" s="1"/>
      <c r="P245" s="1"/>
      <c r="Q245" s="1"/>
    </row>
    <row r="246" spans="1:19" x14ac:dyDescent="0.25">
      <c r="A246" s="1"/>
      <c r="B246" s="1"/>
      <c r="C246" s="1"/>
      <c r="D246" s="1"/>
      <c r="E246" s="1"/>
      <c r="F246" s="1"/>
      <c r="O246" s="1"/>
      <c r="P246" s="1"/>
      <c r="Q246" s="1"/>
    </row>
    <row r="248" spans="1:19" ht="30" x14ac:dyDescent="0.25">
      <c r="A248" s="22" t="s">
        <v>43</v>
      </c>
      <c r="B248" s="23" t="s">
        <v>5</v>
      </c>
      <c r="C248" s="23" t="s">
        <v>6</v>
      </c>
      <c r="D248" s="23" t="s">
        <v>7</v>
      </c>
      <c r="E248" s="23" t="s">
        <v>8</v>
      </c>
      <c r="F248" s="23" t="s">
        <v>9</v>
      </c>
      <c r="G248" s="23" t="s">
        <v>27</v>
      </c>
      <c r="H248" s="23" t="s">
        <v>28</v>
      </c>
      <c r="I248" s="24" t="s">
        <v>44</v>
      </c>
      <c r="J248" s="24" t="s">
        <v>52</v>
      </c>
    </row>
    <row r="249" spans="1:19" x14ac:dyDescent="0.25">
      <c r="A249" t="s">
        <v>45</v>
      </c>
      <c r="B249" s="19" cm="1">
        <f t="array" ref="B249">INDEX(LINEST(J$22:J$35,$A$22:$A$35^{1,2,3}), 1,4)</f>
        <v>-6.4868271599168672</v>
      </c>
      <c r="C249" s="19" cm="1">
        <f t="array" ref="C249">INDEX(LINEST(K$22:K$35,$A$22:$A$35^{1,2,3}), 1,4)</f>
        <v>-7.5143412029529131</v>
      </c>
      <c r="D249" s="20" cm="1">
        <f t="array" ref="D249">INDEX(LINEST(L$22:L$35,$A$22:$A$35^{1,2,3}), 1,4)</f>
        <v>-5.3070007057311805</v>
      </c>
      <c r="E249" s="20" cm="1">
        <f t="array" ref="E249">INDEX(LINEST(M$22:M$35,$A$22:$A$35^{1,2,3}), 1,4)</f>
        <v>-5.5103333690843108</v>
      </c>
      <c r="F249" s="20" cm="1">
        <f t="array" ref="F249">INDEX(LINEST(N$22:N$35,$A$22:$A$35^{1,2,3}), 1,4)</f>
        <v>-6.9492590328363155</v>
      </c>
      <c r="G249" s="20" cm="1">
        <f t="array" ref="G249">INDEX(LINEST(O$22:O$35,$A$22:$A$35^{1,2,3}), 1,4)</f>
        <v>-4.7638755063482652</v>
      </c>
      <c r="H249" s="20" cm="1">
        <f t="array" ref="H249">INDEX(LINEST(P$22:P$35,$A$22:$A$35^{1,2,3}), 1,4)</f>
        <v>-4.2842200555844041</v>
      </c>
      <c r="I249" s="20" cm="1">
        <f t="array" ref="I249">INDEX(LINEST(B$22:B$35,$A$22:$A$35^{1,2,3}), 1,4)</f>
        <v>4750.2545061213659</v>
      </c>
      <c r="J249" s="20" cm="1">
        <f t="array" ref="J249">INDEX(LINEST($C$80:$C$100,$A$80:$A$100^{1,2,3}), 1,4)</f>
        <v>4739.9270656879362</v>
      </c>
    </row>
    <row r="250" spans="1:19" x14ac:dyDescent="0.25">
      <c r="A250" t="s">
        <v>46</v>
      </c>
      <c r="B250" s="20" cm="1">
        <f t="array" ref="B250">INDEX(LINEST(J$22:J$35,$A$22:$A$35^{1,2,3}), 1,3)</f>
        <v>0.17838014710948938</v>
      </c>
      <c r="C250" s="19" cm="1">
        <f t="array" ref="C250">INDEX(LINEST(K$22:K$35,$A$22:$A$35^{1,2,3}), 1,3)</f>
        <v>0.19770462347642309</v>
      </c>
      <c r="D250" s="20" cm="1">
        <f t="array" ref="D250">INDEX(LINEST(L$22:L$35,$A$22:$A$35^{1,2,3}), 1,3)</f>
        <v>0.11679241515534844</v>
      </c>
      <c r="E250" s="20" cm="1">
        <f t="array" ref="E250">INDEX(LINEST(M$22:M$35,$A$22:$A$35^{1,2,3}), 1,3)</f>
        <v>0.13889710703586108</v>
      </c>
      <c r="F250" s="20" cm="1">
        <f t="array" ref="F250">INDEX(LINEST(N$22:N$35,$A$22:$A$35^{1,2,3}), 1,3)</f>
        <v>0.28540748853497044</v>
      </c>
      <c r="G250" s="20" cm="1">
        <f t="array" ref="G250">INDEX(LINEST(O$22:O$35,$A$22:$A$35^{1,2,3}), 1,3)</f>
        <v>0.26052186268252792</v>
      </c>
      <c r="H250" s="20" cm="1">
        <f t="array" ref="H250">INDEX(LINEST(P$22:P$35,$A$22:$A$35^{1,2,3}), 1,3)</f>
        <v>0.36341630472639891</v>
      </c>
      <c r="I250" s="20" cm="1">
        <f t="array" ref="I250">INDEX(LINEST(B$22:B$35,$A$22:$A$35^{1,2,3}), 1,3)</f>
        <v>-5.777947321954926</v>
      </c>
      <c r="J250" s="20" cm="1">
        <f t="array" ref="J250">INDEX(LINEST($C$80:$C$100,$A$80:$A$100^{1,2,3}), 1,3)</f>
        <v>-6.1024889738619841</v>
      </c>
    </row>
    <row r="251" spans="1:19" x14ac:dyDescent="0.25">
      <c r="A251" t="s">
        <v>47</v>
      </c>
      <c r="B251" s="20" cm="1">
        <f t="array" ref="B251">INDEX(LINEST(J$22:J$35,$A$22:$A$35^{1,2,3}), 1,2)</f>
        <v>-4.5752381932129412E-4</v>
      </c>
      <c r="C251" s="20" cm="1">
        <f t="array" ref="C251">INDEX(LINEST(K$22:K$35,$A$22:$A$35^{1,2,3}), 1,2)</f>
        <v>-1.0531884484840407E-3</v>
      </c>
      <c r="D251" s="20" cm="1">
        <f t="array" ref="D251">INDEX(LINEST(L$22:L$35,$A$22:$A$35^{1,2,3}), 1,2)</f>
        <v>-4.3234752988309094E-4</v>
      </c>
      <c r="E251" s="20" cm="1">
        <f t="array" ref="E251">INDEX(LINEST(M$22:M$35,$A$22:$A$35^{1,2,3}), 1,2)</f>
        <v>-3.4380589328202661E-4</v>
      </c>
      <c r="F251" s="20" cm="1">
        <f t="array" ref="F251">INDEX(LINEST(N$22:N$35,$A$22:$A$35^{1,2,3}), 1,2)</f>
        <v>-9.9934481878528338E-4</v>
      </c>
      <c r="G251" s="20" cm="1">
        <f t="array" ref="G251">INDEX(LINEST(O$22:O$35,$A$22:$A$35^{1,2,3}), 1,2)</f>
        <v>-4.60871894719887E-4</v>
      </c>
      <c r="H251" s="20" cm="1">
        <f t="array" ref="H251">INDEX(LINEST(P$22:P$35,$A$22:$A$35^{1,2,3}), 1,2)</f>
        <v>-4.3853817045625722E-4</v>
      </c>
      <c r="I251" s="20" cm="1">
        <f t="array" ref="I251">INDEX(LINEST(B$22:B$35,$A$22:$A$35^{1,2,3}), 1,2)</f>
        <v>1.5278796747653838E-3</v>
      </c>
      <c r="J251" s="20" cm="1">
        <f t="array" ref="J251">INDEX(LINEST($C$80:$C$100,$A$80:$A$100^{1,2,3}), 1,2)</f>
        <v>3.1257062286811068E-3</v>
      </c>
    </row>
    <row r="252" spans="1:19" x14ac:dyDescent="0.25">
      <c r="A252" t="s">
        <v>48</v>
      </c>
      <c r="B252" s="19" cm="1">
        <f t="array" ref="B252">INDEX(LINEST(J$22:J$35,$A$22:$A$35^{1,2,3}), 1)</f>
        <v>-1.0221816944028444E-6</v>
      </c>
      <c r="C252" s="19" cm="1">
        <f t="array" ref="C252">INDEX(LINEST(K$22:K$35,$A$22:$A$35^{1,2,3}), 1)</f>
        <v>3.6755739420244322E-7</v>
      </c>
      <c r="D252" s="20" cm="1">
        <f t="array" ref="D252">INDEX(LINEST(L$22:L$35,$A$22:$A$35^{1,2,3}), 1)</f>
        <v>-5.6436000658498364E-7</v>
      </c>
      <c r="E252" s="20" cm="1">
        <f t="array" ref="E252">INDEX(LINEST(M$22:M$35,$A$22:$A$35^{1,2,3}), 1)</f>
        <v>-8.3451432236423918E-7</v>
      </c>
      <c r="F252" s="20" cm="1">
        <f t="array" ref="F252">INDEX(LINEST(N$22:N$35,$A$22:$A$35^{1,2,3}), 1)</f>
        <v>2.8871960757310536E-7</v>
      </c>
      <c r="G252" s="20" cm="1">
        <f t="array" ref="G252">INDEX(LINEST(O$22:O$35,$A$22:$A$35^{1,2,3}), 1)</f>
        <v>-4.2921676590510631E-7</v>
      </c>
      <c r="H252" s="20" cm="1">
        <f t="array" ref="H252">INDEX(LINEST(P$22:P$35,$A$22:$A$35^{1,2,3}), 1)</f>
        <v>-5.3377008032190192E-7</v>
      </c>
      <c r="I252" s="20" cm="1">
        <f t="array" ref="I252">INDEX(LINEST(B$22:B$35,$A$22:$A$35^{1,2,3}), 1)</f>
        <v>1.2428494684538033E-6</v>
      </c>
      <c r="J252" s="20" cm="1">
        <f t="array" ref="J252">INDEX(LINEST($C$80:$C$100,$A$80:$A$100^{1,2,3}), 1)</f>
        <v>-7.4323710021656657E-7</v>
      </c>
    </row>
    <row r="253" spans="1:19" x14ac:dyDescent="0.25">
      <c r="A253" t="s">
        <v>49</v>
      </c>
      <c r="B253" s="19"/>
      <c r="C253" s="19"/>
      <c r="D253" s="20"/>
      <c r="E253" s="20"/>
      <c r="F253" s="20"/>
      <c r="G253" s="20"/>
      <c r="H253" s="20"/>
      <c r="I253" s="20"/>
    </row>
    <row r="254" spans="1:19" x14ac:dyDescent="0.25">
      <c r="A254" t="s">
        <v>50</v>
      </c>
      <c r="B254" s="19"/>
      <c r="C254" s="19"/>
      <c r="D254" s="20"/>
      <c r="E254" s="20"/>
      <c r="F254" s="20"/>
      <c r="G254" s="20"/>
      <c r="H254" s="20"/>
      <c r="I254" s="20"/>
    </row>
    <row r="255" spans="1:19" x14ac:dyDescent="0.25">
      <c r="A255" t="s">
        <v>51</v>
      </c>
      <c r="B255" s="19"/>
      <c r="C255" s="19"/>
      <c r="D255" s="20"/>
      <c r="E255" s="20"/>
      <c r="F255" s="20"/>
      <c r="G255" s="20"/>
      <c r="H255" s="20"/>
      <c r="I255" s="20"/>
    </row>
    <row r="256" spans="1:19" x14ac:dyDescent="0.25">
      <c r="B256" s="19"/>
      <c r="C256" s="19"/>
      <c r="D256" s="19"/>
      <c r="E256" s="19"/>
      <c r="F256" s="19"/>
      <c r="G256" s="19"/>
      <c r="H256" s="19"/>
      <c r="I256" s="19"/>
    </row>
    <row r="257" spans="1:10" x14ac:dyDescent="0.25">
      <c r="A257" s="25"/>
      <c r="B257" s="52"/>
      <c r="C257" s="52"/>
      <c r="D257" s="52"/>
      <c r="E257" s="52"/>
      <c r="F257" s="52"/>
      <c r="G257" s="52"/>
      <c r="H257" s="52"/>
    </row>
    <row r="258" spans="1:10" x14ac:dyDescent="0.25">
      <c r="A258" s="26" t="s">
        <v>3</v>
      </c>
      <c r="B258" s="50" t="s">
        <v>53</v>
      </c>
      <c r="C258" s="50"/>
      <c r="D258" s="50"/>
      <c r="E258" s="50"/>
      <c r="F258" s="50"/>
      <c r="G258" s="50"/>
      <c r="H258" s="50"/>
      <c r="I258" s="50" t="s">
        <v>54</v>
      </c>
      <c r="J258" s="50"/>
    </row>
    <row r="259" spans="1:10" x14ac:dyDescent="0.25">
      <c r="A259" s="1">
        <v>0</v>
      </c>
      <c r="B259" s="2" cm="1">
        <f t="array" ref="B259">TrajectoryToComeUp(B$249:B$252,$A259)</f>
        <v>0</v>
      </c>
      <c r="C259" s="2" cm="1">
        <f t="array" ref="C259">TrajectoryToComeUp(C$249:C$252,$A259)</f>
        <v>0</v>
      </c>
      <c r="D259" s="2" cm="1">
        <f t="array" ref="D259">TrajectoryToComeUp(D$249:D$252,$A259)</f>
        <v>0</v>
      </c>
      <c r="E259" s="2" cm="1">
        <f t="array" ref="E259">TrajectoryToComeUp(E$249:E$252,$A259)</f>
        <v>0</v>
      </c>
      <c r="F259" s="2" cm="1">
        <f t="array" ref="F259">TrajectoryToComeUp(F$249:F$252,$A259)</f>
        <v>0</v>
      </c>
      <c r="G259" s="2" cm="1">
        <f t="array" ref="G259">TrajectoryToComeUp(G$249:G$252,$A259)</f>
        <v>0</v>
      </c>
      <c r="H259" s="2" cm="1">
        <f t="array" ref="H259">TrajectoryToComeUp(H$249:H$252,$A259)</f>
        <v>0</v>
      </c>
      <c r="I259" s="2" cm="1">
        <f t="array" ref="I259">EvaluatePolynomial(I$249:I$252,$A259)</f>
        <v>4750.2545061213659</v>
      </c>
      <c r="J259" s="2" cm="1">
        <f t="array" ref="J259">EvaluatePolynomial(J$249:J$252,$A259)</f>
        <v>4739.9270656879362</v>
      </c>
    </row>
    <row r="260" spans="1:10" x14ac:dyDescent="0.25">
      <c r="A260" s="1">
        <v>25</v>
      </c>
      <c r="B260" s="2" cm="1">
        <f t="array" ref="B260">TrajectoryToComeUp(B$249:B$252,$A260)</f>
        <v>0.93169898329219447</v>
      </c>
      <c r="C260" s="2" cm="1">
        <f t="array" ref="C260">TrajectoryToComeUp(C$249:C$252,$A260)</f>
        <v>1.289690124824179</v>
      </c>
      <c r="D260" s="21" cm="1">
        <f t="array" ref="D260">TrajectoryToComeUp(D$249:D$252,$A260)</f>
        <v>1.0664902632509168</v>
      </c>
      <c r="E260" s="21" cm="1">
        <f t="array" ref="E260">TrajectoryToComeUp(E$249:E$252,$A260)</f>
        <v>0.90632946511039658</v>
      </c>
      <c r="F260" s="21" cm="1">
        <f t="array" ref="F260">TrajectoryToComeUp(F$249:F$252,$A260)</f>
        <v>0.17366043493381081</v>
      </c>
      <c r="G260" s="21" cm="1">
        <f t="array" ref="G260">TrajectoryToComeUp(G$249:G$252,$A260)</f>
        <v>-0.58176784581909424</v>
      </c>
      <c r="H260" s="21" cm="1">
        <f t="array" ref="H260">TrajectoryToComeUp(H$249:H$252,$A260)</f>
        <v>-1.8075044194141512</v>
      </c>
      <c r="I260" s="2" cm="1">
        <f t="array" ref="I260">EvaluatePolynomial(I$249:I$252,$A260)</f>
        <v>4606.7801673921658</v>
      </c>
      <c r="J260" s="2" cm="1">
        <f t="array" ref="J260">EvaluatePolynomial(J$249:J$252,$A260)</f>
        <v>4589.3067946546216</v>
      </c>
    </row>
    <row r="261" spans="1:10" x14ac:dyDescent="0.25">
      <c r="A261" s="1">
        <v>50</v>
      </c>
      <c r="B261" s="2" cm="1">
        <f t="array" ref="B261">TrajectoryToComeUp(B$249:B$252,$A261)</f>
        <v>-0.2321195870908023</v>
      </c>
      <c r="C261" s="2" cm="1">
        <f t="array" ref="C261">TrajectoryToComeUp(C$249:C$252,$A261)</f>
        <v>4.3227295213311041E-2</v>
      </c>
      <c r="D261" s="21" cm="1">
        <f t="array" ref="D261">TrajectoryToComeUp(D$249:D$252,$A261)</f>
        <v>0.12375875469892178</v>
      </c>
      <c r="E261" s="21" cm="1">
        <f t="array" ref="E261">TrajectoryToComeUp(E$249:E$252,$A261)</f>
        <v>-9.4138591841629329E-2</v>
      </c>
      <c r="F261" s="21" cm="1">
        <f t="array" ref="F261">TrajectoryToComeUp(F$249:F$252,$A261)</f>
        <v>-0.9717686595791275</v>
      </c>
      <c r="G261" s="21" cm="1">
        <f t="array" ref="G261">TrajectoryToComeUp(G$249:G$252,$A261)</f>
        <v>-1.4112771590480548</v>
      </c>
      <c r="H261" s="21" cm="1">
        <f t="array" ref="H261">TrajectoryToComeUp(H$249:H$252,$A261)</f>
        <v>-2.5447056989109318</v>
      </c>
      <c r="I261" s="2" cm="1">
        <f t="array" ref="I261">EvaluatePolynomial(I$249:I$252,$A261)</f>
        <v>4465.3321953940895</v>
      </c>
      <c r="J261" s="2" cm="1">
        <f t="array" ref="J261">EvaluatePolynomial(J$249:J$252,$A261)</f>
        <v>4442.5239779290123</v>
      </c>
    </row>
    <row r="262" spans="1:10" x14ac:dyDescent="0.25">
      <c r="A262" s="1">
        <v>75</v>
      </c>
      <c r="B262" s="2" cm="1">
        <f t="array" ref="B262">TrajectoryToComeUp(B$249:B$252,$A262)</f>
        <v>-0.51825059830484776</v>
      </c>
      <c r="C262" s="2" cm="1">
        <f t="array" ref="C262">TrajectoryToComeUp(C$249:C$252,$A262)</f>
        <v>-0.2059178414313661</v>
      </c>
      <c r="D262" s="21" cm="1">
        <f t="array" ref="D262">TrajectoryToComeUp(D$249:D$252,$A262)</f>
        <v>-0.10431815967327014</v>
      </c>
      <c r="E262" s="21" cm="1">
        <f t="array" ref="E262">TrajectoryToComeUp(E$249:E$252,$A262)</f>
        <v>-0.34946410388619442</v>
      </c>
      <c r="F262" s="21" cm="1">
        <f t="array" ref="F262">TrajectoryToComeUp(F$249:F$252,$A262)</f>
        <v>-1.1942388781418871</v>
      </c>
      <c r="G262" s="21" cm="1">
        <f t="array" ref="G262">TrajectoryToComeUp(G$249:G$252,$A262)</f>
        <v>-1.6002378618567663</v>
      </c>
      <c r="H262" s="21" cm="1">
        <f t="array" ref="H262">TrajectoryToComeUp(H$249:H$252,$A262)</f>
        <v>-2.7040055116591013</v>
      </c>
      <c r="I262" s="2" cm="1">
        <f t="array" ref="I262">EvaluatePolynomial(I$249:I$252,$A262)</f>
        <v>4326.0271072648056</v>
      </c>
      <c r="J262" s="2" cm="1">
        <f t="array" ref="J262">EvaluatePolynomial(J$249:J$252,$A262)</f>
        <v>4299.5089370329652</v>
      </c>
    </row>
    <row r="263" spans="1:10" x14ac:dyDescent="0.25">
      <c r="A263" s="1">
        <v>100</v>
      </c>
      <c r="B263" s="2" cm="1">
        <f t="array" ref="B263">TrajectoryToComeUp(B$249:B$252,$A263)</f>
        <v>-0.57537676634162849</v>
      </c>
      <c r="C263" s="2" cm="1">
        <f t="array" ref="C263">TrajectoryToComeUp(C$249:C$252,$A263)</f>
        <v>-0.20917940540514313</v>
      </c>
      <c r="D263" s="21" cm="1">
        <f t="array" ref="D263">TrajectoryToComeUp(D$249:D$252,$A263)</f>
        <v>-0.14844055043877707</v>
      </c>
      <c r="E263" s="21" cm="1">
        <f t="array" ref="E263">TrajectoryToComeUp(E$249:E$252,$A263)</f>
        <v>-0.41068040793172916</v>
      </c>
      <c r="F263" s="21" cm="1">
        <f t="array" ref="F263">TrajectoryToComeUp(F$249:F$252,$A263)</f>
        <v>-1.1886761240380999</v>
      </c>
      <c r="G263" s="21" cm="1">
        <f t="array" ref="G263">TrajectoryToComeUp(G$249:G$252,$A263)</f>
        <v>-1.6250375048800549</v>
      </c>
      <c r="H263" s="21" cm="1">
        <f t="array" ref="H263">TrajectoryToComeUp(H$249:H$252,$A263)</f>
        <v>-2.7138258632171013</v>
      </c>
      <c r="I263" s="2" cm="1">
        <f t="array" ref="I263">EvaluatePolynomial(I$249:I$252,$A263)</f>
        <v>4188.9814201419813</v>
      </c>
      <c r="J263" s="2" cm="1">
        <f t="array" ref="J263">EvaluatePolynomial(J$249:J$252,$A263)</f>
        <v>4160.1919934883326</v>
      </c>
    </row>
    <row r="264" spans="1:10" x14ac:dyDescent="0.25">
      <c r="A264" s="1">
        <v>125</v>
      </c>
      <c r="B264" s="2" cm="1">
        <f t="array" ref="B264">TrajectoryToComeUp(B$249:B$252,$A264)</f>
        <v>-0.53323463439948227</v>
      </c>
      <c r="C264" s="2" cm="1">
        <f t="array" ref="C264">TrajectoryToComeUp(C$249:C$252,$A264)</f>
        <v>-0.11684422076707855</v>
      </c>
      <c r="D264" s="21" cm="1">
        <f t="array" ref="D264">TrajectoryToComeUp(D$249:D$252,$A264)</f>
        <v>-0.11474843171222254</v>
      </c>
      <c r="E264" s="21" cm="1">
        <f t="array" ref="E264">TrajectoryToComeUp(E$249:E$252,$A264)</f>
        <v>-0.38799417135992031</v>
      </c>
      <c r="F264" s="21" cm="1">
        <f t="array" ref="F264">TrajectoryToComeUp(F$249:F$252,$A264)</f>
        <v>-1.0940655779244925</v>
      </c>
      <c r="G264" s="21" cm="1">
        <f t="array" ref="G264">TrajectoryToComeUp(G$249:G$252,$A264)</f>
        <v>-1.5809535982448863</v>
      </c>
      <c r="H264" s="21" cm="1">
        <f t="array" ref="H264">TrajectoryToComeUp(H$249:H$252,$A264)</f>
        <v>-2.6598511546966184</v>
      </c>
      <c r="I264" s="2" cm="1">
        <f t="array" ref="I264">EvaluatePolynomial(I$249:I$252,$A264)</f>
        <v>4054.3116511632829</v>
      </c>
      <c r="J264" s="2" cm="1">
        <f t="array" ref="J264">EvaluatePolynomial(J$249:J$252,$A264)</f>
        <v>4024.5034688169699</v>
      </c>
    </row>
    <row r="265" spans="1:10" x14ac:dyDescent="0.25">
      <c r="A265" s="1">
        <v>145</v>
      </c>
      <c r="B265" s="2" cm="1">
        <f t="array" ref="B265">TrajectoryToComeUp(B$249:B$252,$A265)</f>
        <v>-0.45811084149172493</v>
      </c>
      <c r="C265" s="2" cm="1">
        <f t="array" ref="C265">TrajectoryToComeUp(C$249:C$252,$A265)</f>
        <v>-8.9714988035795758E-3</v>
      </c>
      <c r="D265" s="21" cm="1">
        <f t="array" ref="D265">TrajectoryToComeUp(D$249:D$252,$A265)</f>
        <v>-5.6363493167393829E-2</v>
      </c>
      <c r="E265" s="21" cm="1">
        <f t="array" ref="E265">TrajectoryToComeUp(E$249:E$252,$A265)</f>
        <v>-0.33497289785125917</v>
      </c>
      <c r="F265" s="21" cm="1">
        <f t="array" ref="F265">TrajectoryToComeUp(F$249:F$252,$A265)</f>
        <v>-0.98646895195940509</v>
      </c>
      <c r="G265" s="21" cm="1">
        <f t="array" ref="G265">TrajectoryToComeUp(G$249:G$252,$A265)</f>
        <v>-1.5181684160810485</v>
      </c>
      <c r="H265" s="21" cm="1">
        <f t="array" ref="H265">TrajectoryToComeUp(H$249:H$252,$A265)</f>
        <v>-2.5905940886054668</v>
      </c>
      <c r="I265" s="2" cm="1">
        <f t="array" ref="I265">EvaluatePolynomial(I$249:I$252,$A265)</f>
        <v>3948.3647965606087</v>
      </c>
      <c r="J265" s="2" cm="1">
        <f t="array" ref="J265">EvaluatePolynomial(J$249:J$252,$A265)</f>
        <v>3918.518286731321</v>
      </c>
    </row>
    <row r="266" spans="1:10" x14ac:dyDescent="0.25">
      <c r="A266" s="1">
        <v>150</v>
      </c>
      <c r="B266" s="2" cm="1">
        <f t="array" ref="B266">TrajectoryToComeUp(B$249:B$252,$A266)</f>
        <v>-0.4350697168778549</v>
      </c>
      <c r="C266" s="2" cm="1">
        <f t="array" ref="C266">TrajectoryToComeUp(C$249:C$252,$A266)</f>
        <v>2.0992104463141228E-2</v>
      </c>
      <c r="D266" s="21" cm="1">
        <f t="array" ref="D266">TrajectoryToComeUp(D$249:D$252,$A266)</f>
        <v>-3.8621808198481232E-2</v>
      </c>
      <c r="E266" s="21" cm="1">
        <f t="array" ref="E266">TrajectoryToComeUp(E$249:E$252,$A266)</f>
        <v>-0.31814094996466302</v>
      </c>
      <c r="F266" s="21" cm="1">
        <f t="array" ref="F266">TrajectoryToComeUp(F$249:F$252,$A266)</f>
        <v>-0.95673563335330702</v>
      </c>
      <c r="G266" s="21" cm="1">
        <f t="array" ref="G266">TrajectoryToComeUp(G$249:G$252,$A266)</f>
        <v>-1.4997453119935822</v>
      </c>
      <c r="H266" s="21" cm="1">
        <f t="array" ref="H266">TrajectoryToComeUp(H$249:H$252,$A266)</f>
        <v>-2.5706428531348817</v>
      </c>
      <c r="I266" s="2" cm="1">
        <f t="array" ref="I266">EvaluatePolynomial(I$249:I$252,$A266)</f>
        <v>3922.1343174663798</v>
      </c>
      <c r="J266" s="2" cm="1">
        <f t="array" ref="J266">EvaluatePolynomial(J$249:J$252,$A266)</f>
        <v>3892.3736845407325</v>
      </c>
    </row>
    <row r="267" spans="1:10" x14ac:dyDescent="0.25">
      <c r="A267" s="1">
        <v>163.4</v>
      </c>
      <c r="B267" s="2" cm="1">
        <f t="array" ref="B267">TrajectoryToComeUp(B$249:B$252,$A267)</f>
        <v>-0.36629888925605286</v>
      </c>
      <c r="C267" s="2" cm="1">
        <f t="array" ref="C267">TrajectoryToComeUp(C$249:C$252,$A267)</f>
        <v>0.10560148568787113</v>
      </c>
      <c r="D267" s="21" cm="1">
        <f t="array" ref="D267">TrajectoryToComeUp(D$249:D$252,$A267)</f>
        <v>1.3999195753636841E-2</v>
      </c>
      <c r="E267" s="21" cm="1">
        <f t="array" ref="E267">TrajectoryToComeUp(E$249:E$252,$A267)</f>
        <v>-0.26715088417722083</v>
      </c>
      <c r="F267" s="21" cm="1">
        <f t="array" ref="F267">TrajectoryToComeUp(F$249:F$252,$A267)</f>
        <v>-0.8729410658307184</v>
      </c>
      <c r="G267" s="21" cm="1">
        <f t="array" ref="G267">TrajectoryToComeUp(G$249:G$252,$A267)</f>
        <v>-1.4460081142963654</v>
      </c>
      <c r="H267" s="21" cm="1">
        <f t="array" ref="H267">TrajectoryToComeUp(H$249:H$252,$A267)</f>
        <v>-2.5128852440164637</v>
      </c>
      <c r="I267" s="2" cm="1">
        <f t="array" ref="I267">EvaluatePolynomial(I$249:I$252,$A267)</f>
        <v>3852.3538182111852</v>
      </c>
      <c r="J267" s="2" cm="1">
        <f t="array" ref="J267">EvaluatePolynomial(J$249:J$252,$A267)</f>
        <v>3822.9928218336245</v>
      </c>
    </row>
    <row r="268" spans="1:10" x14ac:dyDescent="0.25">
      <c r="A268" s="1">
        <v>175</v>
      </c>
      <c r="B268" s="2" cm="1">
        <f t="array" ref="B268">TrajectoryToComeUp(B$249:B$252,$A268)</f>
        <v>-0.2994158056622227</v>
      </c>
      <c r="C268" s="2" cm="1">
        <f t="array" ref="C268">TrajectoryToComeUp(C$249:C$252,$A268)</f>
        <v>0.18286002399136578</v>
      </c>
      <c r="D268" s="21" cm="1">
        <f t="array" ref="D268">TrajectoryToComeUp(D$249:D$252,$A268)</f>
        <v>6.4776460943214945E-2</v>
      </c>
      <c r="E268" s="21" cm="1">
        <f t="array" ref="E268">TrajectoryToComeUp(E$249:E$252,$A268)</f>
        <v>-0.21686455337191257</v>
      </c>
      <c r="F268" s="21" cm="1">
        <f t="array" ref="F268">TrajectoryToComeUp(F$249:F$252,$A268)</f>
        <v>-0.79654131613264689</v>
      </c>
      <c r="G268" s="21" cm="1">
        <f t="array" ref="G268">TrajectoryToComeUp(G$249:G$252,$A268)</f>
        <v>-1.3950237190014227</v>
      </c>
      <c r="H268" s="21" cm="1">
        <f t="array" ref="H268">TrajectoryToComeUp(H$249:H$252,$A268)</f>
        <v>-2.4584415872621332</v>
      </c>
      <c r="I268" s="2" cm="1">
        <f t="array" ref="I268">EvaluatePolynomial(I$249:I$252,$A268)</f>
        <v>3792.5659361889384</v>
      </c>
      <c r="J268" s="2" cm="1">
        <f t="array" ref="J268">EvaluatePolynomial(J$249:J$252,$A268)</f>
        <v>3763.7329621814747</v>
      </c>
    </row>
    <row r="269" spans="1:10" x14ac:dyDescent="0.25">
      <c r="A269" s="1">
        <v>200</v>
      </c>
      <c r="B269" s="2" cm="1">
        <f t="array" ref="B269">TrajectoryToComeUp(B$249:B$252,$A269)</f>
        <v>-0.1355397966953244</v>
      </c>
      <c r="C269" s="2" cm="1">
        <f t="array" ref="C269">TrajectoryToComeUp(C$249:C$252,$A269)</f>
        <v>0.35802476467051902</v>
      </c>
      <c r="D269" s="21" cm="1">
        <f t="array" ref="D269">TrajectoryToComeUp(D$249:D$252,$A269)</f>
        <v>0.18786494613325005</v>
      </c>
      <c r="E269" s="21" cm="1">
        <f t="array" ref="E269">TrajectoryToComeUp(E$249:E$252,$A269)</f>
        <v>-9.2036886394646286E-2</v>
      </c>
      <c r="F269" s="21" cm="1">
        <f t="array" ref="F269">TrajectoryToComeUp(F$249:F$252,$A269)</f>
        <v>-0.62341013916656407</v>
      </c>
      <c r="G269" s="21" cm="1">
        <f t="array" ref="G269">TrajectoryToComeUp(G$249:G$252,$A269)</f>
        <v>-1.2735943557060494</v>
      </c>
      <c r="H269" s="21" cm="1">
        <f t="array" ref="H269">TrajectoryToComeUp(H$249:H$252,$A269)</f>
        <v>-2.3293676714434937</v>
      </c>
      <c r="I269" s="2" cm="1">
        <f t="array" ref="I269">EvaluatePolynomial(I$249:I$252,$A269)</f>
        <v>3665.7230244686266</v>
      </c>
      <c r="J269" s="2" cm="1">
        <f t="array" ref="J269">EvaluatePolynomial(J$249:J$252,$A269)</f>
        <v>3638.5116232610512</v>
      </c>
    </row>
    <row r="270" spans="1:10" x14ac:dyDescent="0.25">
      <c r="A270" s="1">
        <v>225</v>
      </c>
      <c r="B270" s="2" cm="1">
        <f t="array" ref="B270">TrajectoryToComeUp(B$249:B$252,$A270)</f>
        <v>5.1410034499096639E-2</v>
      </c>
      <c r="C270" s="2" cm="1">
        <f t="array" ref="C270">TrajectoryToComeUp(C$249:C$252,$A270)</f>
        <v>0.54052256364111451</v>
      </c>
      <c r="D270" s="21" cm="1">
        <f t="array" ref="D270">TrajectoryToComeUp(D$249:D$252,$A270)</f>
        <v>0.32643174204961495</v>
      </c>
      <c r="E270" s="21" cm="1">
        <f t="array" ref="E270">TrajectoryToComeUp(E$249:E$252,$A270)</f>
        <v>5.1968770515481162E-2</v>
      </c>
      <c r="F270" s="21" cm="1">
        <f t="array" ref="F270">TrajectoryToComeUp(F$249:F$252,$A270)</f>
        <v>-0.4428573874017539</v>
      </c>
      <c r="G270" s="21" cm="1">
        <f t="array" ref="G270">TrajectoryToComeUp(G$249:G$252,$A270)</f>
        <v>-1.1392380756839282</v>
      </c>
      <c r="H270" s="21" cm="1">
        <f t="array" ref="H270">TrajectoryToComeUp(H$249:H$252,$A270)</f>
        <v>-2.1868212803262517</v>
      </c>
      <c r="I270" s="2" cm="1">
        <f t="array" ref="I270">EvaluatePolynomial(I$249:I$252,$A270)</f>
        <v>3541.7220994431118</v>
      </c>
      <c r="J270" s="2" cm="1">
        <f t="array" ref="J270">EvaluatePolynomial(J$249:J$252,$A270)</f>
        <v>3516.6399893013167</v>
      </c>
    </row>
    <row r="271" spans="1:10" x14ac:dyDescent="0.25">
      <c r="A271" s="1">
        <v>247.4</v>
      </c>
      <c r="B271" s="2" cm="1">
        <f t="array" ref="B271">TrajectoryToComeUp(B$249:B$252,$A271)</f>
        <v>0.23595672040659765</v>
      </c>
      <c r="C271" s="2" cm="1">
        <f t="array" ref="C271">TrajectoryToComeUp(C$249:C$252,$A271)</f>
        <v>0.70730448041558436</v>
      </c>
      <c r="D271" s="21" cm="1">
        <f t="array" ref="D271">TrajectoryToComeUp(D$249:D$252,$A271)</f>
        <v>0.46164105417005874</v>
      </c>
      <c r="E271" s="21" cm="1">
        <f t="array" ref="E271">TrajectoryToComeUp(E$249:E$252,$A271)</f>
        <v>0.19511361196807697</v>
      </c>
      <c r="F271" s="21" cm="1">
        <f t="array" ref="F271">TrajectoryToComeUp(F$249:F$252,$A271)</f>
        <v>-0.27752008664484618</v>
      </c>
      <c r="G271" s="21" cm="1">
        <f t="array" ref="G271">TrajectoryToComeUp(G$249:G$252,$A271)</f>
        <v>-1.0097542640042823</v>
      </c>
      <c r="H271" s="21" cm="1">
        <f t="array" ref="H271">TrajectoryToComeUp(H$249:H$252,$A271)</f>
        <v>-2.0493464737321894</v>
      </c>
      <c r="I271" s="2" cm="1">
        <f t="array" ref="I271">EvaluatePolynomial(I$249:I$252,$A271)</f>
        <v>3433.1268164631624</v>
      </c>
      <c r="J271" s="2" cm="1">
        <f t="array" ref="J271">EvaluatePolynomial(J$249:J$252,$A271)</f>
        <v>3410.23113777038</v>
      </c>
    </row>
    <row r="272" spans="1:10" x14ac:dyDescent="0.25">
      <c r="A272" s="1">
        <v>250</v>
      </c>
      <c r="B272" s="2" cm="1">
        <f t="array" ref="B272">TrajectoryToComeUp(B$249:B$252,$A272)</f>
        <v>0.25834472260679392</v>
      </c>
      <c r="C272" s="2" cm="1">
        <f t="array" ref="C272">TrajectoryToComeUp(C$249:C$252,$A272)</f>
        <v>0.72677516318746038</v>
      </c>
      <c r="D272" s="21" cm="1">
        <f t="array" ref="D272">TrajectoryToComeUp(D$249:D$252,$A272)</f>
        <v>0.47794970549910487</v>
      </c>
      <c r="E272" s="21" cm="1">
        <f t="array" ref="E272">TrajectoryToComeUp(E$249:E$252,$A272)</f>
        <v>0.21252844908747751</v>
      </c>
      <c r="F272" s="21" cm="1">
        <f t="array" ref="F272">TrajectoryToComeUp(F$249:F$252,$A272)</f>
        <v>-0.25819223180623418</v>
      </c>
      <c r="G272" s="21" cm="1">
        <f t="array" ref="G272">TrajectoryToComeUp(G$249:G$252,$A272)</f>
        <v>-0.99422339108093949</v>
      </c>
      <c r="H272" s="21" cm="1">
        <f t="array" ref="H272">TrajectoryToComeUp(H$249:H$252,$A272)</f>
        <v>-2.0328425186987813</v>
      </c>
      <c r="I272" s="2" cm="1">
        <f t="array" ref="I272">EvaluatePolynomial(I$249:I$252,$A272)</f>
        <v>3420.6796782500614</v>
      </c>
      <c r="J272" s="2" cm="1">
        <f t="array" ref="J272">EvaluatePolynomial(J$249:J$252,$A272)</f>
        <v>3398.0483818241255</v>
      </c>
    </row>
    <row r="273" spans="1:10" x14ac:dyDescent="0.25">
      <c r="A273" s="1">
        <v>275</v>
      </c>
      <c r="B273" s="2" cm="1">
        <f t="array" ref="B273">TrajectoryToComeUp(B$249:B$252,$A273)</f>
        <v>0.48329856242779312</v>
      </c>
      <c r="C273" s="2" cm="1">
        <f t="array" ref="C273">TrajectoryToComeUp(C$249:C$252,$A273)</f>
        <v>0.91450549021775307</v>
      </c>
      <c r="D273" s="21" cm="1">
        <f t="array" ref="D273">TrajectoryToComeUp(D$249:D$252,$A273)</f>
        <v>0.64081065444967966</v>
      </c>
      <c r="E273" s="21" cm="1">
        <f t="array" ref="E273">TrajectoryToComeUp(E$249:E$252,$A273)</f>
        <v>0.3879723513307114</v>
      </c>
      <c r="F273" s="21" cm="1">
        <f t="array" ref="F273">TrajectoryToComeUp(F$249:F$252,$A273)</f>
        <v>-7.1520508450561085E-2</v>
      </c>
      <c r="G273" s="21" cm="1">
        <f t="array" ref="G273">TrajectoryToComeUp(G$249:G$252,$A273)</f>
        <v>-0.83999390053537093</v>
      </c>
      <c r="H273" s="21" cm="1">
        <f t="array" ref="H273">TrajectoryToComeUp(H$249:H$252,$A273)</f>
        <v>-1.8687296350627742</v>
      </c>
      <c r="I273" s="2" cm="1">
        <f t="array" ref="I273">EvaluatePolynomial(I$249:I$252,$A273)</f>
        <v>3302.7122780271438</v>
      </c>
      <c r="J273" s="2" cm="1">
        <f t="array" ref="J273">EvaluatePolynomial(J$249:J$252,$A273)</f>
        <v>3282.6671223513331</v>
      </c>
    </row>
    <row r="274" spans="1:10" x14ac:dyDescent="0.25">
      <c r="A274" s="1">
        <v>300</v>
      </c>
      <c r="B274" s="2" cm="1">
        <f t="array" ref="B274">TrajectoryToComeUp(B$249:B$252,$A274)</f>
        <v>0.72496108382877766</v>
      </c>
      <c r="C274" s="2" cm="1">
        <f t="array" ref="C274">TrajectoryToComeUp(C$249:C$252,$A274)</f>
        <v>1.1021954960041229</v>
      </c>
      <c r="D274" s="21" cm="1">
        <f t="array" ref="D274">TrajectoryToComeUp(D$249:D$252,$A274)</f>
        <v>0.81394246754664645</v>
      </c>
      <c r="E274" s="21" cm="1">
        <f t="array" ref="E274">TrajectoryToComeUp(E$249:E$252,$A274)</f>
        <v>0.57718727858476127</v>
      </c>
      <c r="F274" s="21" cm="1">
        <f t="array" ref="F274">TrajectoryToComeUp(F$249:F$252,$A274)</f>
        <v>0.11575389195156149</v>
      </c>
      <c r="G274" s="21" cm="1">
        <f t="array" ref="G274">TrajectoryToComeUp(G$249:G$252,$A274)</f>
        <v>-0.67751200313941362</v>
      </c>
      <c r="H274" s="21" cm="1">
        <f t="array" ref="H274">TrajectoryToComeUp(H$249:H$252,$A274)</f>
        <v>-1.695348128419359</v>
      </c>
      <c r="I274" s="2" cm="1">
        <f t="array" ref="I274">EvaluatePolynomial(I$249:I$252,$A274)</f>
        <v>3187.9364159120255</v>
      </c>
      <c r="J274" s="2" cm="1">
        <f t="array" ref="J274">EvaluatePolynomial(J$249:J$252,$A274)</f>
        <v>3170.4265324047933</v>
      </c>
    </row>
    <row r="275" spans="1:10" x14ac:dyDescent="0.25">
      <c r="A275" s="1">
        <v>325</v>
      </c>
      <c r="B275" s="2" cm="1">
        <f t="array" ref="B275">TrajectoryToComeUp(B$249:B$252,$A275)</f>
        <v>0.98242503825591254</v>
      </c>
      <c r="C275" s="2" cm="1">
        <f t="array" ref="C275">TrajectoryToComeUp(C$249:C$252,$A275)</f>
        <v>1.2887942237349683</v>
      </c>
      <c r="D275" s="21" cm="1">
        <f t="array" ref="D275">TrajectoryToComeUp(D$249:D$252,$A275)</f>
        <v>0.99660290692906339</v>
      </c>
      <c r="E275" s="21" cm="1">
        <f t="array" ref="E275">TrajectoryToComeUp(E$249:E$252,$A275)</f>
        <v>0.77940255485395149</v>
      </c>
      <c r="F275" s="21" cm="1">
        <f t="array" ref="F275">TrajectoryToComeUp(F$249:F$252,$A275)</f>
        <v>0.30265904505987601</v>
      </c>
      <c r="G275" s="21" cm="1">
        <f t="array" ref="G275">TrajectoryToComeUp(G$249:G$252,$A275)</f>
        <v>-0.50744397518766193</v>
      </c>
      <c r="H275" s="21" cm="1">
        <f t="array" ref="H275">TrajectoryToComeUp(H$249:H$252,$A275)</f>
        <v>-1.513297190384701</v>
      </c>
      <c r="I275" s="2" cm="1">
        <f t="array" ref="I275">EvaluatePolynomial(I$249:I$252,$A275)</f>
        <v>3076.4686090423743</v>
      </c>
      <c r="J275" s="2" cm="1">
        <f t="array" ref="J275">EvaluatePolynomial(J$249:J$252,$A275)</f>
        <v>3061.2569335063617</v>
      </c>
    </row>
    <row r="276" spans="1:10" x14ac:dyDescent="0.25">
      <c r="A276" s="1">
        <v>350</v>
      </c>
      <c r="B276" s="2" cm="1">
        <f t="array" ref="B276">TrajectoryToComeUp(B$249:B$252,$A276)</f>
        <v>1.2550423910278876</v>
      </c>
      <c r="C276" s="2" cm="1">
        <f t="array" ref="C276">TrajectoryToComeUp(C$249:C$252,$A276)</f>
        <v>1.4735509899734305</v>
      </c>
      <c r="D276" s="21" cm="1">
        <f t="array" ref="D276">TrajectoryToComeUp(D$249:D$252,$A276)</f>
        <v>1.1882618026962584</v>
      </c>
      <c r="E276" s="21" cm="1">
        <f t="array" ref="E276">TrajectoryToComeUp(E$249:E$252,$A276)</f>
        <v>0.99406769728422706</v>
      </c>
      <c r="F276" s="21" cm="1">
        <f t="array" ref="F276">TrajectoryToComeUp(F$249:F$252,$A276)</f>
        <v>0.48850071920277072</v>
      </c>
      <c r="G276" s="21" cm="1">
        <f t="array" ref="G276">TrajectoryToComeUp(G$249:G$252,$A276)</f>
        <v>-0.33026572831911183</v>
      </c>
      <c r="H276" s="21" cm="1">
        <f t="array" ref="H276">TrajectoryToComeUp(H$249:H$252,$A276)</f>
        <v>-1.3230048149703475</v>
      </c>
      <c r="I276" s="2" cm="1">
        <f t="array" ref="I276">EvaluatePolynomial(I$249:I$252,$A276)</f>
        <v>2968.4253745558581</v>
      </c>
      <c r="J276" s="2" cm="1">
        <f t="array" ref="J276">EvaluatePolynomial(J$249:J$252,$A276)</f>
        <v>2955.0886471778917</v>
      </c>
    </row>
    <row r="277" spans="1:10" x14ac:dyDescent="0.25">
      <c r="A277" s="1">
        <v>375</v>
      </c>
      <c r="B277" s="2" cm="1">
        <f t="array" ref="B277">TrajectoryToComeUp(B$249:B$252,$A277)</f>
        <v>1.5423379167117426</v>
      </c>
      <c r="C277" s="2" cm="1">
        <f t="array" ref="C277">TrajectoryToComeUp(C$249:C$252,$A277)</f>
        <v>1.6559152935324806</v>
      </c>
      <c r="D277" s="21" cm="1">
        <f t="array" ref="D277">TrajectoryToComeUp(D$249:D$252,$A277)</f>
        <v>1.388530363587738</v>
      </c>
      <c r="E277" s="21" cm="1">
        <f t="array" ref="E277">TrajectoryToComeUp(E$249:E$252,$A277)</f>
        <v>1.2207790184492817</v>
      </c>
      <c r="F277" s="21" cm="1">
        <f t="array" ref="F277">TrajectoryToComeUp(F$249:F$252,$A277)</f>
        <v>0.67276981115439727</v>
      </c>
      <c r="G277" s="21" cm="1">
        <f t="array" ref="G277">TrajectoryToComeUp(G$249:G$252,$A277)</f>
        <v>-0.14632626440236005</v>
      </c>
      <c r="H277" s="21" cm="1">
        <f t="array" ref="H277">TrajectoryToComeUp(H$249:H$252,$A277)</f>
        <v>-1.1247848644514324</v>
      </c>
      <c r="I277" s="2" cm="1">
        <f t="array" ref="I277">EvaluatePolynomial(I$249:I$252,$A277)</f>
        <v>2863.9232295901443</v>
      </c>
      <c r="J277" s="2" cm="1">
        <f t="array" ref="J277">EvaluatePolynomial(J$249:J$252,$A277)</f>
        <v>2851.8519949412398</v>
      </c>
    </row>
    <row r="278" spans="1:10" x14ac:dyDescent="0.25">
      <c r="A278" s="1">
        <v>400</v>
      </c>
      <c r="B278" s="2" cm="1">
        <f t="array" ref="B278">TrajectoryToComeUp(B$249:B$252,$A278)</f>
        <v>1.8439551962327556</v>
      </c>
      <c r="C278" s="2" cm="1">
        <f t="array" ref="C278">TrajectoryToComeUp(C$249:C$252,$A278)</f>
        <v>1.8354742585218455</v>
      </c>
      <c r="D278" s="21" cm="1">
        <f t="array" ref="D278">TrajectoryToComeUp(D$249:D$252,$A278)</f>
        <v>1.5971169961581326</v>
      </c>
      <c r="E278" s="21" cm="1">
        <f t="array" ref="E278">TrajectoryToComeUp(E$249:E$252,$A278)</f>
        <v>1.4592337527793864</v>
      </c>
      <c r="F278" s="21" cm="1">
        <f t="array" ref="F278">TrajectoryToComeUp(F$249:F$252,$A278)</f>
        <v>0.85508449349536819</v>
      </c>
      <c r="G278" s="21" cm="1">
        <f t="array" ref="G278">TrajectoryToComeUp(G$249:G$252,$A278)</f>
        <v>4.4112665161145606E-2</v>
      </c>
      <c r="H278" s="21" cm="1">
        <f t="array" ref="H278">TrajectoryToComeUp(H$249:H$252,$A278)</f>
        <v>-0.91887273553430715</v>
      </c>
      <c r="I278" s="2" cm="1">
        <f t="array" ref="I278">EvaluatePolynomial(I$249:I$252,$A278)</f>
        <v>2763.0786912829003</v>
      </c>
      <c r="J278" s="2" cm="1">
        <f t="array" ref="J278">EvaluatePolynomial(J$249:J$252,$A278)</f>
        <v>2751.4772983182593</v>
      </c>
    </row>
    <row r="279" spans="1:10" x14ac:dyDescent="0.25">
      <c r="A279" s="1">
        <v>425</v>
      </c>
      <c r="B279" s="2" cm="1">
        <f t="array" ref="B279">TrajectoryToComeUp(B$249:B$252,$A279)</f>
        <v>2.1596216738279055</v>
      </c>
      <c r="C279" s="2" cm="1">
        <f t="array" ref="C279">TrajectoryToComeUp(C$249:C$252,$A279)</f>
        <v>2.0119121563195534</v>
      </c>
      <c r="D279" s="21" cm="1">
        <f t="array" ref="D279">TrajectoryToComeUp(D$249:D$252,$A279)</f>
        <v>1.8137987171845122</v>
      </c>
      <c r="E279" s="21" cm="1">
        <f t="array" ref="E279">TrajectoryToComeUp(E$249:E$252,$A279)</f>
        <v>1.7092003736623931</v>
      </c>
      <c r="F279" s="21" cm="1">
        <f t="array" ref="F279">TrajectoryToComeUp(F$249:F$252,$A279)</f>
        <v>1.035152780552036</v>
      </c>
      <c r="G279" s="21" cm="1">
        <f t="array" ref="G279">TrajectoryToComeUp(G$249:G$252,$A279)</f>
        <v>0.24085089753500397</v>
      </c>
      <c r="H279" s="21" cm="1">
        <f t="array" ref="H279">TrajectoryToComeUp(H$249:H$252,$A279)</f>
        <v>-0.70544843746500407</v>
      </c>
      <c r="I279" s="2" cm="1">
        <f t="array" ref="I279">EvaluatePolynomial(I$249:I$252,$A279)</f>
        <v>2666.0082767717936</v>
      </c>
      <c r="J279" s="2" cm="1">
        <f t="array" ref="J279">EvaluatePolynomial(J$249:J$252,$A279)</f>
        <v>2653.8948788308053</v>
      </c>
    </row>
    <row r="280" spans="1:10" x14ac:dyDescent="0.25">
      <c r="A280" s="1">
        <v>450</v>
      </c>
      <c r="B280" s="2" cm="1">
        <f t="array" ref="B280">TrajectoryToComeUp(B$249:B$252,$A280)</f>
        <v>2.4891253616815088</v>
      </c>
      <c r="C280" s="2" cm="1">
        <f t="array" ref="C280">TrajectoryToComeUp(C$249:C$252,$A280)</f>
        <v>2.1849834202196252</v>
      </c>
      <c r="D280" s="21" cm="1">
        <f t="array" ref="D280">TrajectoryToComeUp(D$249:D$252,$A280)</f>
        <v>2.0384020952712651</v>
      </c>
      <c r="E280" s="21" cm="1">
        <f t="array" ref="E280">TrajectoryToComeUp(E$249:E$252,$A280)</f>
        <v>1.9704988048444116</v>
      </c>
      <c r="F280" s="21" cm="1">
        <f t="array" ref="F280">TrajectoryToComeUp(F$249:F$252,$A280)</f>
        <v>1.2127475723560059</v>
      </c>
      <c r="G280" s="21" cm="1">
        <f t="array" ref="G280">TrajectoryToComeUp(G$249:G$252,$A280)</f>
        <v>0.44373275051312533</v>
      </c>
      <c r="H280" s="21" cm="1">
        <f t="array" ref="H280">TrajectoryToComeUp(H$249:H$252,$A280)</f>
        <v>-0.48465197743488236</v>
      </c>
      <c r="I280" s="2" cm="1">
        <f t="array" ref="I280">EvaluatePolynomial(I$249:I$252,$A280)</f>
        <v>2572.828503194492</v>
      </c>
      <c r="J280" s="2" cm="1">
        <f t="array" ref="J280">EvaluatePolynomial(J$249:J$252,$A280)</f>
        <v>2559.035058000733</v>
      </c>
    </row>
    <row r="281" spans="1:10" x14ac:dyDescent="0.25">
      <c r="A281" s="1">
        <v>475</v>
      </c>
      <c r="B281" s="2" cm="1">
        <f t="array" ref="B281">TrajectoryToComeUp(B$249:B$252,$A281)</f>
        <v>2.8322989009917108</v>
      </c>
      <c r="C281" s="2" cm="1">
        <f t="array" ref="C281">TrajectoryToComeUp(C$249:C$252,$A281)</f>
        <v>2.3544941817699718</v>
      </c>
      <c r="D281" s="21" cm="1">
        <f t="array" ref="D281">TrajectoryToComeUp(D$249:D$252,$A281)</f>
        <v>2.2707902108955391</v>
      </c>
      <c r="E281" s="21" cm="1">
        <f t="array" ref="E281">TrajectoryToComeUp(E$249:E$252,$A281)</f>
        <v>2.2429868808618423</v>
      </c>
      <c r="F281" s="21" cm="1">
        <f t="array" ref="F281">TrajectoryToComeUp(F$249:F$252,$A281)</f>
        <v>1.3876895794585475</v>
      </c>
      <c r="G281" s="21" cm="1">
        <f t="array" ref="G281">TrajectoryToComeUp(G$249:G$252,$A281)</f>
        <v>0.65263531709070155</v>
      </c>
      <c r="H281" s="21" cm="1">
        <f t="array" ref="H281">TrajectoryToComeUp(H$249:H$252,$A281)</f>
        <v>-0.25659388743712019</v>
      </c>
      <c r="I281" s="2" cm="1">
        <f t="array" ref="I281">EvaluatePolynomial(I$249:I$252,$A281)</f>
        <v>2483.6558876886634</v>
      </c>
      <c r="J281" s="2" cm="1">
        <f t="array" ref="J281">EvaluatePolynomial(J$249:J$252,$A281)</f>
        <v>2466.8281573498962</v>
      </c>
    </row>
    <row r="282" spans="1:10" x14ac:dyDescent="0.25">
      <c r="A282" s="1">
        <v>500</v>
      </c>
      <c r="B282" s="2" cm="1">
        <f t="array" ref="B282">TrajectoryToComeUp(B$249:B$252,$A282)</f>
        <v>3.1890084047170255</v>
      </c>
      <c r="C282" s="2" cm="1">
        <f t="array" ref="C282">TrajectoryToComeUp(C$249:C$252,$A282)</f>
        <v>2.5202893462089233</v>
      </c>
      <c r="D282" s="21" cm="1">
        <f t="array" ref="D282">TrajectoryToComeUp(D$249:D$252,$A282)</f>
        <v>2.510853528439053</v>
      </c>
      <c r="E282" s="21" cm="1">
        <f t="array" ref="E282">TrajectoryToComeUp(E$249:E$252,$A282)</f>
        <v>2.5265508693438061</v>
      </c>
      <c r="F282" s="21" cm="1">
        <f t="array" ref="F282">TrajectoryToComeUp(F$249:F$252,$A282)</f>
        <v>1.5598353703006753</v>
      </c>
      <c r="G282" s="21" cm="1">
        <f t="array" ref="G282">TrajectoryToComeUp(G$249:G$252,$A282)</f>
        <v>0.86746027166388695</v>
      </c>
      <c r="H282" s="21" cm="1">
        <f t="array" ref="H282">TrajectoryToComeUp(H$249:H$252,$A282)</f>
        <v>-2.1362593066260059E-2</v>
      </c>
      <c r="I282" s="2" cm="1">
        <f t="array" ref="I282">EvaluatePolynomial(I$249:I$252,$A282)</f>
        <v>2398.6069473919738</v>
      </c>
      <c r="J282" s="2" cm="1">
        <f t="array" ref="J282">EvaluatePolynomial(J$249:J$252,$A282)</f>
        <v>2377.20449840015</v>
      </c>
    </row>
  </sheetData>
  <mergeCells count="6">
    <mergeCell ref="F1:I1"/>
    <mergeCell ref="C20:G20"/>
    <mergeCell ref="J20:N20"/>
    <mergeCell ref="B257:H257"/>
    <mergeCell ref="B258:H258"/>
    <mergeCell ref="I258:J258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6960A-95A5-440B-B3A9-C30B6209A92C}">
  <sheetPr codeName="Sheet3"/>
  <dimension ref="A1:W282"/>
  <sheetViews>
    <sheetView tabSelected="1" workbookViewId="0">
      <selection activeCell="F13" sqref="F13"/>
    </sheetView>
  </sheetViews>
  <sheetFormatPr defaultRowHeight="15" x14ac:dyDescent="0.25"/>
  <cols>
    <col min="1" max="1" width="34.5703125" customWidth="1"/>
    <col min="2" max="2" width="29.28515625" customWidth="1"/>
    <col min="3" max="3" width="30.7109375" customWidth="1"/>
    <col min="4" max="4" width="16.42578125" customWidth="1"/>
    <col min="5" max="5" width="15.7109375" customWidth="1"/>
    <col min="6" max="6" width="23.570312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5" width="15.7109375" customWidth="1"/>
    <col min="16" max="16" width="16.7109375" customWidth="1"/>
    <col min="17" max="17" width="17.42578125" customWidth="1"/>
    <col min="18" max="18" width="14.28515625" customWidth="1"/>
    <col min="19" max="19" width="22" customWidth="1"/>
    <col min="20" max="20" width="17" customWidth="1"/>
    <col min="22" max="22" width="10.85546875" customWidth="1"/>
  </cols>
  <sheetData>
    <row r="1" spans="1:9" x14ac:dyDescent="0.25">
      <c r="A1" s="37" t="s">
        <v>17</v>
      </c>
      <c r="B1" t="s">
        <v>55</v>
      </c>
      <c r="C1" t="s">
        <v>26</v>
      </c>
      <c r="D1" t="s">
        <v>78</v>
      </c>
      <c r="F1" s="54" t="s">
        <v>105</v>
      </c>
      <c r="G1" s="54"/>
      <c r="H1" s="54"/>
      <c r="I1" s="54"/>
    </row>
    <row r="2" spans="1:9" x14ac:dyDescent="0.25">
      <c r="A2" s="37" t="s">
        <v>58</v>
      </c>
      <c r="B2" s="2">
        <v>170</v>
      </c>
      <c r="C2" s="2">
        <f>CONVERT($B$2,"grain","g")</f>
        <v>11.0158147</v>
      </c>
      <c r="D2" s="2"/>
      <c r="E2" s="2"/>
      <c r="F2" t="s">
        <v>58</v>
      </c>
      <c r="G2" s="2">
        <v>170</v>
      </c>
      <c r="H2" s="2">
        <f>CONVERT($G$2,"grain","g")</f>
        <v>11.0158147</v>
      </c>
    </row>
    <row r="3" spans="1:9" x14ac:dyDescent="0.25">
      <c r="A3" s="37" t="s">
        <v>59</v>
      </c>
      <c r="B3" s="2">
        <v>0.28399999999999997</v>
      </c>
      <c r="C3" s="2">
        <f>CONVERT($B$3,"in","mm")</f>
        <v>7.2135999999999996</v>
      </c>
      <c r="D3" s="2"/>
      <c r="E3" s="2"/>
      <c r="F3" t="s">
        <v>59</v>
      </c>
      <c r="G3" s="2">
        <v>0.28399999999999997</v>
      </c>
      <c r="H3" s="2">
        <f>CONVERT($G$3,"in","mm")</f>
        <v>7.2135999999999996</v>
      </c>
    </row>
    <row r="4" spans="1:9" x14ac:dyDescent="0.25">
      <c r="A4" s="37" t="s">
        <v>10</v>
      </c>
      <c r="B4" s="2"/>
      <c r="C4" s="2"/>
      <c r="F4" t="s">
        <v>10</v>
      </c>
      <c r="G4" s="2" t="s">
        <v>106</v>
      </c>
      <c r="H4" s="2"/>
    </row>
    <row r="5" spans="1:9" x14ac:dyDescent="0.25">
      <c r="A5" s="37" t="s">
        <v>18</v>
      </c>
      <c r="B5" s="2">
        <v>0.64600000000000002</v>
      </c>
      <c r="C5" s="2"/>
      <c r="D5" s="2"/>
      <c r="F5" t="s">
        <v>18</v>
      </c>
      <c r="G5" s="2">
        <v>0.64600000000000002</v>
      </c>
      <c r="H5" s="2"/>
    </row>
    <row r="6" spans="1:9" x14ac:dyDescent="0.25">
      <c r="A6" s="37" t="s">
        <v>56</v>
      </c>
      <c r="B6" s="2">
        <v>4453.2</v>
      </c>
      <c r="C6" s="2">
        <f>CONVERT($B$6,"J","flb")</f>
        <v>3284.511763161518</v>
      </c>
      <c r="D6" s="2"/>
      <c r="E6" s="30"/>
      <c r="F6" t="s">
        <v>107</v>
      </c>
      <c r="G6" s="2" cm="1">
        <f t="array" ref="G6">MuzzleVelocityToMuzzleEnergyFtLb(G7,G2)</f>
        <v>3284.4239076836348</v>
      </c>
      <c r="H6" s="2" cm="1">
        <f t="array" ref="H6">MuzzleVelocityToMuzzleEnergyJoules(H7,H2)</f>
        <v>4453.0808839662259</v>
      </c>
    </row>
    <row r="7" spans="1:9" x14ac:dyDescent="0.25">
      <c r="A7" s="37" t="s">
        <v>57</v>
      </c>
      <c r="B7" s="2" cm="1">
        <f t="array" ref="B7">MuzzleEnergyToMuzzleVelocityMPS(B6,C2)</f>
        <v>899.17202579287141</v>
      </c>
      <c r="C7" s="2" cm="1">
        <f t="array" ref="C7">MuzzleEnergyToMuzzleVelocityFPS(C6,B2)</f>
        <v>2950.0394547010219</v>
      </c>
      <c r="D7" s="29"/>
      <c r="E7" s="30"/>
      <c r="F7" t="s">
        <v>108</v>
      </c>
      <c r="G7" s="2">
        <v>2950</v>
      </c>
      <c r="H7" s="2">
        <f>CONVERT($G$7,"ft","m")</f>
        <v>899.16</v>
      </c>
    </row>
    <row r="8" spans="1:9" x14ac:dyDescent="0.25">
      <c r="A8" s="37" t="s">
        <v>0</v>
      </c>
      <c r="B8" s="2">
        <v>0</v>
      </c>
      <c r="C8" s="2"/>
    </row>
    <row r="9" spans="1:9" x14ac:dyDescent="0.25">
      <c r="A9" s="37" t="s">
        <v>1</v>
      </c>
      <c r="B9" s="2">
        <v>0</v>
      </c>
      <c r="C9" s="2">
        <f>CONVERT($B$9,"m/sec","km/hr")</f>
        <v>0</v>
      </c>
    </row>
    <row r="10" spans="1:9" x14ac:dyDescent="0.25">
      <c r="A10" s="37" t="s">
        <v>2</v>
      </c>
      <c r="B10" s="2">
        <v>0</v>
      </c>
      <c r="C10" s="2"/>
    </row>
    <row r="11" spans="1:9" x14ac:dyDescent="0.25">
      <c r="A11" s="37" t="s">
        <v>93</v>
      </c>
      <c r="B11" s="2">
        <v>1</v>
      </c>
      <c r="C11" s="38"/>
    </row>
    <row r="12" spans="1:9" x14ac:dyDescent="0.25">
      <c r="A12" s="37" t="s">
        <v>94</v>
      </c>
      <c r="B12" s="2" cm="1">
        <f t="array" ref="B12">MOAToMRAD(B11)</f>
        <v>0.29088820866572157</v>
      </c>
      <c r="C12" s="38">
        <f>$B$12/2</f>
        <v>0.14544410433286079</v>
      </c>
    </row>
    <row r="13" spans="1:9" x14ac:dyDescent="0.25">
      <c r="A13" s="37" t="s">
        <v>22</v>
      </c>
      <c r="B13" s="2">
        <f>CONVERT(1.5,"in","cm")</f>
        <v>3.81</v>
      </c>
      <c r="D13" s="2">
        <f>CONVERT($B$12,"cm","in")</f>
        <v>0.11452291679752817</v>
      </c>
    </row>
    <row r="14" spans="1:9" x14ac:dyDescent="0.25">
      <c r="A14" s="37" t="s">
        <v>4</v>
      </c>
      <c r="B14" t="s">
        <v>95</v>
      </c>
    </row>
    <row r="15" spans="1:9" x14ac:dyDescent="0.25">
      <c r="A15" s="47" t="s">
        <v>96</v>
      </c>
      <c r="B15" s="28" t="s">
        <v>97</v>
      </c>
      <c r="C15" s="28" t="s">
        <v>98</v>
      </c>
      <c r="D15" s="28" t="s">
        <v>99</v>
      </c>
      <c r="E15" s="28" t="s">
        <v>100</v>
      </c>
    </row>
    <row r="16" spans="1:9" x14ac:dyDescent="0.25">
      <c r="A16" s="37" t="s">
        <v>101</v>
      </c>
      <c r="B16" s="2">
        <v>0.95</v>
      </c>
      <c r="C16" s="2">
        <f>$B16/2</f>
        <v>0.47499999999999998</v>
      </c>
      <c r="D16" s="2">
        <f>$B$16 * $B$18</f>
        <v>0.73691679528649467</v>
      </c>
      <c r="E16" s="21">
        <f>$D16/2</f>
        <v>0.36845839764324734</v>
      </c>
    </row>
    <row r="17" spans="1:17" x14ac:dyDescent="0.25">
      <c r="A17" s="37" t="s">
        <v>102</v>
      </c>
      <c r="B17" s="2">
        <v>0.375</v>
      </c>
      <c r="C17" s="2">
        <f t="shared" ref="C17" si="0">$B17/2</f>
        <v>0.1875</v>
      </c>
      <c r="D17" s="2">
        <f>$B$16 * $B$17</f>
        <v>0.35624999999999996</v>
      </c>
      <c r="E17" s="21">
        <f>$D17/2</f>
        <v>0.17812499999999998</v>
      </c>
    </row>
    <row r="18" spans="1:17" x14ac:dyDescent="0.25">
      <c r="A18" s="11" t="s">
        <v>103</v>
      </c>
      <c r="B18" s="12">
        <f>$B$12/$B$17</f>
        <v>0.77570188977525756</v>
      </c>
      <c r="C18" s="2"/>
      <c r="J18" s="2">
        <v>5.05</v>
      </c>
      <c r="K18" s="2">
        <v>4.5</v>
      </c>
      <c r="L18" s="2">
        <v>4</v>
      </c>
      <c r="M18" s="2">
        <v>3.75</v>
      </c>
      <c r="N18" s="2">
        <v>4</v>
      </c>
      <c r="O18" s="2">
        <v>3.5</v>
      </c>
      <c r="P18" s="2">
        <v>4</v>
      </c>
    </row>
    <row r="19" spans="1:17" x14ac:dyDescent="0.25">
      <c r="A19" s="40" t="s">
        <v>104</v>
      </c>
      <c r="B19" s="41"/>
      <c r="C19" s="2">
        <f>$C$17*0.61+$C16*0.39</f>
        <v>0.29962500000000003</v>
      </c>
      <c r="D19" s="2"/>
      <c r="E19" s="2" cm="1">
        <f t="array" ref="E19">ProbableAngularPOIError(D17,D16,B12,0.68)</f>
        <v>0.33771286446148363</v>
      </c>
      <c r="J19" s="2"/>
      <c r="K19" s="2"/>
      <c r="L19" s="2"/>
      <c r="M19" s="2"/>
      <c r="N19" s="2"/>
      <c r="O19" s="2"/>
      <c r="P19" s="2"/>
    </row>
    <row r="20" spans="1:17" x14ac:dyDescent="0.25">
      <c r="A20" s="47"/>
      <c r="B20" s="47"/>
      <c r="C20" s="53" t="s">
        <v>20</v>
      </c>
      <c r="D20" s="53"/>
      <c r="E20" s="53"/>
      <c r="F20" s="53"/>
      <c r="G20" s="53"/>
      <c r="H20" s="28"/>
      <c r="I20" s="28"/>
      <c r="J20" s="53" t="s">
        <v>21</v>
      </c>
      <c r="K20" s="53"/>
      <c r="L20" s="53"/>
      <c r="M20" s="53"/>
      <c r="N20" s="53"/>
      <c r="O20" s="28"/>
      <c r="P20" s="28"/>
      <c r="Q20" s="48" t="s">
        <v>24</v>
      </c>
    </row>
    <row r="21" spans="1:17" x14ac:dyDescent="0.25">
      <c r="A21" s="47" t="s">
        <v>3</v>
      </c>
      <c r="B21" s="47" t="s">
        <v>19</v>
      </c>
      <c r="C21" s="47" t="s">
        <v>5</v>
      </c>
      <c r="D21" s="47" t="s">
        <v>6</v>
      </c>
      <c r="E21" s="47" t="s">
        <v>7</v>
      </c>
      <c r="F21" s="47" t="s">
        <v>8</v>
      </c>
      <c r="G21" s="47" t="s">
        <v>9</v>
      </c>
      <c r="H21" s="47" t="s">
        <v>27</v>
      </c>
      <c r="I21" s="47" t="s">
        <v>28</v>
      </c>
      <c r="J21" s="49" t="s">
        <v>5</v>
      </c>
      <c r="K21" s="49" t="s">
        <v>6</v>
      </c>
      <c r="L21" s="49" t="s">
        <v>7</v>
      </c>
      <c r="M21" s="49" t="s">
        <v>8</v>
      </c>
      <c r="N21" s="49" t="s">
        <v>9</v>
      </c>
      <c r="O21" s="49" t="s">
        <v>27</v>
      </c>
      <c r="P21" s="49" t="s">
        <v>28</v>
      </c>
      <c r="Q21" s="48" t="s">
        <v>25</v>
      </c>
    </row>
    <row r="22" spans="1:17" x14ac:dyDescent="0.25">
      <c r="A22" s="1">
        <v>0</v>
      </c>
      <c r="B22" s="35">
        <v>4453.2</v>
      </c>
      <c r="C22" s="32"/>
      <c r="D22" s="4"/>
      <c r="E22" s="4"/>
      <c r="F22" s="4"/>
      <c r="G22" s="5"/>
      <c r="H22" s="5"/>
      <c r="I22" s="4"/>
      <c r="J22" s="8">
        <f>$B$13*(-1)</f>
        <v>-3.81</v>
      </c>
      <c r="K22" s="8">
        <f t="shared" ref="K22:P22" si="1">$B$13*(-1)</f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8">
        <f t="shared" si="1"/>
        <v>-3.81</v>
      </c>
      <c r="Q22" s="45">
        <v>0</v>
      </c>
    </row>
    <row r="23" spans="1:17" x14ac:dyDescent="0.25">
      <c r="A23" s="1">
        <v>25</v>
      </c>
      <c r="B23" s="36">
        <v>4355.3999999999996</v>
      </c>
      <c r="C23" s="33">
        <v>-0.3125</v>
      </c>
      <c r="D23" s="6">
        <v>-0.375</v>
      </c>
      <c r="E23" s="6">
        <v>-0.33300000000000002</v>
      </c>
      <c r="F23" s="6">
        <v>-0.25</v>
      </c>
      <c r="G23" s="6">
        <v>-0.125</v>
      </c>
      <c r="H23" s="6">
        <v>8.3000000000000004E-2</v>
      </c>
      <c r="I23" s="14">
        <v>0.3125</v>
      </c>
      <c r="J23" s="9" cm="1">
        <f t="array" ref="J23">TrajectoryDropInCM(C23,$A23,J$18)</f>
        <v>-3.9453157752419359</v>
      </c>
      <c r="K23" s="9" cm="1">
        <f t="array" ref="K23">TrajectoryDropInCM(D23,$A23,K$18)</f>
        <v>-4.2187540045211627</v>
      </c>
      <c r="L23" s="9" cm="1">
        <f t="array" ref="L23">TrajectoryDropInCM(E23,$A23,L$18)</f>
        <v>-3.3300019693900382</v>
      </c>
      <c r="M23" s="9" cm="1">
        <f t="array" ref="M23">TrajectoryDropInCM(F23,$A23,M$18)</f>
        <v>-2.3437506866457491</v>
      </c>
      <c r="N23" s="9" cm="1">
        <f t="array" ref="N23">TrajectoryDropInCM(G23,$A23,N$18)</f>
        <v>-1.2500001041666768</v>
      </c>
      <c r="O23" s="9" cm="1">
        <f t="array" ref="O23">TrajectoryDropInCM(H23,$A23,O$18)</f>
        <v>0.72625002042947373</v>
      </c>
      <c r="P23" s="9" cm="1">
        <f t="array" ref="P23">TrajectoryDropInCM(I23,$A23,P$18)</f>
        <v>3.125001627605184</v>
      </c>
      <c r="Q23" s="45" cm="1">
        <f t="array" ref="Q23">TrajectoryErrorCM($E$19,1,$A23)</f>
        <v>0.84428216115370902</v>
      </c>
    </row>
    <row r="24" spans="1:17" x14ac:dyDescent="0.25">
      <c r="A24" s="1">
        <v>50</v>
      </c>
      <c r="B24" s="35">
        <v>4231.3</v>
      </c>
      <c r="C24" s="34">
        <v>0</v>
      </c>
      <c r="D24" s="6">
        <v>-8.3000000000000004E-2</v>
      </c>
      <c r="E24" s="6">
        <v>0</v>
      </c>
      <c r="F24" s="6">
        <v>0</v>
      </c>
      <c r="G24" s="6">
        <v>0.16700000000000001</v>
      </c>
      <c r="H24" s="6">
        <v>0.375</v>
      </c>
      <c r="I24" s="14">
        <v>0.6</v>
      </c>
      <c r="J24" s="9" cm="1">
        <f t="array" ref="J24">TrajectoryDropInCM(C24,$A24,J$18)</f>
        <v>0</v>
      </c>
      <c r="K24" s="9" cm="1">
        <f t="array" ref="K24">TrajectoryDropInCM(D24,$A24,K$18)</f>
        <v>-1.8675000868401557</v>
      </c>
      <c r="L24" s="9" cm="1">
        <f t="array" ref="L24">TrajectoryDropInCM(E24,$A24,L$18)</f>
        <v>0</v>
      </c>
      <c r="M24" s="9" cm="1">
        <f t="array" ref="M24">TrajectoryDropInCM(F24,$A24,M$18)</f>
        <v>0</v>
      </c>
      <c r="N24" s="9" cm="1">
        <f t="array" ref="N24">TrajectoryDropInCM(G24,$A24,N$18)</f>
        <v>3.3400004967961423</v>
      </c>
      <c r="O24" s="9" cm="1">
        <f t="array" ref="O24">TrajectoryDropInCM(H24,$A24,O$18)</f>
        <v>6.5625037683131442</v>
      </c>
      <c r="P24" s="9" cm="1">
        <f t="array" ref="P24">TrajectoryDropInCM(I24,$A24,P$18)</f>
        <v>12.000023040053083</v>
      </c>
      <c r="Q24" s="45" cm="1">
        <f t="array" ref="Q24">TrajectoryErrorCM($E$19,1,$A24)</f>
        <v>1.688564322307418</v>
      </c>
    </row>
    <row r="25" spans="1:17" x14ac:dyDescent="0.25">
      <c r="A25" s="1">
        <v>75</v>
      </c>
      <c r="B25" s="35">
        <v>4110.6000000000004</v>
      </c>
      <c r="C25" s="33">
        <v>8.3000000000000004E-2</v>
      </c>
      <c r="D25" s="6">
        <v>0</v>
      </c>
      <c r="E25" s="6">
        <v>0</v>
      </c>
      <c r="F25" s="6">
        <v>8.3000000000000004E-2</v>
      </c>
      <c r="G25" s="6">
        <v>0.25</v>
      </c>
      <c r="H25" s="6">
        <v>0.41699999999999998</v>
      </c>
      <c r="I25" s="14">
        <v>0.65</v>
      </c>
      <c r="J25" s="9" cm="1">
        <f t="array" ref="J25">TrajectoryDropInCM(C25,$A25,J$18)</f>
        <v>3.1436251840977376</v>
      </c>
      <c r="K25" s="9" cm="1">
        <f t="array" ref="K25">TrajectoryDropInCM(D25,$A25,K$18)</f>
        <v>0</v>
      </c>
      <c r="L25" s="9" cm="1">
        <f t="array" ref="L25">TrajectoryDropInCM(E25,$A25,L$18)</f>
        <v>0</v>
      </c>
      <c r="M25" s="9" cm="1">
        <f t="array" ref="M25">TrajectoryDropInCM(F25,$A25,M$18)</f>
        <v>2.334375075382078</v>
      </c>
      <c r="N25" s="9" cm="1">
        <f t="array" ref="N25">TrajectoryDropInCM(G25,$A25,N$18)</f>
        <v>7.500002500001</v>
      </c>
      <c r="O25" s="9" cm="1">
        <f t="array" ref="O25">TrajectoryDropInCM(H25,$A25,O$18)</f>
        <v>10.94625777235586</v>
      </c>
      <c r="P25" s="9" cm="1">
        <f t="array" ref="P25">TrajectoryDropInCM(I25,$A25,P$18)</f>
        <v>19.500043940118815</v>
      </c>
      <c r="Q25" s="45" cm="1">
        <f t="array" ref="Q25">TrajectoryErrorCM($E$19,1,$A25)</f>
        <v>2.5328464834611273</v>
      </c>
    </row>
    <row r="26" spans="1:17" x14ac:dyDescent="0.25">
      <c r="A26" s="1">
        <v>100</v>
      </c>
      <c r="B26" s="35">
        <v>4013.3</v>
      </c>
      <c r="C26" s="33">
        <v>8.3000000000000004E-2</v>
      </c>
      <c r="D26" s="7">
        <v>0</v>
      </c>
      <c r="E26" s="6">
        <v>0</v>
      </c>
      <c r="F26" s="6">
        <v>0.1</v>
      </c>
      <c r="G26" s="6">
        <v>0.25</v>
      </c>
      <c r="H26" s="6">
        <v>0.45</v>
      </c>
      <c r="I26" s="14">
        <v>0.65</v>
      </c>
      <c r="J26" s="9" cm="1">
        <f t="array" ref="J26">TrajectoryDropInCM(C26,$A26,J$18)</f>
        <v>4.1915002454636499</v>
      </c>
      <c r="K26" s="9" cm="1">
        <f t="array" ref="K26">TrajectoryDropInCM(D26,$A26,K$18)</f>
        <v>0</v>
      </c>
      <c r="L26" s="9" cm="1">
        <f t="array" ref="L26">TrajectoryDropInCM(E26,$A26,L$18)</f>
        <v>0</v>
      </c>
      <c r="M26" s="9" cm="1">
        <f t="array" ref="M26">TrajectoryDropInCM(F26,$A26,M$18)</f>
        <v>3.7500001757812602</v>
      </c>
      <c r="N26" s="9" cm="1">
        <f t="array" ref="N26">TrajectoryDropInCM(G26,$A26,N$18)</f>
        <v>10.000003333334668</v>
      </c>
      <c r="O26" s="9" cm="1">
        <f t="array" ref="O26">TrajectoryDropInCM(H26,$A26,O$18)</f>
        <v>15.750013023294173</v>
      </c>
      <c r="P26" s="9" cm="1">
        <f t="array" ref="P26">TrajectoryDropInCM(I26,$A26,P$18)</f>
        <v>26.000058586825087</v>
      </c>
      <c r="Q26" s="45" cm="1">
        <f t="array" ref="Q26">TrajectoryErrorCM($E$19,1,$A26)</f>
        <v>3.3771286446148361</v>
      </c>
    </row>
    <row r="27" spans="1:17" x14ac:dyDescent="0.25">
      <c r="A27" s="1">
        <v>125</v>
      </c>
      <c r="B27" s="35">
        <v>3899.7</v>
      </c>
      <c r="C27" s="33">
        <v>0.1</v>
      </c>
      <c r="D27" s="6">
        <v>0</v>
      </c>
      <c r="E27" s="6">
        <v>0</v>
      </c>
      <c r="F27" s="6">
        <v>0.1</v>
      </c>
      <c r="G27" s="6">
        <v>0.25</v>
      </c>
      <c r="H27" s="6">
        <v>0.45</v>
      </c>
      <c r="I27" s="14">
        <v>0.65</v>
      </c>
      <c r="J27" s="9" cm="1">
        <f t="array" ref="J27">TrajectoryDropInCM(C27,$A27,J$18)</f>
        <v>6.3125005366151603</v>
      </c>
      <c r="K27" s="9" cm="1">
        <f t="array" ref="K27">TrajectoryDropInCM(D27,$A27,K$18)</f>
        <v>0</v>
      </c>
      <c r="L27" s="9" cm="1">
        <f t="array" ref="L27">TrajectoryDropInCM(E27,$A27,L$18)</f>
        <v>0</v>
      </c>
      <c r="M27" s="9" cm="1">
        <f t="array" ref="M27">TrajectoryDropInCM(F27,$A27,M$18)</f>
        <v>4.6875002197265747</v>
      </c>
      <c r="N27" s="9" cm="1">
        <f t="array" ref="N27">TrajectoryDropInCM(G27,$A27,N$18)</f>
        <v>12.500004166668335</v>
      </c>
      <c r="O27" s="9" cm="1">
        <f t="array" ref="O27">TrajectoryDropInCM(H27,$A27,O$18)</f>
        <v>19.687516279117716</v>
      </c>
      <c r="P27" s="9" cm="1">
        <f t="array" ref="P27">TrajectoryDropInCM(I27,$A27,P$18)</f>
        <v>32.50007323353136</v>
      </c>
      <c r="Q27" s="45" cm="1">
        <f t="array" ref="Q27">TrajectoryErrorCM($E$19,1,$A27)</f>
        <v>4.2214108057685458</v>
      </c>
    </row>
    <row r="28" spans="1:17" x14ac:dyDescent="0.25">
      <c r="A28" s="1">
        <v>150</v>
      </c>
      <c r="B28" s="35">
        <v>3790.5</v>
      </c>
      <c r="C28" s="33">
        <v>0</v>
      </c>
      <c r="D28" s="6">
        <v>-0.05</v>
      </c>
      <c r="E28" s="7">
        <v>0</v>
      </c>
      <c r="F28" s="6">
        <v>0.1</v>
      </c>
      <c r="G28" s="6">
        <v>0.25</v>
      </c>
      <c r="H28" s="6">
        <v>0.45</v>
      </c>
      <c r="I28" s="14">
        <v>0.625</v>
      </c>
      <c r="J28" s="9" cm="1">
        <f t="array" ref="J28">TrajectoryDropInCM(C28,$A28,J$18)</f>
        <v>0</v>
      </c>
      <c r="K28" s="9" cm="1">
        <f t="array" ref="K28">TrajectoryDropInCM(D28,$A28,K$18)</f>
        <v>-3.3750000569531267</v>
      </c>
      <c r="L28" s="9" cm="1">
        <f t="array" ref="L28">TrajectoryDropInCM(E28,$A28,L$18)</f>
        <v>0</v>
      </c>
      <c r="M28" s="9" cm="1">
        <f t="array" ref="M28">TrajectoryDropInCM(F28,$A28,M$18)</f>
        <v>5.6250002636718905</v>
      </c>
      <c r="N28" s="9" cm="1">
        <f t="array" ref="N28">TrajectoryDropInCM(G28,$A28,N$18)</f>
        <v>15.000005000002</v>
      </c>
      <c r="O28" s="9" cm="1">
        <f t="array" ref="O28">TrajectoryDropInCM(H28,$A28,O$18)</f>
        <v>23.625019534941259</v>
      </c>
      <c r="P28" s="9" cm="1">
        <f t="array" ref="P28">TrajectoryDropInCM(I28,$A28,P$18)</f>
        <v>37.500078125195316</v>
      </c>
      <c r="Q28" s="45" cm="1">
        <f t="array" ref="Q28">TrajectoryErrorCM($E$19,1,$A28)</f>
        <v>5.0656929669222546</v>
      </c>
    </row>
    <row r="29" spans="1:17" x14ac:dyDescent="0.25">
      <c r="A29" s="1">
        <v>200</v>
      </c>
      <c r="B29" s="35">
        <v>3566.3</v>
      </c>
      <c r="C29" s="33">
        <v>0</v>
      </c>
      <c r="D29" s="6">
        <v>-8.3000000000000004E-2</v>
      </c>
      <c r="E29" s="6">
        <v>-4.2000000000000003E-2</v>
      </c>
      <c r="F29" s="7">
        <v>0</v>
      </c>
      <c r="G29" s="6">
        <v>0.125</v>
      </c>
      <c r="H29" s="6">
        <v>0.375</v>
      </c>
      <c r="I29" s="14">
        <v>0.6</v>
      </c>
      <c r="J29" s="9" cm="1">
        <f t="array" ref="J29">TrajectoryDropInCM(C29,$A29,J$18)</f>
        <v>0</v>
      </c>
      <c r="K29" s="9" cm="1">
        <f t="array" ref="K29">TrajectoryDropInCM(D29,$A29,K$18)</f>
        <v>-7.4700003473606227</v>
      </c>
      <c r="L29" s="9" cm="1">
        <f t="array" ref="L29">TrajectoryDropInCM(E29,$A29,L$18)</f>
        <v>-3.3600000316108809</v>
      </c>
      <c r="M29" s="9" cm="1">
        <f t="array" ref="M29">TrajectoryDropInCM(F29,$A29,M$18)</f>
        <v>0</v>
      </c>
      <c r="N29" s="9" cm="1">
        <f t="array" ref="N29">TrajectoryDropInCM(G29,$A29,N$18)</f>
        <v>10.000000833333415</v>
      </c>
      <c r="O29" s="9" cm="1">
        <f t="array" ref="O29">TrajectoryDropInCM(H29,$A29,O$18)</f>
        <v>26.250015073252577</v>
      </c>
      <c r="P29" s="9" cm="1">
        <f t="array" ref="P29">TrajectoryDropInCM(I29,$A29,P$18)</f>
        <v>48.000092160212333</v>
      </c>
      <c r="Q29" s="45" cm="1">
        <f t="array" ref="Q29">TrajectoryErrorCM($E$19,1,$A29)</f>
        <v>6.7542572892296722</v>
      </c>
    </row>
    <row r="30" spans="1:17" x14ac:dyDescent="0.25">
      <c r="A30" s="1">
        <v>250</v>
      </c>
      <c r="B30" s="35">
        <v>3375.2</v>
      </c>
      <c r="C30" s="33">
        <v>-0.1</v>
      </c>
      <c r="D30" s="6">
        <v>-0.13</v>
      </c>
      <c r="E30" s="6">
        <v>-0.125</v>
      </c>
      <c r="F30" s="6">
        <v>-6.25E-2</v>
      </c>
      <c r="G30" s="6">
        <v>8.3000000000000004E-2</v>
      </c>
      <c r="H30" s="6">
        <v>0.33300000000000002</v>
      </c>
      <c r="I30" s="14">
        <v>0.5</v>
      </c>
      <c r="J30" s="9" cm="1">
        <f t="array" ref="J30">TrajectoryDropInCM(C30,$A30,J$18)</f>
        <v>-12.625001073230321</v>
      </c>
      <c r="K30" s="9" cm="1">
        <f t="array" ref="K30">TrajectoryDropInCM(D30,$A30,K$18)</f>
        <v>-14.625001668347103</v>
      </c>
      <c r="L30" s="9" cm="1">
        <f t="array" ref="L30">TrajectoryDropInCM(E30,$A30,L$18)</f>
        <v>-12.500001041666769</v>
      </c>
      <c r="M30" s="9" cm="1">
        <f t="array" ref="M30">TrajectoryDropInCM(F30,$A30,M$18)</f>
        <v>-5.8593751072883631</v>
      </c>
      <c r="N30" s="9" cm="1">
        <f t="array" ref="N30">TrajectoryDropInCM(G30,$A30,N$18)</f>
        <v>8.3000003049530804</v>
      </c>
      <c r="O30" s="9" cm="1">
        <f t="array" ref="O30">TrajectoryDropInCM(H30,$A30,O$18)</f>
        <v>29.137513193372477</v>
      </c>
      <c r="P30" s="9" cm="1">
        <f t="array" ref="P30">TrajectoryDropInCM(I30,$A30,P$18)</f>
        <v>50.000066666773321</v>
      </c>
      <c r="Q30" s="45" cm="1">
        <f t="array" ref="Q30">TrajectoryErrorCM($E$19,1,$A30)</f>
        <v>8.4428216115370915</v>
      </c>
    </row>
    <row r="31" spans="1:17" x14ac:dyDescent="0.25">
      <c r="A31" s="1">
        <v>300</v>
      </c>
      <c r="B31" s="35">
        <v>3183.6</v>
      </c>
      <c r="C31" s="33">
        <v>-0.16700000000000001</v>
      </c>
      <c r="D31" s="6">
        <v>-0.25</v>
      </c>
      <c r="E31" s="6">
        <v>-0.25</v>
      </c>
      <c r="F31" s="6">
        <v>-0.16700000000000001</v>
      </c>
      <c r="G31" s="7">
        <v>0</v>
      </c>
      <c r="H31" s="17">
        <v>0.16700000000000001</v>
      </c>
      <c r="I31" s="18">
        <v>0.41699999999999998</v>
      </c>
      <c r="J31" s="9" cm="1">
        <f t="array" ref="J31">TrajectoryDropInCM(C31,$A31,J$18)</f>
        <v>-25.300505998237693</v>
      </c>
      <c r="K31" s="9" cm="1">
        <f t="array" ref="K31">TrajectoryDropInCM(D31,$A31,K$18)</f>
        <v>-33.750014238288458</v>
      </c>
      <c r="L31" s="9" cm="1">
        <f t="array" ref="L31">TrajectoryDropInCM(E31,$A31,L$18)</f>
        <v>-30.000010000004</v>
      </c>
      <c r="M31" s="9" cm="1">
        <f t="array" ref="M31">TrajectoryDropInCM(F31,$A31,M$18)</f>
        <v>-18.78750245608439</v>
      </c>
      <c r="N31" s="9" cm="1">
        <f t="array" ref="N31">TrajectoryDropInCM(G31,$A31,N$18)</f>
        <v>0</v>
      </c>
      <c r="O31" s="9" cm="1">
        <f t="array" ref="O31">TrajectoryDropInCM(H31,$A31,O$18)</f>
        <v>17.535001996887537</v>
      </c>
      <c r="P31" s="9" cm="1">
        <f t="array" ref="P31">TrajectoryDropInCM(I31,$A31,P$18)</f>
        <v>50.040046407547969</v>
      </c>
      <c r="Q31" s="45" cm="1">
        <f t="array" ref="Q31">TrajectoryErrorCM($E$19,1,$A31)</f>
        <v>10.131385933844509</v>
      </c>
    </row>
    <row r="32" spans="1:17" x14ac:dyDescent="0.25">
      <c r="A32" s="1">
        <v>350</v>
      </c>
      <c r="B32" s="35">
        <v>3005</v>
      </c>
      <c r="C32" s="33">
        <v>-0.25</v>
      </c>
      <c r="D32" s="6">
        <v>-0.33300000000000002</v>
      </c>
      <c r="E32" s="6">
        <v>-0.33300000000000002</v>
      </c>
      <c r="F32" s="6">
        <v>-0.25</v>
      </c>
      <c r="G32" s="6">
        <v>-0.1</v>
      </c>
      <c r="H32" s="6">
        <v>6.25E-2</v>
      </c>
      <c r="I32" s="14">
        <v>0.33300000000000002</v>
      </c>
      <c r="J32" s="9" cm="1">
        <f t="array" ref="J32">TrajectoryDropInCM(C32,$A32,J$18)</f>
        <v>-44.187523476925776</v>
      </c>
      <c r="K32" s="9" cm="1">
        <f t="array" ref="K32">TrajectoryDropInCM(D32,$A32,K$18)</f>
        <v>-52.447539257028353</v>
      </c>
      <c r="L32" s="9" cm="1">
        <f t="array" ref="L32">TrajectoryDropInCM(E32,$A32,L$18)</f>
        <v>-46.620027571460533</v>
      </c>
      <c r="M32" s="9" cm="1">
        <f t="array" ref="M32">TrajectoryDropInCM(F32,$A32,M$18)</f>
        <v>-32.812509613040483</v>
      </c>
      <c r="N32" s="9" cm="1">
        <f t="array" ref="N32">TrajectoryDropInCM(G32,$A32,N$18)</f>
        <v>-14.000000746666712</v>
      </c>
      <c r="O32" s="9" cm="1">
        <f t="array" ref="O32">TrajectoryDropInCM(H32,$A32,O$18)</f>
        <v>7.6562501221211763</v>
      </c>
      <c r="P32" s="9" cm="1">
        <f t="array" ref="P32">TrajectoryDropInCM(I32,$A32,P$18)</f>
        <v>46.620027571460533</v>
      </c>
      <c r="Q32" s="45" cm="1">
        <f t="array" ref="Q32">TrajectoryErrorCM($E$19,1,$A32)</f>
        <v>11.819950256151927</v>
      </c>
    </row>
    <row r="33" spans="1:17" x14ac:dyDescent="0.25">
      <c r="A33" s="1">
        <v>400</v>
      </c>
      <c r="B33" s="35">
        <v>2826.5</v>
      </c>
      <c r="C33" s="33">
        <v>-0.375</v>
      </c>
      <c r="D33" s="6">
        <v>-0.41699999999999998</v>
      </c>
      <c r="E33" s="6">
        <v>-0.41699999999999998</v>
      </c>
      <c r="F33" s="6">
        <v>-0.375</v>
      </c>
      <c r="G33" s="6">
        <v>-0.1875</v>
      </c>
      <c r="H33" s="7">
        <v>0</v>
      </c>
      <c r="I33" s="14">
        <v>0.25</v>
      </c>
      <c r="J33" s="9" cm="1">
        <f t="array" ref="J33">TrajectoryDropInCM(C33,$A33,J$18)</f>
        <v>-75.750090553928729</v>
      </c>
      <c r="K33" s="9" cm="1">
        <f t="array" ref="K33">TrajectoryDropInCM(D33,$A33,K$18)</f>
        <v>-75.060088101855399</v>
      </c>
      <c r="L33" s="9" cm="1">
        <f t="array" ref="L33">TrajectoryDropInCM(E33,$A33,L$18)</f>
        <v>-66.720061876730625</v>
      </c>
      <c r="M33" s="9" cm="1">
        <f t="array" ref="M33">TrajectoryDropInCM(F33,$A33,M$18)</f>
        <v>-56.250037078886749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9" cm="1">
        <f t="array" ref="P33">TrajectoryDropInCM(I33,$A33,P$18)</f>
        <v>40.000013333338671</v>
      </c>
      <c r="Q33" s="45" cm="1">
        <f t="array" ref="Q33">TrajectoryErrorCM($E$19,1,$A33)</f>
        <v>13.508514578459344</v>
      </c>
    </row>
    <row r="34" spans="1:17" x14ac:dyDescent="0.25">
      <c r="A34" s="1">
        <v>450</v>
      </c>
      <c r="B34" s="35">
        <v>2660.8</v>
      </c>
      <c r="C34" s="33">
        <v>-0.5</v>
      </c>
      <c r="D34" s="6">
        <v>-0.51</v>
      </c>
      <c r="E34" s="6">
        <v>-0.5</v>
      </c>
      <c r="F34" s="6">
        <v>-0.5</v>
      </c>
      <c r="G34" s="6">
        <v>-0.3125</v>
      </c>
      <c r="H34" s="6">
        <v>-6.25E-2</v>
      </c>
      <c r="I34" s="14">
        <v>8.3000000000000004E-2</v>
      </c>
      <c r="J34" s="9" cm="1">
        <f t="array" ref="J34">TrajectoryDropInCM(C34,$A34,J$18)</f>
        <v>-113.62524147741269</v>
      </c>
      <c r="K34" s="9" cm="1">
        <f t="array" ref="K34">TrajectoryDropInCM(D34,$A34,K$18)</f>
        <v>-103.27518131771762</v>
      </c>
      <c r="L34" s="9" cm="1">
        <f t="array" ref="L34">TrajectoryDropInCM(E34,$A34,L$18)</f>
        <v>-90.000120000191998</v>
      </c>
      <c r="M34" s="9" cm="1">
        <f t="array" ref="M34">TrajectoryDropInCM(F34,$A34,M$18)</f>
        <v>-84.375098877092171</v>
      </c>
      <c r="N34" s="9" cm="1">
        <f t="array" ref="N34">TrajectoryDropInCM(G34,$A34,N$18)</f>
        <v>-56.25002929689331</v>
      </c>
      <c r="O34" s="9" cm="1">
        <f t="array" ref="O34">TrajectoryDropInCM(H34,$A34,O$18)</f>
        <v>-9.8437501570129413</v>
      </c>
      <c r="P34" s="9" cm="1">
        <f t="array" ref="P34">TrajectoryDropInCM(I34,$A34,P$18)</f>
        <v>14.940000548915544</v>
      </c>
      <c r="Q34" s="45" cm="1">
        <f t="array" ref="Q34">TrajectoryErrorCM($E$19,1,$A34)</f>
        <v>15.197078900766764</v>
      </c>
    </row>
    <row r="35" spans="1:17" x14ac:dyDescent="0.25">
      <c r="A35" s="1">
        <v>500</v>
      </c>
      <c r="B35" s="35">
        <v>2498.8000000000002</v>
      </c>
      <c r="C35" s="33">
        <v>-0.625</v>
      </c>
      <c r="D35" s="6">
        <v>-0.65</v>
      </c>
      <c r="E35" s="6">
        <v>-0.625</v>
      </c>
      <c r="F35" s="6">
        <v>-0.625</v>
      </c>
      <c r="G35" s="6">
        <v>-0.41699999999999998</v>
      </c>
      <c r="H35" s="6">
        <v>-0.25</v>
      </c>
      <c r="I35" s="15">
        <v>0</v>
      </c>
      <c r="J35" s="9" cm="1">
        <f t="array" ref="J35">TrajectoryDropInCM(C35,$A35,J$18)</f>
        <v>-157.81302404027585</v>
      </c>
      <c r="K35" s="9" cm="1">
        <f t="array" ref="K35">TrajectoryDropInCM(D35,$A35,K$18)</f>
        <v>-146.25041708814612</v>
      </c>
      <c r="L35" s="9" cm="1">
        <f t="array" ref="L35">TrajectoryDropInCM(E35,$A35,L$18)</f>
        <v>-125.0002604173177</v>
      </c>
      <c r="M35" s="9" cm="1">
        <f t="array" ref="M35">TrajectoryDropInCM(F35,$A35,M$18)</f>
        <v>-117.18771457719266</v>
      </c>
      <c r="N35" s="9" cm="1">
        <f t="array" ref="N35">TrajectoryDropInCM(G35,$A35,N$18)</f>
        <v>-83.400077345913274</v>
      </c>
      <c r="O35" s="9" cm="1">
        <f t="array" ref="O35">TrajectoryDropInCM(H35,$A35,O$18)</f>
        <v>-43.750011165368008</v>
      </c>
      <c r="P35" s="9" cm="1">
        <f t="array" ref="P35">TrajectoryDropInCM(I35,$A35,P$18)</f>
        <v>0</v>
      </c>
      <c r="Q35" s="45" cm="1">
        <f t="array" ref="Q35">TrajectoryErrorCM($E$19,1,$A35)</f>
        <v>16.885643223074183</v>
      </c>
    </row>
    <row r="71" spans="1:23" x14ac:dyDescent="0.25">
      <c r="T71" s="1"/>
      <c r="U71" s="1"/>
      <c r="V71" s="1"/>
      <c r="W71" s="1"/>
    </row>
    <row r="72" spans="1:23" x14ac:dyDescent="0.25">
      <c r="T72" s="1"/>
      <c r="U72" s="1"/>
      <c r="V72" s="1"/>
      <c r="W72" s="1"/>
    </row>
    <row r="73" spans="1:23" x14ac:dyDescent="0.25">
      <c r="T73" s="1"/>
      <c r="U73" s="1"/>
      <c r="V73" s="1"/>
      <c r="W73" s="1"/>
    </row>
    <row r="74" spans="1:23" x14ac:dyDescent="0.25">
      <c r="T74" s="1"/>
      <c r="U74" s="1"/>
      <c r="V74" s="1"/>
      <c r="W74" s="1"/>
    </row>
    <row r="75" spans="1:23" x14ac:dyDescent="0.25">
      <c r="T75" s="1"/>
      <c r="U75" s="1"/>
      <c r="V75" s="1"/>
      <c r="W75" s="1"/>
    </row>
    <row r="76" spans="1:23" x14ac:dyDescent="0.25">
      <c r="T76" s="1"/>
      <c r="U76" s="1"/>
      <c r="V76" s="1"/>
      <c r="W76" s="1"/>
    </row>
    <row r="77" spans="1:23" x14ac:dyDescent="0.25">
      <c r="A77" t="s">
        <v>23</v>
      </c>
      <c r="B77" t="s">
        <v>60</v>
      </c>
      <c r="T77" s="1"/>
      <c r="U77" s="1"/>
      <c r="V77" s="1"/>
      <c r="W77" s="1"/>
    </row>
    <row r="78" spans="1:23" x14ac:dyDescent="0.25">
      <c r="A78" t="s">
        <v>86</v>
      </c>
      <c r="K78" t="s">
        <v>79</v>
      </c>
      <c r="T78" s="1"/>
      <c r="U78" s="1"/>
      <c r="V78" s="1"/>
      <c r="W78" s="1"/>
    </row>
    <row r="79" spans="1:23" x14ac:dyDescent="0.25">
      <c r="A79" t="s">
        <v>11</v>
      </c>
      <c r="B79" t="s">
        <v>12</v>
      </c>
      <c r="C79" t="s">
        <v>13</v>
      </c>
      <c r="D79" t="s">
        <v>14</v>
      </c>
      <c r="E79" t="s">
        <v>15</v>
      </c>
      <c r="F79" t="s">
        <v>16</v>
      </c>
      <c r="G79" t="s">
        <v>29</v>
      </c>
      <c r="H79" t="s">
        <v>30</v>
      </c>
      <c r="I79" s="13" t="s">
        <v>31</v>
      </c>
      <c r="J79" s="13"/>
      <c r="K79" s="13" t="s">
        <v>42</v>
      </c>
      <c r="L79" s="13" t="s">
        <v>34</v>
      </c>
      <c r="M79" s="13" t="s">
        <v>35</v>
      </c>
      <c r="N79" s="13" t="s">
        <v>36</v>
      </c>
      <c r="O79" s="13" t="s">
        <v>37</v>
      </c>
      <c r="P79" s="13" t="s">
        <v>30</v>
      </c>
      <c r="Q79" s="13" t="s">
        <v>38</v>
      </c>
      <c r="R79" t="s">
        <v>39</v>
      </c>
      <c r="S79" t="s">
        <v>40</v>
      </c>
      <c r="T79" s="1"/>
      <c r="U79" s="1"/>
      <c r="V79" s="1"/>
      <c r="W79" s="1"/>
    </row>
    <row r="80" spans="1:23" x14ac:dyDescent="0.25">
      <c r="A80" s="1">
        <v>0</v>
      </c>
      <c r="B80" s="1">
        <v>899</v>
      </c>
      <c r="C80" s="1">
        <v>4454</v>
      </c>
      <c r="D80" s="1">
        <v>-3.8</v>
      </c>
      <c r="E80" s="1">
        <v>0</v>
      </c>
      <c r="F80" s="1">
        <v>0</v>
      </c>
      <c r="G80" s="1">
        <v>0</v>
      </c>
      <c r="H80">
        <v>0</v>
      </c>
      <c r="I80">
        <v>0</v>
      </c>
      <c r="K80" s="1">
        <v>0</v>
      </c>
      <c r="L80" s="1">
        <v>-3.8</v>
      </c>
      <c r="M80" s="1" t="s">
        <v>41</v>
      </c>
      <c r="N80" s="1" t="s">
        <v>41</v>
      </c>
      <c r="O80" s="1">
        <v>0</v>
      </c>
      <c r="P80" s="1" t="s">
        <v>41</v>
      </c>
      <c r="Q80" s="1" t="s">
        <v>41</v>
      </c>
      <c r="R80" s="1">
        <v>899</v>
      </c>
      <c r="S80" s="1">
        <v>4454</v>
      </c>
      <c r="T80" s="1"/>
      <c r="U80" s="1"/>
      <c r="V80" s="1"/>
      <c r="W80" s="1"/>
    </row>
    <row r="81" spans="1:23" x14ac:dyDescent="0.25">
      <c r="A81" s="1">
        <v>25</v>
      </c>
      <c r="B81" s="1">
        <v>887</v>
      </c>
      <c r="C81" s="1">
        <v>4331</v>
      </c>
      <c r="D81" s="1">
        <v>-1.5</v>
      </c>
      <c r="E81" s="1">
        <v>2.1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-1.5</v>
      </c>
      <c r="M81" s="1">
        <v>-2.2000000000000002</v>
      </c>
      <c r="N81" s="1">
        <v>-0.6</v>
      </c>
      <c r="O81" s="1">
        <v>0</v>
      </c>
      <c r="P81" s="1">
        <v>0</v>
      </c>
      <c r="Q81" s="1">
        <v>0</v>
      </c>
      <c r="R81" s="1">
        <v>887</v>
      </c>
      <c r="S81" s="1">
        <v>4333</v>
      </c>
      <c r="T81" s="1"/>
      <c r="U81" s="1"/>
      <c r="V81" s="1"/>
      <c r="W81" s="1"/>
    </row>
    <row r="82" spans="1:23" x14ac:dyDescent="0.25">
      <c r="A82" s="10">
        <v>50</v>
      </c>
      <c r="B82" s="10">
        <v>874</v>
      </c>
      <c r="C82" s="10">
        <v>4213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0</v>
      </c>
      <c r="M82" s="10">
        <v>0</v>
      </c>
      <c r="N82" s="1">
        <v>0</v>
      </c>
      <c r="O82" s="1">
        <v>0</v>
      </c>
      <c r="P82" s="1">
        <v>0</v>
      </c>
      <c r="Q82" s="1">
        <v>0</v>
      </c>
      <c r="R82" s="1">
        <v>874</v>
      </c>
      <c r="S82" s="1">
        <v>4213</v>
      </c>
      <c r="T82" s="1"/>
      <c r="U82" s="1"/>
      <c r="V82" s="1"/>
      <c r="W82" s="1"/>
    </row>
    <row r="83" spans="1:23" x14ac:dyDescent="0.25">
      <c r="A83" s="1">
        <v>75</v>
      </c>
      <c r="B83" s="1">
        <v>862</v>
      </c>
      <c r="C83" s="1">
        <v>4096</v>
      </c>
      <c r="D83" s="1">
        <v>0.7</v>
      </c>
      <c r="E83" s="1">
        <v>-0.3</v>
      </c>
      <c r="F83" s="1">
        <v>-0.1</v>
      </c>
      <c r="G83" s="1">
        <v>0</v>
      </c>
      <c r="H83" s="1">
        <v>0</v>
      </c>
      <c r="I83" s="1">
        <v>0</v>
      </c>
      <c r="J83" s="1"/>
      <c r="K83" s="1">
        <v>75</v>
      </c>
      <c r="L83" s="1">
        <v>0.7</v>
      </c>
      <c r="M83" s="1">
        <v>0.3</v>
      </c>
      <c r="N83" s="1">
        <v>0.1</v>
      </c>
      <c r="O83" s="1">
        <v>0</v>
      </c>
      <c r="P83" s="1">
        <v>0</v>
      </c>
      <c r="Q83" s="1">
        <v>0</v>
      </c>
      <c r="R83" s="1">
        <v>863</v>
      </c>
      <c r="S83" s="1">
        <v>4097</v>
      </c>
      <c r="T83" s="1"/>
      <c r="U83" s="1"/>
      <c r="V83" s="1"/>
      <c r="W83" s="1"/>
    </row>
    <row r="84" spans="1:23" x14ac:dyDescent="0.25">
      <c r="A84" s="1">
        <v>100</v>
      </c>
      <c r="B84" s="1">
        <v>850</v>
      </c>
      <c r="C84" s="1">
        <v>3983</v>
      </c>
      <c r="D84" s="1">
        <v>0.6</v>
      </c>
      <c r="E84" s="1">
        <v>-0.2</v>
      </c>
      <c r="F84" s="1">
        <v>-0.1</v>
      </c>
      <c r="G84" s="1">
        <v>0</v>
      </c>
      <c r="H84" s="1">
        <v>0</v>
      </c>
      <c r="I84" s="1">
        <v>0</v>
      </c>
      <c r="J84" s="1"/>
      <c r="K84" s="1">
        <v>100</v>
      </c>
      <c r="L84" s="1">
        <v>0.6</v>
      </c>
      <c r="M84" s="1">
        <v>0.2</v>
      </c>
      <c r="N84" s="1">
        <v>0.1</v>
      </c>
      <c r="O84" s="1">
        <v>0</v>
      </c>
      <c r="P84" s="1">
        <v>0</v>
      </c>
      <c r="Q84" s="1">
        <v>0</v>
      </c>
      <c r="R84" s="1">
        <v>851</v>
      </c>
      <c r="S84" s="1">
        <v>3986</v>
      </c>
      <c r="T84" s="1"/>
      <c r="U84" s="1"/>
      <c r="V84" s="1"/>
      <c r="W84" s="1"/>
    </row>
    <row r="85" spans="1:23" x14ac:dyDescent="0.25">
      <c r="A85" s="1">
        <v>125</v>
      </c>
      <c r="B85" s="1">
        <v>838</v>
      </c>
      <c r="C85" s="1">
        <v>3872</v>
      </c>
      <c r="D85" s="1">
        <v>-0.5</v>
      </c>
      <c r="E85" s="1">
        <v>0.1</v>
      </c>
      <c r="F85" s="1">
        <v>0</v>
      </c>
      <c r="G85" s="1">
        <v>0</v>
      </c>
      <c r="H85" s="1">
        <v>0</v>
      </c>
      <c r="I85" s="1">
        <v>0</v>
      </c>
      <c r="J85" s="1"/>
      <c r="K85" s="1">
        <v>125</v>
      </c>
      <c r="L85" s="1">
        <v>-0.4</v>
      </c>
      <c r="M85" s="1">
        <v>-0.1</v>
      </c>
      <c r="N85" s="1">
        <v>0</v>
      </c>
      <c r="O85" s="1">
        <v>0</v>
      </c>
      <c r="P85" s="1">
        <v>0</v>
      </c>
      <c r="Q85" s="1">
        <v>0</v>
      </c>
      <c r="R85" s="1">
        <v>839</v>
      </c>
      <c r="S85" s="1">
        <v>3872</v>
      </c>
      <c r="T85" s="1"/>
      <c r="U85" s="1"/>
      <c r="V85" s="1"/>
      <c r="W85" s="1"/>
    </row>
    <row r="86" spans="1:23" x14ac:dyDescent="0.25">
      <c r="A86" s="1">
        <v>150</v>
      </c>
      <c r="B86" s="1">
        <v>827</v>
      </c>
      <c r="C86" s="1">
        <v>3764</v>
      </c>
      <c r="D86" s="1">
        <v>-2.2999999999999998</v>
      </c>
      <c r="E86" s="1">
        <v>0.5</v>
      </c>
      <c r="F86" s="1">
        <v>0.2</v>
      </c>
      <c r="G86" s="1">
        <v>0</v>
      </c>
      <c r="H86" s="1">
        <v>0</v>
      </c>
      <c r="I86" s="1">
        <v>0</v>
      </c>
      <c r="J86" s="1"/>
      <c r="K86" s="1">
        <v>150</v>
      </c>
      <c r="L86" s="1">
        <v>-2.2999999999999998</v>
      </c>
      <c r="M86" s="1">
        <v>-0.5</v>
      </c>
      <c r="N86" s="1">
        <v>-0.2</v>
      </c>
      <c r="O86" s="1">
        <v>0</v>
      </c>
      <c r="P86" s="1">
        <v>0</v>
      </c>
      <c r="Q86" s="1">
        <v>0</v>
      </c>
      <c r="R86" s="1">
        <v>827</v>
      </c>
      <c r="S86" s="1">
        <v>3765</v>
      </c>
      <c r="T86" s="1"/>
      <c r="U86" s="1"/>
      <c r="V86" s="1"/>
      <c r="W86" s="1"/>
    </row>
    <row r="87" spans="1:23" x14ac:dyDescent="0.25">
      <c r="A87" s="1">
        <v>175</v>
      </c>
      <c r="B87" s="1">
        <v>815</v>
      </c>
      <c r="C87" s="1">
        <v>3658</v>
      </c>
      <c r="D87" s="1">
        <v>-5.0999999999999996</v>
      </c>
      <c r="E87" s="1">
        <v>1</v>
      </c>
      <c r="F87" s="1">
        <v>0.3</v>
      </c>
      <c r="G87" s="1">
        <v>0</v>
      </c>
      <c r="H87" s="1">
        <v>0</v>
      </c>
      <c r="I87" s="1">
        <v>0</v>
      </c>
      <c r="J87" s="1"/>
      <c r="K87" s="1">
        <v>175</v>
      </c>
      <c r="L87" s="1">
        <v>-5</v>
      </c>
      <c r="M87" s="1">
        <v>-1</v>
      </c>
      <c r="N87" s="1">
        <v>-0.3</v>
      </c>
      <c r="O87" s="1">
        <v>0</v>
      </c>
      <c r="P87" s="1">
        <v>0</v>
      </c>
      <c r="Q87" s="1">
        <v>0</v>
      </c>
      <c r="R87" s="1">
        <v>815</v>
      </c>
      <c r="S87" s="1">
        <v>3661</v>
      </c>
      <c r="T87" s="1"/>
      <c r="U87" s="1"/>
      <c r="V87" s="1"/>
      <c r="W87" s="1"/>
    </row>
    <row r="88" spans="1:23" x14ac:dyDescent="0.25">
      <c r="A88" s="1">
        <v>200</v>
      </c>
      <c r="B88" s="1">
        <v>803</v>
      </c>
      <c r="C88" s="1">
        <v>3555</v>
      </c>
      <c r="D88" s="1">
        <v>-8.9</v>
      </c>
      <c r="E88" s="1">
        <v>1.5</v>
      </c>
      <c r="F88" s="1">
        <v>0.4</v>
      </c>
      <c r="G88" s="1">
        <v>0</v>
      </c>
      <c r="H88" s="1">
        <v>0</v>
      </c>
      <c r="I88" s="1">
        <v>0</v>
      </c>
      <c r="J88" s="1"/>
      <c r="K88" s="1">
        <v>200</v>
      </c>
      <c r="L88" s="1">
        <v>-8.8000000000000007</v>
      </c>
      <c r="M88" s="1">
        <v>-1.5</v>
      </c>
      <c r="N88" s="1">
        <v>-0.4</v>
      </c>
      <c r="O88" s="1">
        <v>0</v>
      </c>
      <c r="P88" s="1">
        <v>0</v>
      </c>
      <c r="Q88" s="1">
        <v>0</v>
      </c>
      <c r="R88" s="1">
        <v>803</v>
      </c>
      <c r="S88" s="1">
        <v>3555</v>
      </c>
      <c r="T88" s="1"/>
      <c r="U88" s="1"/>
      <c r="V88" s="1"/>
      <c r="W88" s="1"/>
    </row>
    <row r="89" spans="1:23" x14ac:dyDescent="0.25">
      <c r="A89" s="1">
        <v>225</v>
      </c>
      <c r="B89" s="1">
        <v>792</v>
      </c>
      <c r="C89" s="1">
        <v>3454</v>
      </c>
      <c r="D89" s="1">
        <v>-13.5</v>
      </c>
      <c r="E89" s="1">
        <v>2.1</v>
      </c>
      <c r="F89" s="1">
        <v>0.6</v>
      </c>
      <c r="G89" s="1">
        <v>0</v>
      </c>
      <c r="H89" s="1">
        <v>0</v>
      </c>
      <c r="I89" s="1">
        <v>0</v>
      </c>
      <c r="J89" s="1"/>
      <c r="K89" s="1">
        <v>225</v>
      </c>
      <c r="L89" s="1">
        <v>-13.3</v>
      </c>
      <c r="M89" s="1">
        <v>-2</v>
      </c>
      <c r="N89" s="1">
        <v>-0.6</v>
      </c>
      <c r="O89" s="1">
        <v>0</v>
      </c>
      <c r="P89" s="1">
        <v>0</v>
      </c>
      <c r="Q89" s="1">
        <v>0</v>
      </c>
      <c r="R89" s="1">
        <v>792</v>
      </c>
      <c r="S89" s="1">
        <v>3455</v>
      </c>
      <c r="T89" s="1"/>
      <c r="U89" s="1"/>
      <c r="V89" s="1"/>
      <c r="W89" s="1"/>
    </row>
    <row r="90" spans="1:23" x14ac:dyDescent="0.25">
      <c r="A90" s="1">
        <v>250</v>
      </c>
      <c r="B90" s="1">
        <v>780</v>
      </c>
      <c r="C90" s="1">
        <v>3355</v>
      </c>
      <c r="D90" s="1">
        <v>-19.2</v>
      </c>
      <c r="E90" s="1">
        <v>2.6</v>
      </c>
      <c r="F90" s="1">
        <v>0.8</v>
      </c>
      <c r="G90" s="1">
        <v>0</v>
      </c>
      <c r="H90" s="1">
        <v>0</v>
      </c>
      <c r="I90" s="1">
        <v>0</v>
      </c>
      <c r="J90" s="1"/>
      <c r="K90" s="1">
        <v>250</v>
      </c>
      <c r="L90" s="1">
        <v>-18.8</v>
      </c>
      <c r="M90" s="1">
        <v>-2.6</v>
      </c>
      <c r="N90" s="1">
        <v>-0.8</v>
      </c>
      <c r="O90" s="1">
        <v>0</v>
      </c>
      <c r="P90" s="1">
        <v>0</v>
      </c>
      <c r="Q90" s="1">
        <v>0</v>
      </c>
      <c r="R90" s="1">
        <v>781</v>
      </c>
      <c r="S90" s="1">
        <v>3357</v>
      </c>
      <c r="T90" s="1"/>
      <c r="U90" s="1"/>
      <c r="V90" s="1"/>
      <c r="W90" s="1"/>
    </row>
    <row r="91" spans="1:23" x14ac:dyDescent="0.25">
      <c r="A91" s="1">
        <v>275</v>
      </c>
      <c r="B91" s="1">
        <v>769</v>
      </c>
      <c r="C91" s="1">
        <v>3258</v>
      </c>
      <c r="D91" s="1">
        <v>-26.1</v>
      </c>
      <c r="E91" s="1">
        <v>3.3</v>
      </c>
      <c r="F91" s="1">
        <v>0.9</v>
      </c>
      <c r="G91" s="1">
        <v>0</v>
      </c>
      <c r="H91" s="1">
        <v>0</v>
      </c>
      <c r="I91" s="1">
        <v>0</v>
      </c>
      <c r="J91" s="1"/>
      <c r="K91" s="1">
        <v>275</v>
      </c>
      <c r="L91" s="1">
        <v>-25.5</v>
      </c>
      <c r="M91" s="1">
        <v>-3.2</v>
      </c>
      <c r="N91" s="1">
        <v>-0.9</v>
      </c>
      <c r="O91" s="1">
        <v>0</v>
      </c>
      <c r="P91" s="1">
        <v>0</v>
      </c>
      <c r="Q91" s="1">
        <v>0</v>
      </c>
      <c r="R91" s="1">
        <v>769</v>
      </c>
      <c r="S91" s="1">
        <v>3259</v>
      </c>
      <c r="T91" s="1"/>
      <c r="U91" s="1"/>
      <c r="V91" s="1"/>
      <c r="W91" s="1"/>
    </row>
    <row r="92" spans="1:23" x14ac:dyDescent="0.25">
      <c r="A92" s="1">
        <v>300</v>
      </c>
      <c r="B92" s="1">
        <v>758</v>
      </c>
      <c r="C92" s="1">
        <v>3164</v>
      </c>
      <c r="D92" s="1">
        <v>-33.799999999999997</v>
      </c>
      <c r="E92" s="1">
        <v>3.9</v>
      </c>
      <c r="F92" s="1">
        <v>1.1000000000000001</v>
      </c>
      <c r="G92" s="1">
        <v>0</v>
      </c>
      <c r="H92" s="1">
        <v>0</v>
      </c>
      <c r="I92" s="1">
        <v>0</v>
      </c>
      <c r="J92" s="1"/>
      <c r="K92" s="1">
        <v>300</v>
      </c>
      <c r="L92" s="1">
        <v>-33.1</v>
      </c>
      <c r="M92" s="1">
        <v>-3.8</v>
      </c>
      <c r="N92" s="1">
        <v>-1.1000000000000001</v>
      </c>
      <c r="O92" s="1">
        <v>0</v>
      </c>
      <c r="P92" s="1">
        <v>0</v>
      </c>
      <c r="Q92" s="1">
        <v>0</v>
      </c>
      <c r="R92" s="1">
        <v>758</v>
      </c>
      <c r="S92" s="1">
        <v>3166</v>
      </c>
    </row>
    <row r="93" spans="1:23" x14ac:dyDescent="0.25">
      <c r="A93" s="1">
        <v>325</v>
      </c>
      <c r="B93" s="1">
        <v>747</v>
      </c>
      <c r="C93" s="1">
        <v>3071</v>
      </c>
      <c r="D93" s="1">
        <v>-42.6</v>
      </c>
      <c r="E93" s="1">
        <v>4.5</v>
      </c>
      <c r="F93" s="1">
        <v>1.3</v>
      </c>
      <c r="G93" s="1">
        <v>0</v>
      </c>
      <c r="H93" s="1">
        <v>0</v>
      </c>
      <c r="I93" s="1">
        <v>0</v>
      </c>
      <c r="J93" s="1"/>
      <c r="K93" s="1">
        <v>325</v>
      </c>
      <c r="L93" s="1">
        <v>-41.6</v>
      </c>
      <c r="M93" s="1">
        <v>-4.4000000000000004</v>
      </c>
      <c r="N93" s="1">
        <v>-1.3</v>
      </c>
      <c r="O93" s="1">
        <v>0</v>
      </c>
      <c r="P93" s="1">
        <v>0</v>
      </c>
      <c r="Q93" s="1">
        <v>0</v>
      </c>
      <c r="R93" s="1">
        <v>747</v>
      </c>
      <c r="S93" s="1">
        <v>3075</v>
      </c>
    </row>
    <row r="94" spans="1:23" x14ac:dyDescent="0.25">
      <c r="A94" s="1">
        <v>350</v>
      </c>
      <c r="B94" s="1">
        <v>736</v>
      </c>
      <c r="C94" s="1">
        <v>2981</v>
      </c>
      <c r="D94" s="1">
        <v>-52.9</v>
      </c>
      <c r="E94" s="1">
        <v>5.2</v>
      </c>
      <c r="F94" s="1">
        <v>1.5</v>
      </c>
      <c r="G94" s="1">
        <v>0</v>
      </c>
      <c r="H94" s="1">
        <v>0</v>
      </c>
      <c r="I94" s="1">
        <v>0</v>
      </c>
      <c r="J94" s="1"/>
      <c r="K94" s="1">
        <v>350</v>
      </c>
      <c r="L94" s="1">
        <v>-51.5</v>
      </c>
      <c r="M94" s="1">
        <v>-5.0999999999999996</v>
      </c>
      <c r="N94" s="1">
        <v>-1.5</v>
      </c>
      <c r="O94" s="1">
        <v>0</v>
      </c>
      <c r="P94" s="1">
        <v>0</v>
      </c>
      <c r="Q94" s="1">
        <v>0</v>
      </c>
      <c r="R94" s="1">
        <v>736</v>
      </c>
      <c r="S94" s="1">
        <v>2981</v>
      </c>
    </row>
    <row r="95" spans="1:23" x14ac:dyDescent="0.25">
      <c r="A95" s="1">
        <v>375</v>
      </c>
      <c r="B95" s="1">
        <v>725</v>
      </c>
      <c r="C95" s="1">
        <v>2893</v>
      </c>
      <c r="D95" s="1">
        <v>-64</v>
      </c>
      <c r="E95" s="1">
        <v>5.9</v>
      </c>
      <c r="F95" s="1">
        <v>1.7</v>
      </c>
      <c r="G95" s="1">
        <v>0</v>
      </c>
      <c r="H95" s="1">
        <v>0</v>
      </c>
      <c r="I95" s="1">
        <v>0</v>
      </c>
      <c r="J95" s="1"/>
      <c r="K95" s="1">
        <v>375</v>
      </c>
      <c r="L95" s="1">
        <v>-62.3</v>
      </c>
      <c r="M95" s="1">
        <v>-5.7</v>
      </c>
      <c r="N95" s="1">
        <v>-1.7</v>
      </c>
      <c r="O95" s="1">
        <v>0</v>
      </c>
      <c r="P95" s="1">
        <v>0</v>
      </c>
      <c r="Q95" s="1">
        <v>0</v>
      </c>
      <c r="R95" s="1">
        <v>725</v>
      </c>
      <c r="S95" s="1">
        <v>2895</v>
      </c>
      <c r="T95" s="1"/>
      <c r="U95" s="1"/>
      <c r="V95" s="1"/>
      <c r="W95" s="1"/>
    </row>
    <row r="96" spans="1:23" x14ac:dyDescent="0.25">
      <c r="A96" s="1">
        <v>400</v>
      </c>
      <c r="B96" s="1">
        <v>714</v>
      </c>
      <c r="C96" s="1">
        <v>2807</v>
      </c>
      <c r="D96" s="1">
        <v>-76.2</v>
      </c>
      <c r="E96" s="1">
        <v>6.6</v>
      </c>
      <c r="F96" s="1">
        <v>1.9</v>
      </c>
      <c r="G96" s="1">
        <v>0</v>
      </c>
      <c r="H96" s="1">
        <v>0</v>
      </c>
      <c r="I96" s="1">
        <v>0</v>
      </c>
      <c r="J96" s="1"/>
      <c r="K96" s="1">
        <v>400</v>
      </c>
      <c r="L96" s="1">
        <v>-74.2</v>
      </c>
      <c r="M96" s="1">
        <v>-6.4</v>
      </c>
      <c r="N96" s="1">
        <v>-1.9</v>
      </c>
      <c r="O96" s="1">
        <v>0</v>
      </c>
      <c r="P96" s="1">
        <v>0</v>
      </c>
      <c r="Q96" s="1">
        <v>0</v>
      </c>
      <c r="R96" s="1">
        <v>714</v>
      </c>
      <c r="S96" s="1">
        <v>2811</v>
      </c>
      <c r="T96" s="1"/>
      <c r="U96" s="1"/>
      <c r="V96" s="1"/>
      <c r="W96" s="1"/>
    </row>
    <row r="97" spans="1:23" x14ac:dyDescent="0.25">
      <c r="A97" s="1">
        <v>425</v>
      </c>
      <c r="B97" s="1">
        <v>703</v>
      </c>
      <c r="C97" s="1">
        <v>2723</v>
      </c>
      <c r="D97" s="1">
        <v>-90.3</v>
      </c>
      <c r="E97" s="1">
        <v>7.3</v>
      </c>
      <c r="F97" s="1">
        <v>2.1</v>
      </c>
      <c r="G97" s="1">
        <v>0</v>
      </c>
      <c r="H97" s="1">
        <v>0</v>
      </c>
      <c r="I97" s="1">
        <v>0</v>
      </c>
      <c r="J97" s="1"/>
      <c r="K97" s="1">
        <v>425</v>
      </c>
      <c r="L97" s="1">
        <v>-87.9</v>
      </c>
      <c r="M97" s="1">
        <v>-7.1</v>
      </c>
      <c r="N97" s="1">
        <v>-2.1</v>
      </c>
      <c r="O97" s="1">
        <v>0</v>
      </c>
      <c r="P97" s="1">
        <v>0</v>
      </c>
      <c r="Q97" s="1">
        <v>0</v>
      </c>
      <c r="R97" s="1">
        <v>703</v>
      </c>
      <c r="S97" s="1">
        <v>2724</v>
      </c>
      <c r="T97" s="1"/>
      <c r="U97" s="1"/>
      <c r="V97" s="1"/>
      <c r="W97" s="1"/>
    </row>
    <row r="98" spans="1:23" x14ac:dyDescent="0.25">
      <c r="A98" s="1">
        <v>450</v>
      </c>
      <c r="B98" s="1">
        <v>692</v>
      </c>
      <c r="C98" s="1">
        <v>2641</v>
      </c>
      <c r="D98" s="1">
        <v>-105.1</v>
      </c>
      <c r="E98" s="1">
        <v>8</v>
      </c>
      <c r="F98" s="1">
        <v>2.2999999999999998</v>
      </c>
      <c r="G98" s="1">
        <v>0</v>
      </c>
      <c r="H98" s="1">
        <v>0</v>
      </c>
      <c r="I98" s="1">
        <v>0</v>
      </c>
      <c r="J98" s="1"/>
      <c r="K98" s="1">
        <v>450</v>
      </c>
      <c r="L98" s="1">
        <v>-102.3</v>
      </c>
      <c r="M98" s="1">
        <v>-7.8</v>
      </c>
      <c r="N98" s="1">
        <v>-2.2999999999999998</v>
      </c>
      <c r="O98" s="1">
        <v>0</v>
      </c>
      <c r="P98" s="1">
        <v>0</v>
      </c>
      <c r="Q98" s="1">
        <v>0</v>
      </c>
      <c r="R98" s="1">
        <v>693</v>
      </c>
      <c r="S98" s="1">
        <v>2644</v>
      </c>
      <c r="T98" s="1"/>
      <c r="U98" s="1"/>
      <c r="V98" s="1"/>
      <c r="W98" s="1"/>
    </row>
    <row r="99" spans="1:23" x14ac:dyDescent="0.25">
      <c r="A99" s="1">
        <v>475</v>
      </c>
      <c r="B99" s="1">
        <v>682</v>
      </c>
      <c r="C99" s="1">
        <v>2561</v>
      </c>
      <c r="D99" s="1">
        <v>-121.3</v>
      </c>
      <c r="E99" s="1">
        <v>8.8000000000000007</v>
      </c>
      <c r="F99" s="1">
        <v>2.6</v>
      </c>
      <c r="G99" s="1">
        <v>0</v>
      </c>
      <c r="H99" s="1">
        <v>0</v>
      </c>
      <c r="I99" s="1">
        <v>0</v>
      </c>
      <c r="J99" s="1"/>
      <c r="K99" s="1">
        <v>475</v>
      </c>
      <c r="L99" s="1">
        <v>-118</v>
      </c>
      <c r="M99" s="1">
        <v>-8.5</v>
      </c>
      <c r="N99" s="1">
        <v>-2.5</v>
      </c>
      <c r="O99" s="1">
        <v>0</v>
      </c>
      <c r="P99" s="1">
        <v>0</v>
      </c>
      <c r="Q99" s="1">
        <v>0</v>
      </c>
      <c r="R99" s="1">
        <v>682</v>
      </c>
      <c r="S99" s="1">
        <v>2564</v>
      </c>
      <c r="T99" s="1"/>
      <c r="U99" s="1"/>
      <c r="V99" s="1"/>
      <c r="W99" s="1"/>
    </row>
    <row r="100" spans="1:23" x14ac:dyDescent="0.25">
      <c r="A100" s="1">
        <v>500</v>
      </c>
      <c r="B100" s="1">
        <v>672</v>
      </c>
      <c r="C100" s="1">
        <v>2485</v>
      </c>
      <c r="D100" s="1">
        <v>-138.80000000000001</v>
      </c>
      <c r="E100" s="1">
        <v>9.6</v>
      </c>
      <c r="F100" s="1">
        <v>2.8</v>
      </c>
      <c r="G100" s="1">
        <v>0</v>
      </c>
      <c r="H100" s="1">
        <v>0</v>
      </c>
      <c r="I100" s="1">
        <v>0</v>
      </c>
      <c r="J100" s="1"/>
      <c r="K100" s="1">
        <v>500</v>
      </c>
      <c r="L100" s="1">
        <v>-135.6</v>
      </c>
      <c r="M100" s="1">
        <v>-9.3000000000000007</v>
      </c>
      <c r="N100" s="1">
        <v>-2.7</v>
      </c>
      <c r="O100" s="1">
        <v>0</v>
      </c>
      <c r="P100" s="1">
        <v>0</v>
      </c>
      <c r="Q100" s="1">
        <v>0</v>
      </c>
      <c r="R100" s="1">
        <v>671</v>
      </c>
      <c r="S100" s="1">
        <v>2484</v>
      </c>
      <c r="T100" s="1"/>
      <c r="U100" s="1"/>
      <c r="V100" s="1"/>
      <c r="W100" s="1"/>
    </row>
    <row r="101" spans="1:23" x14ac:dyDescent="0.25">
      <c r="T101" s="1"/>
      <c r="U101" s="1"/>
      <c r="V101" s="1"/>
      <c r="W101" s="1"/>
    </row>
    <row r="102" spans="1:23" x14ac:dyDescent="0.25">
      <c r="A102" t="s">
        <v>87</v>
      </c>
      <c r="K102" t="s">
        <v>80</v>
      </c>
      <c r="T102" s="1"/>
      <c r="U102" s="1"/>
      <c r="V102" s="1"/>
      <c r="W102" s="1"/>
    </row>
    <row r="103" spans="1:23" x14ac:dyDescent="0.25">
      <c r="A103" t="s">
        <v>11</v>
      </c>
      <c r="B103" t="s">
        <v>12</v>
      </c>
      <c r="C103" t="s">
        <v>13</v>
      </c>
      <c r="D103" t="s">
        <v>14</v>
      </c>
      <c r="E103" t="s">
        <v>15</v>
      </c>
      <c r="F103" t="s">
        <v>16</v>
      </c>
      <c r="G103" t="s">
        <v>29</v>
      </c>
      <c r="H103" t="s">
        <v>30</v>
      </c>
      <c r="I103" t="s">
        <v>31</v>
      </c>
      <c r="K103" t="s">
        <v>42</v>
      </c>
      <c r="L103" t="s">
        <v>34</v>
      </c>
      <c r="M103" t="s">
        <v>35</v>
      </c>
      <c r="N103" t="s">
        <v>36</v>
      </c>
      <c r="O103" t="s">
        <v>37</v>
      </c>
      <c r="P103" t="s">
        <v>30</v>
      </c>
      <c r="Q103" t="s">
        <v>38</v>
      </c>
      <c r="R103" t="s">
        <v>39</v>
      </c>
      <c r="S103" t="s">
        <v>40</v>
      </c>
      <c r="T103" s="1"/>
      <c r="U103" s="1"/>
      <c r="V103" s="1"/>
      <c r="W103" s="1"/>
    </row>
    <row r="104" spans="1:23" x14ac:dyDescent="0.25">
      <c r="A104" s="1">
        <v>0</v>
      </c>
      <c r="B104" s="1">
        <v>899</v>
      </c>
      <c r="C104" s="1">
        <v>4454</v>
      </c>
      <c r="D104" s="1">
        <v>-3.8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/>
      <c r="K104" s="1">
        <v>0</v>
      </c>
      <c r="L104" s="1">
        <v>-3.8</v>
      </c>
      <c r="M104" s="1" t="s">
        <v>41</v>
      </c>
      <c r="N104" s="1" t="s">
        <v>41</v>
      </c>
      <c r="O104" s="1">
        <v>0</v>
      </c>
      <c r="P104" s="1" t="s">
        <v>41</v>
      </c>
      <c r="Q104" s="1" t="s">
        <v>41</v>
      </c>
      <c r="R104" s="1">
        <v>899</v>
      </c>
      <c r="S104" s="1">
        <v>4454</v>
      </c>
      <c r="T104" s="1"/>
      <c r="U104" s="1"/>
      <c r="V104" s="1"/>
      <c r="W104" s="1"/>
    </row>
    <row r="105" spans="1:23" x14ac:dyDescent="0.25">
      <c r="A105" s="1">
        <v>25</v>
      </c>
      <c r="B105" s="1">
        <v>887</v>
      </c>
      <c r="C105" s="1">
        <v>4331</v>
      </c>
      <c r="D105" s="1">
        <v>-1.7</v>
      </c>
      <c r="E105" s="1">
        <v>2.2999999999999998</v>
      </c>
      <c r="F105" s="1">
        <v>0.7</v>
      </c>
      <c r="G105" s="1">
        <v>0</v>
      </c>
      <c r="H105" s="1">
        <v>0</v>
      </c>
      <c r="I105" s="1">
        <v>0</v>
      </c>
      <c r="J105" s="1"/>
      <c r="K105" s="1">
        <v>25</v>
      </c>
      <c r="L105" s="1">
        <v>-1.7</v>
      </c>
      <c r="M105" s="1">
        <v>-2.2999999999999998</v>
      </c>
      <c r="N105" s="1">
        <v>-0.7</v>
      </c>
      <c r="O105" s="1">
        <v>0</v>
      </c>
      <c r="P105" s="1">
        <v>0</v>
      </c>
      <c r="Q105" s="1">
        <v>0</v>
      </c>
      <c r="R105" s="1">
        <v>887</v>
      </c>
      <c r="S105" s="1">
        <v>4333</v>
      </c>
      <c r="T105" s="1"/>
      <c r="U105" s="1"/>
      <c r="V105" s="1"/>
      <c r="W105" s="1"/>
    </row>
    <row r="106" spans="1:23" x14ac:dyDescent="0.25">
      <c r="A106" s="1">
        <v>50</v>
      </c>
      <c r="B106" s="1">
        <v>874</v>
      </c>
      <c r="C106" s="1">
        <v>4213</v>
      </c>
      <c r="D106" s="1">
        <v>-0.3</v>
      </c>
      <c r="E106" s="1">
        <v>0.2</v>
      </c>
      <c r="F106" s="1">
        <v>0.1</v>
      </c>
      <c r="G106" s="1">
        <v>0</v>
      </c>
      <c r="H106" s="1">
        <v>0</v>
      </c>
      <c r="I106" s="1">
        <v>0</v>
      </c>
      <c r="J106" s="1"/>
      <c r="K106" s="1">
        <v>50</v>
      </c>
      <c r="L106" s="1">
        <v>-0.3</v>
      </c>
      <c r="M106" s="1">
        <v>-0.2</v>
      </c>
      <c r="N106" s="1">
        <v>-0.1</v>
      </c>
      <c r="O106" s="1">
        <v>0</v>
      </c>
      <c r="P106" s="1">
        <v>0</v>
      </c>
      <c r="Q106" s="1">
        <v>0</v>
      </c>
      <c r="R106" s="1">
        <v>874</v>
      </c>
      <c r="S106" s="1">
        <v>4213</v>
      </c>
      <c r="T106" s="1"/>
      <c r="U106" s="1"/>
      <c r="V106" s="1"/>
      <c r="W106" s="1"/>
    </row>
    <row r="107" spans="1:23" x14ac:dyDescent="0.25">
      <c r="A107" s="1">
        <v>75</v>
      </c>
      <c r="B107" s="1">
        <v>862</v>
      </c>
      <c r="C107" s="1">
        <v>4096</v>
      </c>
      <c r="D107" s="1">
        <v>0.3</v>
      </c>
      <c r="E107" s="1">
        <v>-0.1</v>
      </c>
      <c r="F107" s="1">
        <v>0</v>
      </c>
      <c r="G107" s="1">
        <v>0</v>
      </c>
      <c r="H107" s="1">
        <v>0</v>
      </c>
      <c r="I107" s="1">
        <v>0</v>
      </c>
      <c r="J107" s="1"/>
      <c r="K107" s="1">
        <v>75</v>
      </c>
      <c r="L107" s="1">
        <v>0.3</v>
      </c>
      <c r="M107" s="1">
        <v>0.1</v>
      </c>
      <c r="N107" s="1">
        <v>0</v>
      </c>
      <c r="O107" s="1">
        <v>0</v>
      </c>
      <c r="P107" s="1">
        <v>0</v>
      </c>
      <c r="Q107" s="1">
        <v>0</v>
      </c>
      <c r="R107" s="1">
        <v>863</v>
      </c>
      <c r="S107" s="1">
        <v>4097</v>
      </c>
      <c r="T107" s="1"/>
      <c r="U107" s="1"/>
      <c r="V107" s="1"/>
      <c r="W107" s="1"/>
    </row>
    <row r="108" spans="1:23" x14ac:dyDescent="0.25">
      <c r="A108" s="10">
        <v>100</v>
      </c>
      <c r="B108" s="10">
        <v>850</v>
      </c>
      <c r="C108" s="10">
        <v>3983</v>
      </c>
      <c r="D108" s="10">
        <v>0</v>
      </c>
      <c r="E108" s="10">
        <v>0</v>
      </c>
      <c r="F108" s="10">
        <v>0</v>
      </c>
      <c r="G108" s="1">
        <v>0</v>
      </c>
      <c r="H108" s="1">
        <v>0</v>
      </c>
      <c r="I108" s="1">
        <v>0</v>
      </c>
      <c r="J108" s="1"/>
      <c r="K108" s="1">
        <v>100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851</v>
      </c>
      <c r="S108" s="1">
        <v>3986</v>
      </c>
      <c r="T108" s="1"/>
      <c r="U108" s="1"/>
      <c r="V108" s="1"/>
      <c r="W108" s="1"/>
    </row>
    <row r="109" spans="1:23" x14ac:dyDescent="0.25">
      <c r="A109" s="1">
        <v>125</v>
      </c>
      <c r="B109" s="1">
        <v>838</v>
      </c>
      <c r="C109" s="1">
        <v>3872</v>
      </c>
      <c r="D109" s="1">
        <v>-1.2</v>
      </c>
      <c r="E109" s="1">
        <v>0.3</v>
      </c>
      <c r="F109" s="1">
        <v>0.1</v>
      </c>
      <c r="G109" s="1">
        <v>0</v>
      </c>
      <c r="H109" s="1">
        <v>0</v>
      </c>
      <c r="I109" s="1">
        <v>0</v>
      </c>
      <c r="J109" s="1"/>
      <c r="K109" s="1">
        <v>125</v>
      </c>
      <c r="L109" s="1">
        <v>-1.2</v>
      </c>
      <c r="M109" s="1">
        <v>-0.3</v>
      </c>
      <c r="N109" s="1">
        <v>-0.1</v>
      </c>
      <c r="O109" s="1">
        <v>0</v>
      </c>
      <c r="P109" s="1">
        <v>0</v>
      </c>
      <c r="Q109" s="1">
        <v>0</v>
      </c>
      <c r="R109" s="1">
        <v>839</v>
      </c>
      <c r="S109" s="1">
        <v>3872</v>
      </c>
      <c r="T109" s="1"/>
      <c r="U109" s="1"/>
      <c r="V109" s="1"/>
      <c r="W109" s="1"/>
    </row>
    <row r="110" spans="1:23" x14ac:dyDescent="0.25">
      <c r="A110" s="1">
        <v>150</v>
      </c>
      <c r="B110" s="1">
        <v>827</v>
      </c>
      <c r="C110" s="1">
        <v>3764</v>
      </c>
      <c r="D110" s="1">
        <v>-3.2</v>
      </c>
      <c r="E110" s="1">
        <v>0.7</v>
      </c>
      <c r="F110" s="1">
        <v>0.2</v>
      </c>
      <c r="G110" s="1">
        <v>0</v>
      </c>
      <c r="H110" s="1">
        <v>0</v>
      </c>
      <c r="I110" s="1">
        <v>0</v>
      </c>
      <c r="J110" s="1"/>
      <c r="K110" s="1">
        <v>150</v>
      </c>
      <c r="L110" s="1">
        <v>-3.1</v>
      </c>
      <c r="M110" s="1">
        <v>-0.7</v>
      </c>
      <c r="N110" s="1">
        <v>-0.2</v>
      </c>
      <c r="O110" s="1">
        <v>0</v>
      </c>
      <c r="P110" s="1">
        <v>0</v>
      </c>
      <c r="Q110" s="1">
        <v>0</v>
      </c>
      <c r="R110" s="1">
        <v>827</v>
      </c>
      <c r="S110" s="1">
        <v>3765</v>
      </c>
      <c r="T110" s="1"/>
      <c r="U110" s="1"/>
      <c r="V110" s="1"/>
      <c r="W110" s="1"/>
    </row>
    <row r="111" spans="1:23" x14ac:dyDescent="0.25">
      <c r="A111" s="1">
        <v>175</v>
      </c>
      <c r="B111" s="1">
        <v>815</v>
      </c>
      <c r="C111" s="1">
        <v>3658</v>
      </c>
      <c r="D111" s="1">
        <v>-6</v>
      </c>
      <c r="E111" s="1">
        <v>1.2</v>
      </c>
      <c r="F111" s="1">
        <v>0.3</v>
      </c>
      <c r="G111" s="1">
        <v>0</v>
      </c>
      <c r="H111" s="1">
        <v>0</v>
      </c>
      <c r="I111" s="1">
        <v>0</v>
      </c>
      <c r="J111" s="1"/>
      <c r="K111" s="1">
        <v>175</v>
      </c>
      <c r="L111" s="1">
        <v>-6</v>
      </c>
      <c r="M111" s="1">
        <v>-1.2</v>
      </c>
      <c r="N111" s="1">
        <v>-0.3</v>
      </c>
      <c r="O111" s="1">
        <v>0</v>
      </c>
      <c r="P111" s="1">
        <v>0</v>
      </c>
      <c r="Q111" s="1">
        <v>0</v>
      </c>
      <c r="R111" s="1">
        <v>815</v>
      </c>
      <c r="S111" s="1">
        <v>3661</v>
      </c>
      <c r="T111" s="1"/>
      <c r="U111" s="1"/>
      <c r="V111" s="1"/>
      <c r="W111" s="1"/>
    </row>
    <row r="112" spans="1:23" x14ac:dyDescent="0.25">
      <c r="A112" s="1">
        <v>200</v>
      </c>
      <c r="B112" s="1">
        <v>803</v>
      </c>
      <c r="C112" s="1">
        <v>3555</v>
      </c>
      <c r="D112" s="1">
        <v>-10</v>
      </c>
      <c r="E112" s="1">
        <v>1.7</v>
      </c>
      <c r="F112" s="1">
        <v>0.5</v>
      </c>
      <c r="G112" s="1">
        <v>0</v>
      </c>
      <c r="H112" s="1">
        <v>0</v>
      </c>
      <c r="I112" s="1">
        <v>0</v>
      </c>
      <c r="J112" s="1"/>
      <c r="K112" s="1">
        <v>200</v>
      </c>
      <c r="L112" s="1">
        <v>-9.9</v>
      </c>
      <c r="M112" s="1">
        <v>-1.7</v>
      </c>
      <c r="N112" s="1">
        <v>-0.5</v>
      </c>
      <c r="O112" s="1">
        <v>0</v>
      </c>
      <c r="P112" s="1">
        <v>0</v>
      </c>
      <c r="Q112" s="1">
        <v>0</v>
      </c>
      <c r="R112" s="1">
        <v>803</v>
      </c>
      <c r="S112" s="1">
        <v>3555</v>
      </c>
      <c r="T112" s="1"/>
      <c r="U112" s="1"/>
      <c r="V112" s="1"/>
      <c r="W112" s="1"/>
    </row>
    <row r="113" spans="1:23" x14ac:dyDescent="0.25">
      <c r="A113" s="1">
        <v>225</v>
      </c>
      <c r="B113" s="1">
        <v>792</v>
      </c>
      <c r="C113" s="1">
        <v>3454</v>
      </c>
      <c r="D113" s="1">
        <v>-14.8</v>
      </c>
      <c r="E113" s="1">
        <v>2.2999999999999998</v>
      </c>
      <c r="F113" s="1">
        <v>0.7</v>
      </c>
      <c r="G113" s="1">
        <v>0</v>
      </c>
      <c r="H113" s="1">
        <v>0</v>
      </c>
      <c r="I113" s="1">
        <v>0</v>
      </c>
      <c r="J113" s="1"/>
      <c r="K113" s="1">
        <v>225</v>
      </c>
      <c r="L113" s="1">
        <v>-14.6</v>
      </c>
      <c r="M113" s="1">
        <v>-2.2000000000000002</v>
      </c>
      <c r="N113" s="1">
        <v>-0.7</v>
      </c>
      <c r="O113" s="1">
        <v>0</v>
      </c>
      <c r="P113" s="1">
        <v>0</v>
      </c>
      <c r="Q113" s="1">
        <v>0</v>
      </c>
      <c r="R113" s="1">
        <v>792</v>
      </c>
      <c r="S113" s="1">
        <v>3455</v>
      </c>
      <c r="T113" s="1"/>
      <c r="U113" s="1"/>
      <c r="V113" s="1"/>
      <c r="W113" s="1"/>
    </row>
    <row r="114" spans="1:23" x14ac:dyDescent="0.25">
      <c r="A114" s="1">
        <v>250</v>
      </c>
      <c r="B114" s="1">
        <v>780</v>
      </c>
      <c r="C114" s="1">
        <v>3355</v>
      </c>
      <c r="D114" s="1">
        <v>-20.6</v>
      </c>
      <c r="E114" s="1">
        <v>2.8</v>
      </c>
      <c r="F114" s="1">
        <v>0.8</v>
      </c>
      <c r="G114" s="1">
        <v>0</v>
      </c>
      <c r="H114" s="1">
        <v>0</v>
      </c>
      <c r="I114" s="1">
        <v>0</v>
      </c>
      <c r="J114" s="1"/>
      <c r="K114" s="1">
        <v>250</v>
      </c>
      <c r="L114" s="1">
        <v>-20.3</v>
      </c>
      <c r="M114" s="1">
        <v>-2.8</v>
      </c>
      <c r="N114" s="1">
        <v>-0.8</v>
      </c>
      <c r="O114" s="1">
        <v>0</v>
      </c>
      <c r="P114" s="1">
        <v>0</v>
      </c>
      <c r="Q114" s="1">
        <v>0</v>
      </c>
      <c r="R114" s="1">
        <v>781</v>
      </c>
      <c r="S114" s="1">
        <v>3357</v>
      </c>
      <c r="T114" s="1"/>
      <c r="U114" s="1"/>
      <c r="V114" s="1"/>
      <c r="W114" s="1"/>
    </row>
    <row r="115" spans="1:23" x14ac:dyDescent="0.25">
      <c r="A115" s="1">
        <v>275</v>
      </c>
      <c r="B115" s="1">
        <v>769</v>
      </c>
      <c r="C115" s="1">
        <v>3258</v>
      </c>
      <c r="D115" s="1">
        <v>-27.6</v>
      </c>
      <c r="E115" s="1">
        <v>3.4</v>
      </c>
      <c r="F115" s="1">
        <v>1</v>
      </c>
      <c r="G115" s="1">
        <v>0</v>
      </c>
      <c r="H115" s="1">
        <v>0</v>
      </c>
      <c r="I115" s="1">
        <v>0</v>
      </c>
      <c r="J115" s="1"/>
      <c r="K115" s="1">
        <v>275</v>
      </c>
      <c r="L115" s="1">
        <v>-27.1</v>
      </c>
      <c r="M115" s="1">
        <v>-3.4</v>
      </c>
      <c r="N115" s="1">
        <v>-1</v>
      </c>
      <c r="O115" s="1">
        <v>0</v>
      </c>
      <c r="P115" s="1">
        <v>0</v>
      </c>
      <c r="Q115" s="1">
        <v>0</v>
      </c>
      <c r="R115" s="1">
        <v>769</v>
      </c>
      <c r="S115" s="1">
        <v>3259</v>
      </c>
      <c r="T115" s="1"/>
      <c r="U115" s="1"/>
      <c r="V115" s="1"/>
      <c r="W115" s="1"/>
    </row>
    <row r="116" spans="1:23" x14ac:dyDescent="0.25">
      <c r="A116" s="1">
        <v>300</v>
      </c>
      <c r="B116" s="1">
        <v>758</v>
      </c>
      <c r="C116" s="1">
        <v>3164</v>
      </c>
      <c r="D116" s="1">
        <v>-35.5</v>
      </c>
      <c r="E116" s="1">
        <v>4.0999999999999996</v>
      </c>
      <c r="F116" s="1">
        <v>1.2</v>
      </c>
      <c r="G116" s="1">
        <v>0</v>
      </c>
      <c r="H116" s="1">
        <v>0</v>
      </c>
      <c r="I116" s="1">
        <v>0</v>
      </c>
      <c r="J116" s="1"/>
      <c r="K116" s="1">
        <v>300</v>
      </c>
      <c r="L116" s="1">
        <v>-34.9</v>
      </c>
      <c r="M116" s="1">
        <v>-4</v>
      </c>
      <c r="N116" s="1">
        <v>-1.2</v>
      </c>
      <c r="O116" s="1">
        <v>0</v>
      </c>
      <c r="P116" s="1">
        <v>0</v>
      </c>
      <c r="Q116" s="1">
        <v>0</v>
      </c>
      <c r="R116" s="1">
        <v>758</v>
      </c>
      <c r="S116" s="1">
        <v>3166</v>
      </c>
    </row>
    <row r="117" spans="1:23" x14ac:dyDescent="0.25">
      <c r="A117" s="1">
        <v>325</v>
      </c>
      <c r="B117" s="1">
        <v>747</v>
      </c>
      <c r="C117" s="1">
        <v>3071</v>
      </c>
      <c r="D117" s="1">
        <v>-44.4</v>
      </c>
      <c r="E117" s="1">
        <v>4.7</v>
      </c>
      <c r="F117" s="1">
        <v>1.4</v>
      </c>
      <c r="G117" s="1">
        <v>0</v>
      </c>
      <c r="H117" s="1">
        <v>0</v>
      </c>
      <c r="I117" s="1">
        <v>0</v>
      </c>
      <c r="J117" s="1"/>
      <c r="K117" s="1">
        <v>325</v>
      </c>
      <c r="L117" s="1">
        <v>-43.4</v>
      </c>
      <c r="M117" s="1">
        <v>-4.5999999999999996</v>
      </c>
      <c r="N117" s="1">
        <v>-1.3</v>
      </c>
      <c r="O117" s="1">
        <v>0</v>
      </c>
      <c r="P117" s="1">
        <v>0</v>
      </c>
      <c r="Q117" s="1">
        <v>0</v>
      </c>
      <c r="R117" s="1">
        <v>747</v>
      </c>
      <c r="S117" s="1">
        <v>3075</v>
      </c>
    </row>
    <row r="118" spans="1:23" x14ac:dyDescent="0.25">
      <c r="A118" s="1">
        <v>350</v>
      </c>
      <c r="B118" s="1">
        <v>736</v>
      </c>
      <c r="C118" s="1">
        <v>2981</v>
      </c>
      <c r="D118" s="1">
        <v>-54.8</v>
      </c>
      <c r="E118" s="1">
        <v>5.4</v>
      </c>
      <c r="F118" s="1">
        <v>1.6</v>
      </c>
      <c r="G118" s="1">
        <v>0</v>
      </c>
      <c r="H118" s="1">
        <v>0</v>
      </c>
      <c r="I118" s="1">
        <v>0</v>
      </c>
      <c r="J118" s="1"/>
      <c r="K118" s="1">
        <v>350</v>
      </c>
      <c r="L118" s="1">
        <v>-53.5</v>
      </c>
      <c r="M118" s="1">
        <v>-5.3</v>
      </c>
      <c r="N118" s="1">
        <v>-1.5</v>
      </c>
      <c r="O118" s="1">
        <v>0</v>
      </c>
      <c r="P118" s="1">
        <v>0</v>
      </c>
      <c r="Q118" s="1">
        <v>0</v>
      </c>
      <c r="R118" s="1">
        <v>736</v>
      </c>
      <c r="S118" s="1">
        <v>2981</v>
      </c>
    </row>
    <row r="119" spans="1:23" x14ac:dyDescent="0.25">
      <c r="A119" s="1">
        <v>375</v>
      </c>
      <c r="B119" s="1">
        <v>725</v>
      </c>
      <c r="C119" s="1">
        <v>2893</v>
      </c>
      <c r="D119" s="1">
        <v>-66.099999999999994</v>
      </c>
      <c r="E119" s="1">
        <v>6.1</v>
      </c>
      <c r="F119" s="1">
        <v>1.8</v>
      </c>
      <c r="G119" s="1">
        <v>0</v>
      </c>
      <c r="H119" s="1">
        <v>0</v>
      </c>
      <c r="I119" s="1">
        <v>0</v>
      </c>
      <c r="J119" s="1"/>
      <c r="K119" s="1">
        <v>375</v>
      </c>
      <c r="L119" s="1">
        <v>-64.400000000000006</v>
      </c>
      <c r="M119" s="1">
        <v>-5.9</v>
      </c>
      <c r="N119" s="1">
        <v>-1.7</v>
      </c>
      <c r="O119" s="1">
        <v>0</v>
      </c>
      <c r="P119" s="1">
        <v>0</v>
      </c>
      <c r="Q119" s="1">
        <v>0</v>
      </c>
      <c r="R119" s="1">
        <v>725</v>
      </c>
      <c r="S119" s="1">
        <v>2895</v>
      </c>
      <c r="T119" s="1"/>
      <c r="U119" s="1"/>
      <c r="V119" s="1"/>
      <c r="W119" s="1"/>
    </row>
    <row r="120" spans="1:23" x14ac:dyDescent="0.25">
      <c r="A120" s="1">
        <v>400</v>
      </c>
      <c r="B120" s="1">
        <v>714</v>
      </c>
      <c r="C120" s="1">
        <v>2807</v>
      </c>
      <c r="D120" s="1">
        <v>-78.5</v>
      </c>
      <c r="E120" s="1">
        <v>6.7</v>
      </c>
      <c r="F120" s="1">
        <v>2</v>
      </c>
      <c r="G120" s="1">
        <v>0</v>
      </c>
      <c r="H120" s="1">
        <v>0</v>
      </c>
      <c r="I120" s="1">
        <v>0</v>
      </c>
      <c r="J120" s="1"/>
      <c r="K120" s="1">
        <v>400</v>
      </c>
      <c r="L120" s="1">
        <v>-76.5</v>
      </c>
      <c r="M120" s="1">
        <v>-6.6</v>
      </c>
      <c r="N120" s="1">
        <v>-1.9</v>
      </c>
      <c r="O120" s="1">
        <v>0</v>
      </c>
      <c r="P120" s="1">
        <v>0</v>
      </c>
      <c r="Q120" s="1">
        <v>0</v>
      </c>
      <c r="R120" s="1">
        <v>714</v>
      </c>
      <c r="S120" s="1">
        <v>2811</v>
      </c>
      <c r="T120" s="1"/>
      <c r="U120" s="1"/>
      <c r="V120" s="1"/>
      <c r="W120" s="1"/>
    </row>
    <row r="121" spans="1:23" x14ac:dyDescent="0.25">
      <c r="A121" s="1">
        <v>425</v>
      </c>
      <c r="B121" s="1">
        <v>703</v>
      </c>
      <c r="C121" s="1">
        <v>2723</v>
      </c>
      <c r="D121" s="1">
        <v>-92.7</v>
      </c>
      <c r="E121" s="1">
        <v>7.5</v>
      </c>
      <c r="F121" s="1">
        <v>2.2000000000000002</v>
      </c>
      <c r="G121" s="1">
        <v>0</v>
      </c>
      <c r="H121" s="1">
        <v>0</v>
      </c>
      <c r="I121" s="1">
        <v>0</v>
      </c>
      <c r="J121" s="1"/>
      <c r="K121" s="1">
        <v>425</v>
      </c>
      <c r="L121" s="1">
        <v>-90.3</v>
      </c>
      <c r="M121" s="1">
        <v>-7.3</v>
      </c>
      <c r="N121" s="1">
        <v>-2.1</v>
      </c>
      <c r="O121" s="1">
        <v>0</v>
      </c>
      <c r="P121" s="1">
        <v>0</v>
      </c>
      <c r="Q121" s="1">
        <v>0</v>
      </c>
      <c r="R121" s="1">
        <v>703</v>
      </c>
      <c r="S121" s="1">
        <v>2724</v>
      </c>
      <c r="T121" s="1"/>
      <c r="U121" s="1"/>
      <c r="V121" s="1"/>
      <c r="W121" s="1"/>
    </row>
    <row r="122" spans="1:23" x14ac:dyDescent="0.25">
      <c r="A122" s="1">
        <v>450</v>
      </c>
      <c r="B122" s="1">
        <v>692</v>
      </c>
      <c r="C122" s="1">
        <v>2641</v>
      </c>
      <c r="D122" s="1">
        <v>-107.6</v>
      </c>
      <c r="E122" s="1">
        <v>8.1999999999999993</v>
      </c>
      <c r="F122" s="1">
        <v>2.4</v>
      </c>
      <c r="G122" s="1">
        <v>0</v>
      </c>
      <c r="H122" s="1">
        <v>0</v>
      </c>
      <c r="I122" s="1">
        <v>0</v>
      </c>
      <c r="J122" s="1"/>
      <c r="K122" s="1">
        <v>450</v>
      </c>
      <c r="L122" s="1">
        <v>-104.9</v>
      </c>
      <c r="M122" s="1">
        <v>-8</v>
      </c>
      <c r="N122" s="1">
        <v>-2.2999999999999998</v>
      </c>
      <c r="O122" s="1">
        <v>0</v>
      </c>
      <c r="P122" s="1">
        <v>0</v>
      </c>
      <c r="Q122" s="1">
        <v>0</v>
      </c>
      <c r="R122" s="1">
        <v>693</v>
      </c>
      <c r="S122" s="1">
        <v>2644</v>
      </c>
      <c r="T122" s="1"/>
      <c r="U122" s="1"/>
      <c r="V122" s="1"/>
      <c r="W122" s="1"/>
    </row>
    <row r="123" spans="1:23" x14ac:dyDescent="0.25">
      <c r="A123" s="1">
        <v>475</v>
      </c>
      <c r="B123" s="1">
        <v>682</v>
      </c>
      <c r="C123" s="1">
        <v>2561</v>
      </c>
      <c r="D123" s="1">
        <v>-123.9</v>
      </c>
      <c r="E123" s="1">
        <v>9</v>
      </c>
      <c r="F123" s="1">
        <v>2.6</v>
      </c>
      <c r="G123" s="1">
        <v>0</v>
      </c>
      <c r="H123" s="1">
        <v>0</v>
      </c>
      <c r="I123" s="1">
        <v>0</v>
      </c>
      <c r="J123" s="1"/>
      <c r="K123" s="1">
        <v>475</v>
      </c>
      <c r="L123" s="1">
        <v>-120.7</v>
      </c>
      <c r="M123" s="1">
        <v>-8.6999999999999993</v>
      </c>
      <c r="N123" s="1">
        <v>-2.5</v>
      </c>
      <c r="O123" s="1">
        <v>0</v>
      </c>
      <c r="P123" s="1">
        <v>0</v>
      </c>
      <c r="Q123" s="1">
        <v>0</v>
      </c>
      <c r="R123" s="1">
        <v>682</v>
      </c>
      <c r="S123" s="1">
        <v>2564</v>
      </c>
      <c r="T123" s="1"/>
      <c r="U123" s="1"/>
      <c r="V123" s="1"/>
      <c r="W123" s="1"/>
    </row>
    <row r="124" spans="1:23" x14ac:dyDescent="0.25">
      <c r="A124" s="1">
        <v>500</v>
      </c>
      <c r="B124" s="1">
        <v>672</v>
      </c>
      <c r="C124" s="1">
        <v>2485</v>
      </c>
      <c r="D124" s="1">
        <v>-141.5</v>
      </c>
      <c r="E124" s="1">
        <v>9.6999999999999993</v>
      </c>
      <c r="F124" s="1">
        <v>2.8</v>
      </c>
      <c r="G124" s="1">
        <v>0</v>
      </c>
      <c r="H124" s="1">
        <v>0</v>
      </c>
      <c r="I124" s="1">
        <v>0</v>
      </c>
      <c r="J124" s="1"/>
      <c r="K124" s="1">
        <v>500</v>
      </c>
      <c r="L124" s="1">
        <v>-138.5</v>
      </c>
      <c r="M124" s="1">
        <v>-9.5</v>
      </c>
      <c r="N124" s="1">
        <v>-2.8</v>
      </c>
      <c r="O124" s="1">
        <v>0</v>
      </c>
      <c r="P124" s="1">
        <v>0</v>
      </c>
      <c r="Q124" s="1">
        <v>0</v>
      </c>
      <c r="R124" s="1">
        <v>671</v>
      </c>
      <c r="S124" s="1">
        <v>2484</v>
      </c>
      <c r="T124" s="1"/>
      <c r="U124" s="1"/>
      <c r="V124" s="1"/>
      <c r="W124" s="1"/>
    </row>
    <row r="125" spans="1:23" x14ac:dyDescent="0.25">
      <c r="T125" s="1"/>
      <c r="U125" s="1"/>
      <c r="V125" s="1"/>
      <c r="W125" s="1"/>
    </row>
    <row r="126" spans="1:23" x14ac:dyDescent="0.25">
      <c r="A126" t="s">
        <v>88</v>
      </c>
      <c r="K126" t="s">
        <v>81</v>
      </c>
      <c r="T126" s="1"/>
      <c r="U126" s="1"/>
      <c r="V126" s="1"/>
      <c r="W126" s="1"/>
    </row>
    <row r="127" spans="1:23" x14ac:dyDescent="0.25">
      <c r="A127" t="s">
        <v>11</v>
      </c>
      <c r="B127" t="s">
        <v>12</v>
      </c>
      <c r="C127" t="s">
        <v>13</v>
      </c>
      <c r="D127" t="s">
        <v>14</v>
      </c>
      <c r="E127" t="s">
        <v>15</v>
      </c>
      <c r="F127" t="s">
        <v>16</v>
      </c>
      <c r="G127" t="s">
        <v>29</v>
      </c>
      <c r="H127" t="s">
        <v>30</v>
      </c>
      <c r="I127" t="s">
        <v>31</v>
      </c>
      <c r="K127" t="s">
        <v>42</v>
      </c>
      <c r="L127" t="s">
        <v>34</v>
      </c>
      <c r="M127" t="s">
        <v>35</v>
      </c>
      <c r="N127" t="s">
        <v>36</v>
      </c>
      <c r="O127" t="s">
        <v>37</v>
      </c>
      <c r="P127" t="s">
        <v>30</v>
      </c>
      <c r="Q127" t="s">
        <v>38</v>
      </c>
      <c r="R127" t="s">
        <v>39</v>
      </c>
      <c r="S127" t="s">
        <v>40</v>
      </c>
      <c r="T127" s="1"/>
      <c r="U127" s="1"/>
      <c r="V127" s="1"/>
      <c r="W127" s="1"/>
    </row>
    <row r="128" spans="1:23" x14ac:dyDescent="0.25">
      <c r="A128" s="1">
        <v>0</v>
      </c>
      <c r="B128" s="1">
        <v>899</v>
      </c>
      <c r="C128" s="1">
        <v>4454</v>
      </c>
      <c r="D128" s="1">
        <v>-3.8</v>
      </c>
      <c r="E128" s="1">
        <v>0</v>
      </c>
      <c r="F128" s="1">
        <v>0</v>
      </c>
      <c r="G128" s="31">
        <v>0</v>
      </c>
      <c r="H128" s="31">
        <v>0</v>
      </c>
      <c r="I128" s="31">
        <v>0</v>
      </c>
      <c r="K128" s="1">
        <v>0</v>
      </c>
      <c r="L128" s="1">
        <v>-3.8</v>
      </c>
      <c r="M128" s="1" t="s">
        <v>41</v>
      </c>
      <c r="N128" s="1" t="s">
        <v>41</v>
      </c>
      <c r="O128" s="1">
        <v>0</v>
      </c>
      <c r="P128" s="1" t="s">
        <v>41</v>
      </c>
      <c r="Q128" s="1" t="s">
        <v>41</v>
      </c>
      <c r="R128" s="1">
        <v>899</v>
      </c>
      <c r="S128" s="1">
        <v>4454</v>
      </c>
      <c r="T128" s="1"/>
      <c r="U128" s="1"/>
      <c r="V128" s="1"/>
      <c r="W128" s="1"/>
    </row>
    <row r="129" spans="1:23" x14ac:dyDescent="0.25">
      <c r="A129" s="1">
        <v>25</v>
      </c>
      <c r="B129" s="1">
        <v>887</v>
      </c>
      <c r="C129" s="1">
        <v>4331</v>
      </c>
      <c r="D129" s="1">
        <v>-1.1000000000000001</v>
      </c>
      <c r="E129" s="1">
        <v>1.6</v>
      </c>
      <c r="F129" s="1">
        <v>0.5</v>
      </c>
      <c r="G129" s="31">
        <v>0</v>
      </c>
      <c r="H129" s="31">
        <v>0</v>
      </c>
      <c r="I129" s="31">
        <v>0</v>
      </c>
      <c r="K129" s="1">
        <v>25</v>
      </c>
      <c r="L129" s="1">
        <v>-1.2</v>
      </c>
      <c r="M129" s="1">
        <v>-1.6</v>
      </c>
      <c r="N129" s="1">
        <v>-0.5</v>
      </c>
      <c r="O129" s="1">
        <v>0</v>
      </c>
      <c r="P129" s="1">
        <v>0</v>
      </c>
      <c r="Q129" s="1">
        <v>0</v>
      </c>
      <c r="R129" s="1">
        <v>887</v>
      </c>
      <c r="S129" s="1">
        <v>4333</v>
      </c>
      <c r="T129" s="1"/>
      <c r="U129" s="1"/>
      <c r="V129" s="1"/>
      <c r="W129" s="1"/>
    </row>
    <row r="130" spans="1:23" x14ac:dyDescent="0.25">
      <c r="A130" s="1">
        <v>50</v>
      </c>
      <c r="B130" s="1">
        <v>874</v>
      </c>
      <c r="C130" s="1">
        <v>4213</v>
      </c>
      <c r="D130" s="1">
        <v>0.8</v>
      </c>
      <c r="E130" s="1">
        <v>-0.5</v>
      </c>
      <c r="F130" s="1">
        <v>-0.2</v>
      </c>
      <c r="G130" s="31">
        <v>0</v>
      </c>
      <c r="H130" s="31">
        <v>0</v>
      </c>
      <c r="I130" s="31">
        <v>0</v>
      </c>
      <c r="K130" s="1">
        <v>50</v>
      </c>
      <c r="L130" s="1">
        <v>0.8</v>
      </c>
      <c r="M130" s="1">
        <v>0.5</v>
      </c>
      <c r="N130" s="1">
        <v>0.2</v>
      </c>
      <c r="O130" s="1">
        <v>0</v>
      </c>
      <c r="P130" s="1">
        <v>0</v>
      </c>
      <c r="Q130" s="1">
        <v>0</v>
      </c>
      <c r="R130" s="1">
        <v>874</v>
      </c>
      <c r="S130" s="1">
        <v>4213</v>
      </c>
      <c r="T130" s="1"/>
      <c r="U130" s="1"/>
      <c r="V130" s="1"/>
      <c r="W130" s="1"/>
    </row>
    <row r="131" spans="1:23" x14ac:dyDescent="0.25">
      <c r="A131" s="1">
        <v>75</v>
      </c>
      <c r="B131" s="1">
        <v>862</v>
      </c>
      <c r="C131" s="1">
        <v>4096</v>
      </c>
      <c r="D131" s="1">
        <v>1.9</v>
      </c>
      <c r="E131" s="1">
        <v>-0.9</v>
      </c>
      <c r="F131" s="1">
        <v>-0.2</v>
      </c>
      <c r="G131" s="31">
        <v>0</v>
      </c>
      <c r="H131" s="31">
        <v>0</v>
      </c>
      <c r="I131" s="31">
        <v>0</v>
      </c>
      <c r="K131" s="1">
        <v>75</v>
      </c>
      <c r="L131" s="1">
        <v>1.8</v>
      </c>
      <c r="M131" s="1">
        <v>0.8</v>
      </c>
      <c r="N131" s="1">
        <v>0.2</v>
      </c>
      <c r="O131" s="1">
        <v>0</v>
      </c>
      <c r="P131" s="1">
        <v>0</v>
      </c>
      <c r="Q131" s="1">
        <v>0</v>
      </c>
      <c r="R131" s="1">
        <v>863</v>
      </c>
      <c r="S131" s="1">
        <v>4097</v>
      </c>
      <c r="T131" s="1"/>
      <c r="U131" s="1"/>
      <c r="V131" s="1"/>
      <c r="W131" s="1"/>
    </row>
    <row r="132" spans="1:23" x14ac:dyDescent="0.25">
      <c r="A132" s="1">
        <v>100</v>
      </c>
      <c r="B132" s="1">
        <v>850</v>
      </c>
      <c r="C132" s="1">
        <v>3983</v>
      </c>
      <c r="D132" s="1">
        <v>2.1</v>
      </c>
      <c r="E132" s="1">
        <v>-0.7</v>
      </c>
      <c r="F132" s="1">
        <v>-0.2</v>
      </c>
      <c r="G132" s="31">
        <v>0</v>
      </c>
      <c r="H132" s="31">
        <v>0</v>
      </c>
      <c r="I132" s="31">
        <v>0</v>
      </c>
      <c r="K132" s="1">
        <v>100</v>
      </c>
      <c r="L132" s="1">
        <v>2.1</v>
      </c>
      <c r="M132" s="1">
        <v>0.7</v>
      </c>
      <c r="N132" s="1">
        <v>0.2</v>
      </c>
      <c r="O132" s="1">
        <v>0</v>
      </c>
      <c r="P132" s="1">
        <v>0</v>
      </c>
      <c r="Q132" s="1">
        <v>0</v>
      </c>
      <c r="R132" s="1">
        <v>851</v>
      </c>
      <c r="S132" s="1">
        <v>3986</v>
      </c>
      <c r="T132" s="1"/>
      <c r="U132" s="1"/>
      <c r="V132" s="1"/>
      <c r="W132" s="1"/>
    </row>
    <row r="133" spans="1:23" x14ac:dyDescent="0.25">
      <c r="A133" s="1">
        <v>125</v>
      </c>
      <c r="B133" s="1">
        <v>838</v>
      </c>
      <c r="C133" s="1">
        <v>3872</v>
      </c>
      <c r="D133" s="1">
        <v>1.5</v>
      </c>
      <c r="E133" s="1">
        <v>-0.4</v>
      </c>
      <c r="F133" s="1">
        <v>-0.1</v>
      </c>
      <c r="G133" s="31">
        <v>0</v>
      </c>
      <c r="H133" s="31">
        <v>0</v>
      </c>
      <c r="I133" s="31">
        <v>0</v>
      </c>
      <c r="K133" s="1">
        <v>125</v>
      </c>
      <c r="L133" s="1">
        <v>1.5</v>
      </c>
      <c r="M133" s="1">
        <v>0.4</v>
      </c>
      <c r="N133" s="1">
        <v>0.1</v>
      </c>
      <c r="O133" s="1">
        <v>0</v>
      </c>
      <c r="P133" s="1">
        <v>0</v>
      </c>
      <c r="Q133" s="1">
        <v>0</v>
      </c>
      <c r="R133" s="1">
        <v>839</v>
      </c>
      <c r="S133" s="1">
        <v>3872</v>
      </c>
      <c r="T133" s="1"/>
      <c r="U133" s="1"/>
      <c r="V133" s="1"/>
      <c r="W133" s="1"/>
    </row>
    <row r="134" spans="1:23" x14ac:dyDescent="0.25">
      <c r="A134" s="10">
        <v>150</v>
      </c>
      <c r="B134" s="10">
        <v>827</v>
      </c>
      <c r="C134" s="10">
        <v>3764</v>
      </c>
      <c r="D134" s="10">
        <v>0</v>
      </c>
      <c r="E134" s="10">
        <v>0</v>
      </c>
      <c r="F134" s="10">
        <v>0</v>
      </c>
      <c r="G134" s="31">
        <v>0</v>
      </c>
      <c r="H134" s="31">
        <v>0</v>
      </c>
      <c r="I134" s="31">
        <v>0</v>
      </c>
      <c r="K134" s="1">
        <v>150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827</v>
      </c>
      <c r="S134" s="1">
        <v>3765</v>
      </c>
      <c r="T134" s="1"/>
      <c r="U134" s="1"/>
      <c r="V134" s="1"/>
      <c r="W134" s="1"/>
    </row>
    <row r="135" spans="1:23" x14ac:dyDescent="0.25">
      <c r="A135" s="1">
        <v>175</v>
      </c>
      <c r="B135" s="1">
        <v>815</v>
      </c>
      <c r="C135" s="1">
        <v>3658</v>
      </c>
      <c r="D135" s="1">
        <v>-2.2999999999999998</v>
      </c>
      <c r="E135" s="1">
        <v>0.5</v>
      </c>
      <c r="F135" s="1">
        <v>0.1</v>
      </c>
      <c r="G135" s="31">
        <v>0</v>
      </c>
      <c r="H135" s="31">
        <v>0</v>
      </c>
      <c r="I135" s="31">
        <v>0</v>
      </c>
      <c r="K135" s="1">
        <v>175</v>
      </c>
      <c r="L135" s="1">
        <v>-2.2999999999999998</v>
      </c>
      <c r="M135" s="1">
        <v>-0.5</v>
      </c>
      <c r="N135" s="1">
        <v>-0.1</v>
      </c>
      <c r="O135" s="1">
        <v>0</v>
      </c>
      <c r="P135" s="1">
        <v>0</v>
      </c>
      <c r="Q135" s="1">
        <v>0</v>
      </c>
      <c r="R135" s="1">
        <v>815</v>
      </c>
      <c r="S135" s="1">
        <v>3661</v>
      </c>
      <c r="T135" s="1"/>
      <c r="U135" s="1"/>
      <c r="V135" s="1"/>
      <c r="W135" s="1"/>
    </row>
    <row r="136" spans="1:23" x14ac:dyDescent="0.25">
      <c r="A136" s="1">
        <v>200</v>
      </c>
      <c r="B136" s="1">
        <v>803</v>
      </c>
      <c r="C136" s="1">
        <v>3555</v>
      </c>
      <c r="D136" s="1">
        <v>-5.8</v>
      </c>
      <c r="E136" s="1">
        <v>1</v>
      </c>
      <c r="F136" s="1">
        <v>0.3</v>
      </c>
      <c r="G136" s="31">
        <v>0</v>
      </c>
      <c r="H136" s="31">
        <v>0</v>
      </c>
      <c r="I136" s="31">
        <v>0</v>
      </c>
      <c r="K136" s="1">
        <v>200</v>
      </c>
      <c r="L136" s="1">
        <v>-5.7</v>
      </c>
      <c r="M136" s="1">
        <v>-1</v>
      </c>
      <c r="N136" s="1">
        <v>-0.3</v>
      </c>
      <c r="O136" s="1">
        <v>0</v>
      </c>
      <c r="P136" s="1">
        <v>0</v>
      </c>
      <c r="Q136" s="1">
        <v>0</v>
      </c>
      <c r="R136" s="1">
        <v>803</v>
      </c>
      <c r="S136" s="1">
        <v>3555</v>
      </c>
      <c r="T136" s="1"/>
      <c r="U136" s="1"/>
      <c r="V136" s="1"/>
      <c r="W136" s="1"/>
    </row>
    <row r="137" spans="1:23" x14ac:dyDescent="0.25">
      <c r="A137" s="1">
        <v>225</v>
      </c>
      <c r="B137" s="1">
        <v>792</v>
      </c>
      <c r="C137" s="1">
        <v>3454</v>
      </c>
      <c r="D137" s="1">
        <v>-10</v>
      </c>
      <c r="E137" s="1">
        <v>1.5</v>
      </c>
      <c r="F137" s="1">
        <v>0.4</v>
      </c>
      <c r="G137" s="31">
        <v>0</v>
      </c>
      <c r="H137" s="31">
        <v>0</v>
      </c>
      <c r="I137" s="31">
        <v>0</v>
      </c>
      <c r="K137" s="1">
        <v>225</v>
      </c>
      <c r="L137" s="1">
        <v>-9.9</v>
      </c>
      <c r="M137" s="1">
        <v>-1.5</v>
      </c>
      <c r="N137" s="1">
        <v>-0.4</v>
      </c>
      <c r="O137" s="1">
        <v>0</v>
      </c>
      <c r="P137" s="1">
        <v>0</v>
      </c>
      <c r="Q137" s="1">
        <v>0</v>
      </c>
      <c r="R137" s="1">
        <v>792</v>
      </c>
      <c r="S137" s="1">
        <v>3455</v>
      </c>
      <c r="T137" s="1"/>
      <c r="U137" s="1"/>
      <c r="V137" s="1"/>
      <c r="W137" s="1"/>
    </row>
    <row r="138" spans="1:23" x14ac:dyDescent="0.25">
      <c r="A138" s="1">
        <v>250</v>
      </c>
      <c r="B138" s="1">
        <v>780</v>
      </c>
      <c r="C138" s="1">
        <v>3355</v>
      </c>
      <c r="D138" s="1">
        <v>-15.3</v>
      </c>
      <c r="E138" s="1">
        <v>2.1</v>
      </c>
      <c r="F138" s="1">
        <v>0.6</v>
      </c>
      <c r="G138" s="31">
        <v>0</v>
      </c>
      <c r="H138" s="31">
        <v>0</v>
      </c>
      <c r="I138" s="31">
        <v>0</v>
      </c>
      <c r="K138" s="1">
        <v>250</v>
      </c>
      <c r="L138" s="1">
        <v>-15</v>
      </c>
      <c r="M138" s="1">
        <v>-2.1</v>
      </c>
      <c r="N138" s="1">
        <v>-0.6</v>
      </c>
      <c r="O138" s="1">
        <v>0</v>
      </c>
      <c r="P138" s="1">
        <v>0</v>
      </c>
      <c r="Q138" s="1">
        <v>0</v>
      </c>
      <c r="R138" s="1">
        <v>781</v>
      </c>
      <c r="S138" s="1">
        <v>3357</v>
      </c>
      <c r="T138" s="1"/>
      <c r="U138" s="1"/>
      <c r="V138" s="1"/>
      <c r="W138" s="1"/>
    </row>
    <row r="139" spans="1:23" x14ac:dyDescent="0.25">
      <c r="A139" s="1">
        <v>275</v>
      </c>
      <c r="B139" s="1">
        <v>769</v>
      </c>
      <c r="C139" s="1">
        <v>3258</v>
      </c>
      <c r="D139" s="1">
        <v>-21.8</v>
      </c>
      <c r="E139" s="1">
        <v>2.7</v>
      </c>
      <c r="F139" s="1">
        <v>0.8</v>
      </c>
      <c r="G139" s="31">
        <v>0</v>
      </c>
      <c r="H139" s="31">
        <v>0</v>
      </c>
      <c r="I139" s="31">
        <v>0</v>
      </c>
      <c r="K139" s="1">
        <v>275</v>
      </c>
      <c r="L139" s="1">
        <v>-21.4</v>
      </c>
      <c r="M139" s="1">
        <v>-2.7</v>
      </c>
      <c r="N139" s="1">
        <v>-0.8</v>
      </c>
      <c r="O139" s="1">
        <v>0</v>
      </c>
      <c r="P139" s="1">
        <v>0</v>
      </c>
      <c r="Q139" s="1">
        <v>0</v>
      </c>
      <c r="R139" s="1">
        <v>769</v>
      </c>
      <c r="S139" s="1">
        <v>3259</v>
      </c>
      <c r="T139" s="1"/>
      <c r="U139" s="1"/>
      <c r="V139" s="1"/>
      <c r="W139" s="1"/>
    </row>
    <row r="140" spans="1:23" x14ac:dyDescent="0.25">
      <c r="A140" s="1">
        <v>300</v>
      </c>
      <c r="B140" s="1">
        <v>758</v>
      </c>
      <c r="C140" s="1">
        <v>3164</v>
      </c>
      <c r="D140" s="1">
        <v>-29.1</v>
      </c>
      <c r="E140" s="1">
        <v>3.3</v>
      </c>
      <c r="F140" s="1">
        <v>1</v>
      </c>
      <c r="G140" s="31">
        <v>0</v>
      </c>
      <c r="H140" s="31">
        <v>0</v>
      </c>
      <c r="I140" s="31">
        <v>0</v>
      </c>
      <c r="K140" s="1">
        <v>300</v>
      </c>
      <c r="L140" s="1">
        <v>-28.6</v>
      </c>
      <c r="M140" s="1">
        <v>-3.3</v>
      </c>
      <c r="N140" s="1">
        <v>-1</v>
      </c>
      <c r="O140" s="1">
        <v>0</v>
      </c>
      <c r="P140" s="1">
        <v>0</v>
      </c>
      <c r="Q140" s="1">
        <v>0</v>
      </c>
      <c r="R140" s="1">
        <v>758</v>
      </c>
      <c r="S140" s="1">
        <v>3166</v>
      </c>
    </row>
    <row r="141" spans="1:23" x14ac:dyDescent="0.25">
      <c r="A141" s="1">
        <v>325</v>
      </c>
      <c r="B141" s="1">
        <v>747</v>
      </c>
      <c r="C141" s="1">
        <v>3071</v>
      </c>
      <c r="D141" s="1">
        <v>-37.5</v>
      </c>
      <c r="E141" s="1">
        <v>4</v>
      </c>
      <c r="F141" s="1">
        <v>1.2</v>
      </c>
      <c r="G141" s="31">
        <v>0</v>
      </c>
      <c r="H141" s="31">
        <v>0</v>
      </c>
      <c r="I141" s="31">
        <v>0</v>
      </c>
      <c r="K141" s="1">
        <v>325</v>
      </c>
      <c r="L141" s="1">
        <v>-36.700000000000003</v>
      </c>
      <c r="M141" s="1">
        <v>-3.9</v>
      </c>
      <c r="N141" s="1">
        <v>-1.1000000000000001</v>
      </c>
      <c r="O141" s="1">
        <v>0</v>
      </c>
      <c r="P141" s="1">
        <v>0</v>
      </c>
      <c r="Q141" s="1">
        <v>0</v>
      </c>
      <c r="R141" s="1">
        <v>747</v>
      </c>
      <c r="S141" s="1">
        <v>3075</v>
      </c>
    </row>
    <row r="142" spans="1:23" x14ac:dyDescent="0.25">
      <c r="A142" s="1">
        <v>350</v>
      </c>
      <c r="B142" s="1">
        <v>736</v>
      </c>
      <c r="C142" s="1">
        <v>2981</v>
      </c>
      <c r="D142" s="1">
        <v>-47.4</v>
      </c>
      <c r="E142" s="1">
        <v>4.5999999999999996</v>
      </c>
      <c r="F142" s="1">
        <v>1.4</v>
      </c>
      <c r="G142" s="31">
        <v>0</v>
      </c>
      <c r="H142" s="31">
        <v>0</v>
      </c>
      <c r="I142" s="31">
        <v>0</v>
      </c>
      <c r="K142" s="1">
        <v>350</v>
      </c>
      <c r="L142" s="1">
        <v>-46.2</v>
      </c>
      <c r="M142" s="1">
        <v>-4.5</v>
      </c>
      <c r="N142" s="1">
        <v>-1.3</v>
      </c>
      <c r="O142" s="1">
        <v>0</v>
      </c>
      <c r="P142" s="1">
        <v>0</v>
      </c>
      <c r="Q142" s="1">
        <v>0</v>
      </c>
      <c r="R142" s="1">
        <v>736</v>
      </c>
      <c r="S142" s="1">
        <v>2981</v>
      </c>
    </row>
    <row r="143" spans="1:23" x14ac:dyDescent="0.25">
      <c r="A143" s="1">
        <v>375</v>
      </c>
      <c r="B143" s="1">
        <v>725</v>
      </c>
      <c r="C143" s="1">
        <v>2893</v>
      </c>
      <c r="D143" s="1">
        <v>-58.1</v>
      </c>
      <c r="E143" s="1">
        <v>5.3</v>
      </c>
      <c r="F143" s="1">
        <v>1.5</v>
      </c>
      <c r="G143" s="31">
        <v>0</v>
      </c>
      <c r="H143" s="31">
        <v>0</v>
      </c>
      <c r="I143" s="31">
        <v>0</v>
      </c>
      <c r="K143" s="1">
        <v>375</v>
      </c>
      <c r="L143" s="1">
        <v>-56.6</v>
      </c>
      <c r="M143" s="1">
        <v>-5.2</v>
      </c>
      <c r="N143" s="1">
        <v>-1.5</v>
      </c>
      <c r="O143" s="1">
        <v>0</v>
      </c>
      <c r="P143" s="1">
        <v>0</v>
      </c>
      <c r="Q143" s="1">
        <v>0</v>
      </c>
      <c r="R143" s="1">
        <v>725</v>
      </c>
      <c r="S143" s="1">
        <v>2895</v>
      </c>
      <c r="T143" s="1"/>
      <c r="U143" s="1"/>
      <c r="V143" s="1"/>
      <c r="W143" s="1"/>
    </row>
    <row r="144" spans="1:23" x14ac:dyDescent="0.25">
      <c r="A144" s="1">
        <v>400</v>
      </c>
      <c r="B144" s="1">
        <v>714</v>
      </c>
      <c r="C144" s="1">
        <v>2807</v>
      </c>
      <c r="D144" s="1">
        <v>-70</v>
      </c>
      <c r="E144" s="1">
        <v>6</v>
      </c>
      <c r="F144" s="1">
        <v>1.8</v>
      </c>
      <c r="G144" s="31">
        <v>0</v>
      </c>
      <c r="H144" s="31">
        <v>0</v>
      </c>
      <c r="I144" s="31">
        <v>0</v>
      </c>
      <c r="K144" s="1">
        <v>400</v>
      </c>
      <c r="L144" s="1">
        <v>-68.099999999999994</v>
      </c>
      <c r="M144" s="1">
        <v>-5.9</v>
      </c>
      <c r="N144" s="1">
        <v>-1.7</v>
      </c>
      <c r="O144" s="1">
        <v>0</v>
      </c>
      <c r="P144" s="1">
        <v>0</v>
      </c>
      <c r="Q144" s="1">
        <v>0</v>
      </c>
      <c r="R144" s="1">
        <v>714</v>
      </c>
      <c r="S144" s="1">
        <v>2811</v>
      </c>
      <c r="T144" s="1"/>
      <c r="U144" s="1"/>
      <c r="V144" s="1"/>
      <c r="W144" s="1"/>
    </row>
    <row r="145" spans="1:23" x14ac:dyDescent="0.25">
      <c r="A145" s="1">
        <v>425</v>
      </c>
      <c r="B145" s="1">
        <v>703</v>
      </c>
      <c r="C145" s="1">
        <v>2723</v>
      </c>
      <c r="D145" s="1">
        <v>-83.6</v>
      </c>
      <c r="E145" s="1">
        <v>6.8</v>
      </c>
      <c r="F145" s="1">
        <v>2</v>
      </c>
      <c r="G145" s="31">
        <v>0</v>
      </c>
      <c r="H145" s="31">
        <v>0</v>
      </c>
      <c r="I145" s="31">
        <v>0</v>
      </c>
      <c r="K145" s="1">
        <v>425</v>
      </c>
      <c r="L145" s="1">
        <v>-81.400000000000006</v>
      </c>
      <c r="M145" s="1">
        <v>-6.6</v>
      </c>
      <c r="N145" s="1">
        <v>-1.9</v>
      </c>
      <c r="O145" s="1">
        <v>0</v>
      </c>
      <c r="P145" s="1">
        <v>0</v>
      </c>
      <c r="Q145" s="1">
        <v>0</v>
      </c>
      <c r="R145" s="1">
        <v>703</v>
      </c>
      <c r="S145" s="1">
        <v>2724</v>
      </c>
      <c r="T145" s="1"/>
      <c r="U145" s="1"/>
      <c r="V145" s="1"/>
      <c r="W145" s="1"/>
    </row>
    <row r="146" spans="1:23" x14ac:dyDescent="0.25">
      <c r="A146" s="1">
        <v>450</v>
      </c>
      <c r="B146" s="1">
        <v>692</v>
      </c>
      <c r="C146" s="1">
        <v>2641</v>
      </c>
      <c r="D146" s="1">
        <v>-98.1</v>
      </c>
      <c r="E146" s="1">
        <v>7.5</v>
      </c>
      <c r="F146" s="1">
        <v>2.2000000000000002</v>
      </c>
      <c r="G146" s="31">
        <v>0</v>
      </c>
      <c r="H146" s="31">
        <v>0</v>
      </c>
      <c r="I146" s="31">
        <v>0</v>
      </c>
      <c r="K146" s="1">
        <v>450</v>
      </c>
      <c r="L146" s="1">
        <v>-95.4</v>
      </c>
      <c r="M146" s="1">
        <v>-7.3</v>
      </c>
      <c r="N146" s="1">
        <v>-2.1</v>
      </c>
      <c r="O146" s="1">
        <v>0</v>
      </c>
      <c r="P146" s="1">
        <v>0</v>
      </c>
      <c r="Q146" s="1">
        <v>0</v>
      </c>
      <c r="R146" s="1">
        <v>693</v>
      </c>
      <c r="S146" s="1">
        <v>2644</v>
      </c>
      <c r="T146" s="1"/>
      <c r="U146" s="1"/>
      <c r="V146" s="1"/>
      <c r="W146" s="1"/>
    </row>
    <row r="147" spans="1:23" x14ac:dyDescent="0.25">
      <c r="A147" s="1">
        <v>475</v>
      </c>
      <c r="B147" s="1">
        <v>682</v>
      </c>
      <c r="C147" s="1">
        <v>2561</v>
      </c>
      <c r="D147" s="1">
        <v>-113.8</v>
      </c>
      <c r="E147" s="1">
        <v>8.1999999999999993</v>
      </c>
      <c r="F147" s="1">
        <v>2.4</v>
      </c>
      <c r="G147" s="31">
        <v>0</v>
      </c>
      <c r="H147" s="31">
        <v>0</v>
      </c>
      <c r="I147" s="31">
        <v>0</v>
      </c>
      <c r="K147" s="1">
        <v>475</v>
      </c>
      <c r="L147" s="1">
        <v>-110.8</v>
      </c>
      <c r="M147" s="1">
        <v>-8</v>
      </c>
      <c r="N147" s="1">
        <v>-2.2999999999999998</v>
      </c>
      <c r="O147" s="1">
        <v>0</v>
      </c>
      <c r="P147" s="1">
        <v>0</v>
      </c>
      <c r="Q147" s="1">
        <v>0</v>
      </c>
      <c r="R147" s="1">
        <v>682</v>
      </c>
      <c r="S147" s="1">
        <v>2564</v>
      </c>
      <c r="T147" s="1"/>
      <c r="U147" s="1"/>
      <c r="V147" s="1"/>
      <c r="W147" s="1"/>
    </row>
    <row r="148" spans="1:23" x14ac:dyDescent="0.25">
      <c r="A148" s="1">
        <v>500</v>
      </c>
      <c r="B148" s="1">
        <v>672</v>
      </c>
      <c r="C148" s="1">
        <v>2485</v>
      </c>
      <c r="D148" s="1">
        <v>-130.9</v>
      </c>
      <c r="E148" s="1">
        <v>9</v>
      </c>
      <c r="F148" s="1">
        <v>2.6</v>
      </c>
      <c r="G148" s="31">
        <v>0</v>
      </c>
      <c r="H148" s="31">
        <v>0</v>
      </c>
      <c r="I148" s="31">
        <v>0</v>
      </c>
      <c r="K148" s="1">
        <v>500</v>
      </c>
      <c r="L148" s="1">
        <v>-128</v>
      </c>
      <c r="M148" s="1">
        <v>-8.8000000000000007</v>
      </c>
      <c r="N148" s="1">
        <v>-2.6</v>
      </c>
      <c r="O148" s="1">
        <v>0</v>
      </c>
      <c r="P148" s="1">
        <v>0</v>
      </c>
      <c r="Q148" s="1">
        <v>0</v>
      </c>
      <c r="R148" s="1">
        <v>671</v>
      </c>
      <c r="S148" s="1">
        <v>2484</v>
      </c>
      <c r="T148" s="1"/>
      <c r="U148" s="1"/>
      <c r="V148" s="1"/>
      <c r="W148" s="1"/>
    </row>
    <row r="149" spans="1:23" x14ac:dyDescent="0.25">
      <c r="T149" s="1"/>
      <c r="U149" s="1"/>
      <c r="V149" s="1"/>
      <c r="W149" s="1"/>
    </row>
    <row r="150" spans="1:23" x14ac:dyDescent="0.25">
      <c r="A150" t="s">
        <v>89</v>
      </c>
      <c r="K150" t="s">
        <v>82</v>
      </c>
      <c r="T150" s="1"/>
      <c r="U150" s="1"/>
      <c r="V150" s="1"/>
      <c r="W150" s="1"/>
    </row>
    <row r="151" spans="1:23" x14ac:dyDescent="0.25">
      <c r="A151" t="s">
        <v>11</v>
      </c>
      <c r="B151" t="s">
        <v>12</v>
      </c>
      <c r="C151" t="s">
        <v>13</v>
      </c>
      <c r="D151" t="s">
        <v>14</v>
      </c>
      <c r="E151" t="s">
        <v>15</v>
      </c>
      <c r="F151" t="s">
        <v>16</v>
      </c>
      <c r="G151" t="s">
        <v>29</v>
      </c>
      <c r="H151" t="s">
        <v>30</v>
      </c>
      <c r="I151" t="s">
        <v>31</v>
      </c>
      <c r="K151" t="s">
        <v>42</v>
      </c>
      <c r="L151" t="s">
        <v>34</v>
      </c>
      <c r="M151" t="s">
        <v>35</v>
      </c>
      <c r="N151" t="s">
        <v>36</v>
      </c>
      <c r="O151" t="s">
        <v>37</v>
      </c>
      <c r="P151" t="s">
        <v>30</v>
      </c>
      <c r="Q151" t="s">
        <v>38</v>
      </c>
      <c r="R151" t="s">
        <v>39</v>
      </c>
      <c r="S151" t="s">
        <v>40</v>
      </c>
      <c r="T151" s="1"/>
      <c r="U151" s="1"/>
      <c r="V151" s="1"/>
      <c r="W151" s="1"/>
    </row>
    <row r="152" spans="1:23" x14ac:dyDescent="0.25">
      <c r="A152" s="1">
        <v>0</v>
      </c>
      <c r="B152" s="1">
        <v>899</v>
      </c>
      <c r="C152" s="1">
        <v>4454</v>
      </c>
      <c r="D152" s="1">
        <v>-3.8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K152" s="1">
        <v>0</v>
      </c>
      <c r="L152" s="1">
        <v>-3.8</v>
      </c>
      <c r="M152" s="1" t="s">
        <v>41</v>
      </c>
      <c r="N152" s="1" t="s">
        <v>41</v>
      </c>
      <c r="O152" s="1">
        <v>0</v>
      </c>
      <c r="P152" s="1" t="s">
        <v>41</v>
      </c>
      <c r="Q152" s="1" t="s">
        <v>41</v>
      </c>
      <c r="R152" s="1">
        <v>899</v>
      </c>
      <c r="S152" s="1">
        <v>4454</v>
      </c>
      <c r="T152" s="1"/>
      <c r="U152" s="1"/>
      <c r="V152" s="1"/>
      <c r="W152" s="1"/>
    </row>
    <row r="153" spans="1:23" x14ac:dyDescent="0.25">
      <c r="A153" s="1">
        <v>25</v>
      </c>
      <c r="B153" s="1">
        <v>887</v>
      </c>
      <c r="C153" s="1">
        <v>4331</v>
      </c>
      <c r="D153" s="1">
        <v>-0.4</v>
      </c>
      <c r="E153" s="1">
        <v>0.6</v>
      </c>
      <c r="F153" s="1">
        <v>0.2</v>
      </c>
      <c r="G153" s="1">
        <v>0</v>
      </c>
      <c r="H153" s="1">
        <v>0</v>
      </c>
      <c r="I153" s="1">
        <v>0</v>
      </c>
      <c r="K153" s="1">
        <v>25</v>
      </c>
      <c r="L153" s="1">
        <v>-0.5</v>
      </c>
      <c r="M153" s="1">
        <v>-0.6</v>
      </c>
      <c r="N153" s="1">
        <v>-0.2</v>
      </c>
      <c r="O153" s="1">
        <v>0</v>
      </c>
      <c r="P153" s="1">
        <v>0</v>
      </c>
      <c r="Q153" s="1">
        <v>0</v>
      </c>
      <c r="R153" s="1">
        <v>887</v>
      </c>
      <c r="S153" s="1">
        <v>4333</v>
      </c>
      <c r="T153" s="1"/>
      <c r="U153" s="1"/>
      <c r="V153" s="1"/>
      <c r="W153" s="1"/>
    </row>
    <row r="154" spans="1:23" x14ac:dyDescent="0.25">
      <c r="A154" s="1">
        <v>50</v>
      </c>
      <c r="B154" s="1">
        <v>874</v>
      </c>
      <c r="C154" s="1">
        <v>4213</v>
      </c>
      <c r="D154" s="1">
        <v>2.2000000000000002</v>
      </c>
      <c r="E154" s="1">
        <v>-1.5</v>
      </c>
      <c r="F154" s="1">
        <v>-0.4</v>
      </c>
      <c r="G154" s="1">
        <v>0</v>
      </c>
      <c r="H154" s="1">
        <v>0</v>
      </c>
      <c r="I154" s="1">
        <v>0</v>
      </c>
      <c r="K154" s="1">
        <v>50</v>
      </c>
      <c r="L154" s="1">
        <v>2.2000000000000002</v>
      </c>
      <c r="M154" s="1">
        <v>1.5</v>
      </c>
      <c r="N154" s="1">
        <v>0.4</v>
      </c>
      <c r="O154" s="1">
        <v>0</v>
      </c>
      <c r="P154" s="1">
        <v>0</v>
      </c>
      <c r="Q154" s="1">
        <v>0</v>
      </c>
      <c r="R154" s="1">
        <v>874</v>
      </c>
      <c r="S154" s="1">
        <v>4213</v>
      </c>
      <c r="T154" s="1"/>
      <c r="U154" s="1"/>
      <c r="V154" s="1"/>
      <c r="W154" s="1"/>
    </row>
    <row r="155" spans="1:23" x14ac:dyDescent="0.25">
      <c r="A155" s="1">
        <v>75</v>
      </c>
      <c r="B155" s="1">
        <v>862</v>
      </c>
      <c r="C155" s="1">
        <v>4096</v>
      </c>
      <c r="D155" s="1">
        <v>4</v>
      </c>
      <c r="E155" s="1">
        <v>-1.8</v>
      </c>
      <c r="F155" s="1">
        <v>-0.5</v>
      </c>
      <c r="G155" s="1">
        <v>0</v>
      </c>
      <c r="H155" s="1">
        <v>0</v>
      </c>
      <c r="I155" s="1">
        <v>0</v>
      </c>
      <c r="K155" s="1">
        <v>75</v>
      </c>
      <c r="L155" s="1">
        <v>4</v>
      </c>
      <c r="M155" s="1">
        <v>1.8</v>
      </c>
      <c r="N155" s="1">
        <v>0.5</v>
      </c>
      <c r="O155" s="1">
        <v>0</v>
      </c>
      <c r="P155" s="1">
        <v>0</v>
      </c>
      <c r="Q155" s="1">
        <v>0</v>
      </c>
      <c r="R155" s="1">
        <v>863</v>
      </c>
      <c r="S155" s="1">
        <v>4097</v>
      </c>
      <c r="T155" s="1"/>
      <c r="U155" s="1"/>
      <c r="V155" s="1"/>
      <c r="W155" s="1"/>
    </row>
    <row r="156" spans="1:23" x14ac:dyDescent="0.25">
      <c r="A156" s="1">
        <v>100</v>
      </c>
      <c r="B156" s="1">
        <v>850</v>
      </c>
      <c r="C156" s="1">
        <v>3983</v>
      </c>
      <c r="D156" s="1">
        <v>5</v>
      </c>
      <c r="E156" s="1">
        <v>-1.7</v>
      </c>
      <c r="F156" s="1">
        <v>-0.5</v>
      </c>
      <c r="G156" s="1">
        <v>0</v>
      </c>
      <c r="H156" s="1">
        <v>0</v>
      </c>
      <c r="I156" s="1">
        <v>0</v>
      </c>
      <c r="K156" s="1">
        <v>100</v>
      </c>
      <c r="L156" s="1">
        <v>4.9000000000000004</v>
      </c>
      <c r="M156" s="1">
        <v>1.7</v>
      </c>
      <c r="N156" s="1">
        <v>0.5</v>
      </c>
      <c r="O156" s="1">
        <v>0</v>
      </c>
      <c r="P156" s="1">
        <v>0</v>
      </c>
      <c r="Q156" s="1">
        <v>0</v>
      </c>
      <c r="R156" s="1">
        <v>851</v>
      </c>
      <c r="S156" s="1">
        <v>3986</v>
      </c>
      <c r="T156" s="1"/>
      <c r="U156" s="1"/>
      <c r="V156" s="1"/>
      <c r="W156" s="1"/>
    </row>
    <row r="157" spans="1:23" x14ac:dyDescent="0.25">
      <c r="A157" s="1">
        <v>125</v>
      </c>
      <c r="B157" s="1">
        <v>838</v>
      </c>
      <c r="C157" s="1">
        <v>3872</v>
      </c>
      <c r="D157" s="1">
        <v>5.0999999999999996</v>
      </c>
      <c r="E157" s="1">
        <v>-1.4</v>
      </c>
      <c r="F157" s="1">
        <v>-0.4</v>
      </c>
      <c r="G157" s="1">
        <v>0</v>
      </c>
      <c r="H157" s="1">
        <v>0</v>
      </c>
      <c r="I157" s="1">
        <v>0</v>
      </c>
      <c r="K157" s="1">
        <v>125</v>
      </c>
      <c r="L157" s="1">
        <v>5</v>
      </c>
      <c r="M157" s="1">
        <v>1.4</v>
      </c>
      <c r="N157" s="1">
        <v>0.4</v>
      </c>
      <c r="O157" s="1">
        <v>0</v>
      </c>
      <c r="P157" s="1">
        <v>0</v>
      </c>
      <c r="Q157" s="1">
        <v>0</v>
      </c>
      <c r="R157" s="1">
        <v>839</v>
      </c>
      <c r="S157" s="1">
        <v>3872</v>
      </c>
      <c r="T157" s="1"/>
      <c r="U157" s="1"/>
      <c r="V157" s="1"/>
      <c r="W157" s="1"/>
    </row>
    <row r="158" spans="1:23" x14ac:dyDescent="0.25">
      <c r="A158" s="1">
        <v>150</v>
      </c>
      <c r="B158" s="1">
        <v>827</v>
      </c>
      <c r="C158" s="1">
        <v>3764</v>
      </c>
      <c r="D158" s="1">
        <v>4.3</v>
      </c>
      <c r="E158" s="1">
        <v>-1</v>
      </c>
      <c r="F158" s="1">
        <v>-0.3</v>
      </c>
      <c r="G158" s="1">
        <v>0</v>
      </c>
      <c r="H158" s="1">
        <v>0</v>
      </c>
      <c r="I158" s="1">
        <v>0</v>
      </c>
      <c r="K158" s="1">
        <v>150</v>
      </c>
      <c r="L158" s="1">
        <v>4.3</v>
      </c>
      <c r="M158" s="1">
        <v>1</v>
      </c>
      <c r="N158" s="1">
        <v>0.3</v>
      </c>
      <c r="O158" s="1">
        <v>0</v>
      </c>
      <c r="P158" s="1">
        <v>0</v>
      </c>
      <c r="Q158" s="1">
        <v>0</v>
      </c>
      <c r="R158" s="1">
        <v>827</v>
      </c>
      <c r="S158" s="1">
        <v>3765</v>
      </c>
      <c r="T158" s="1"/>
      <c r="U158" s="1"/>
      <c r="V158" s="1"/>
      <c r="W158" s="1"/>
    </row>
    <row r="159" spans="1:23" x14ac:dyDescent="0.25">
      <c r="A159" s="1">
        <v>175</v>
      </c>
      <c r="B159" s="1">
        <v>815</v>
      </c>
      <c r="C159" s="1">
        <v>3658</v>
      </c>
      <c r="D159" s="1">
        <v>2.7</v>
      </c>
      <c r="E159" s="1">
        <v>-0.5</v>
      </c>
      <c r="F159" s="1">
        <v>-0.2</v>
      </c>
      <c r="G159" s="1">
        <v>0</v>
      </c>
      <c r="H159" s="1">
        <v>0</v>
      </c>
      <c r="I159" s="1">
        <v>0</v>
      </c>
      <c r="K159" s="1">
        <v>175</v>
      </c>
      <c r="L159" s="1">
        <v>2.6</v>
      </c>
      <c r="M159" s="1">
        <v>0.5</v>
      </c>
      <c r="N159" s="1">
        <v>0.2</v>
      </c>
      <c r="O159" s="1">
        <v>0</v>
      </c>
      <c r="P159" s="1">
        <v>0</v>
      </c>
      <c r="Q159" s="1">
        <v>0</v>
      </c>
      <c r="R159" s="1">
        <v>815</v>
      </c>
      <c r="S159" s="1">
        <v>3661</v>
      </c>
      <c r="T159" s="1"/>
      <c r="U159" s="1"/>
      <c r="V159" s="1"/>
      <c r="W159" s="1"/>
    </row>
    <row r="160" spans="1:23" x14ac:dyDescent="0.25">
      <c r="A160" s="10">
        <v>200</v>
      </c>
      <c r="B160" s="10">
        <v>803</v>
      </c>
      <c r="C160" s="10">
        <v>3555</v>
      </c>
      <c r="D160" s="10">
        <v>0</v>
      </c>
      <c r="E160" s="10">
        <v>0</v>
      </c>
      <c r="F160" s="10">
        <v>0</v>
      </c>
      <c r="G160" s="1">
        <v>0</v>
      </c>
      <c r="H160" s="1">
        <v>0</v>
      </c>
      <c r="I160" s="1">
        <v>0</v>
      </c>
      <c r="K160" s="1">
        <v>200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803</v>
      </c>
      <c r="S160" s="1">
        <v>3555</v>
      </c>
      <c r="T160" s="1"/>
      <c r="U160" s="1"/>
      <c r="V160" s="1"/>
      <c r="W160" s="1"/>
    </row>
    <row r="161" spans="1:23" x14ac:dyDescent="0.25">
      <c r="A161" s="1">
        <v>225</v>
      </c>
      <c r="B161" s="1">
        <v>792</v>
      </c>
      <c r="C161" s="1">
        <v>3453</v>
      </c>
      <c r="D161" s="1">
        <v>-3.6</v>
      </c>
      <c r="E161" s="1">
        <v>0.5</v>
      </c>
      <c r="F161" s="1">
        <v>0.2</v>
      </c>
      <c r="G161" s="1">
        <v>0</v>
      </c>
      <c r="H161" s="1">
        <v>0</v>
      </c>
      <c r="I161" s="1">
        <v>0</v>
      </c>
      <c r="K161" s="1">
        <v>225</v>
      </c>
      <c r="L161" s="1">
        <v>-3.5</v>
      </c>
      <c r="M161" s="1">
        <v>-0.5</v>
      </c>
      <c r="N161" s="1">
        <v>-0.2</v>
      </c>
      <c r="O161" s="1">
        <v>0</v>
      </c>
      <c r="P161" s="1">
        <v>0</v>
      </c>
      <c r="Q161" s="1">
        <v>0</v>
      </c>
      <c r="R161" s="1">
        <v>792</v>
      </c>
      <c r="S161" s="1">
        <v>3455</v>
      </c>
      <c r="T161" s="1"/>
      <c r="U161" s="1"/>
      <c r="V161" s="1"/>
      <c r="W161" s="1"/>
    </row>
    <row r="162" spans="1:23" x14ac:dyDescent="0.25">
      <c r="A162" s="1">
        <v>250</v>
      </c>
      <c r="B162" s="1">
        <v>780</v>
      </c>
      <c r="C162" s="1">
        <v>3355</v>
      </c>
      <c r="D162" s="1">
        <v>-8.1</v>
      </c>
      <c r="E162" s="1">
        <v>1.1000000000000001</v>
      </c>
      <c r="F162" s="1">
        <v>0.3</v>
      </c>
      <c r="G162" s="1">
        <v>0</v>
      </c>
      <c r="H162" s="1">
        <v>0</v>
      </c>
      <c r="I162" s="1">
        <v>0</v>
      </c>
      <c r="K162" s="1">
        <v>250</v>
      </c>
      <c r="L162" s="1">
        <v>-7.9</v>
      </c>
      <c r="M162" s="1">
        <v>-1.1000000000000001</v>
      </c>
      <c r="N162" s="1">
        <v>-0.3</v>
      </c>
      <c r="O162" s="1">
        <v>0</v>
      </c>
      <c r="P162" s="1">
        <v>0</v>
      </c>
      <c r="Q162" s="1">
        <v>0</v>
      </c>
      <c r="R162" s="1">
        <v>781</v>
      </c>
      <c r="S162" s="1">
        <v>3357</v>
      </c>
      <c r="T162" s="1"/>
      <c r="U162" s="1"/>
      <c r="V162" s="1"/>
      <c r="W162" s="1"/>
    </row>
    <row r="163" spans="1:23" x14ac:dyDescent="0.25">
      <c r="A163" s="1">
        <v>275</v>
      </c>
      <c r="B163" s="1">
        <v>769</v>
      </c>
      <c r="C163" s="1">
        <v>3258</v>
      </c>
      <c r="D163" s="1">
        <v>-13.8</v>
      </c>
      <c r="E163" s="1">
        <v>1.7</v>
      </c>
      <c r="F163" s="1">
        <v>0.5</v>
      </c>
      <c r="G163" s="1">
        <v>0</v>
      </c>
      <c r="H163" s="1">
        <v>0</v>
      </c>
      <c r="I163" s="1">
        <v>0</v>
      </c>
      <c r="K163" s="1">
        <v>275</v>
      </c>
      <c r="L163" s="1">
        <v>-13.5</v>
      </c>
      <c r="M163" s="1">
        <v>-1.7</v>
      </c>
      <c r="N163" s="1">
        <v>-0.5</v>
      </c>
      <c r="O163" s="1">
        <v>0</v>
      </c>
      <c r="P163" s="1">
        <v>0</v>
      </c>
      <c r="Q163" s="1">
        <v>0</v>
      </c>
      <c r="R163" s="1">
        <v>769</v>
      </c>
      <c r="S163" s="1">
        <v>3259</v>
      </c>
      <c r="T163" s="1"/>
      <c r="U163" s="1"/>
      <c r="V163" s="1"/>
      <c r="W163" s="1"/>
    </row>
    <row r="164" spans="1:23" x14ac:dyDescent="0.25">
      <c r="A164" s="1">
        <v>300</v>
      </c>
      <c r="B164" s="1">
        <v>758</v>
      </c>
      <c r="C164" s="1">
        <v>3164</v>
      </c>
      <c r="D164" s="1">
        <v>-20.5</v>
      </c>
      <c r="E164" s="1">
        <v>2.2999999999999998</v>
      </c>
      <c r="F164" s="1">
        <v>0.7</v>
      </c>
      <c r="G164" s="1">
        <v>0</v>
      </c>
      <c r="H164" s="1">
        <v>0</v>
      </c>
      <c r="I164" s="1">
        <v>0</v>
      </c>
      <c r="K164" s="1">
        <v>300</v>
      </c>
      <c r="L164" s="1">
        <v>-20</v>
      </c>
      <c r="M164" s="1">
        <v>-2.2999999999999998</v>
      </c>
      <c r="N164" s="1">
        <v>-0.7</v>
      </c>
      <c r="O164" s="1">
        <v>0</v>
      </c>
      <c r="P164" s="1">
        <v>0</v>
      </c>
      <c r="Q164" s="1">
        <v>0</v>
      </c>
      <c r="R164" s="1">
        <v>758</v>
      </c>
      <c r="S164" s="1">
        <v>3166</v>
      </c>
    </row>
    <row r="165" spans="1:23" x14ac:dyDescent="0.25">
      <c r="A165" s="1">
        <v>325</v>
      </c>
      <c r="B165" s="1">
        <v>747</v>
      </c>
      <c r="C165" s="1">
        <v>3071</v>
      </c>
      <c r="D165" s="1">
        <v>-28.2</v>
      </c>
      <c r="E165" s="1">
        <v>3</v>
      </c>
      <c r="F165" s="1">
        <v>0.9</v>
      </c>
      <c r="G165" s="1">
        <v>0</v>
      </c>
      <c r="H165" s="1">
        <v>0</v>
      </c>
      <c r="I165" s="1">
        <v>0</v>
      </c>
      <c r="K165" s="1">
        <v>325</v>
      </c>
      <c r="L165" s="1">
        <v>-27.4</v>
      </c>
      <c r="M165" s="1">
        <v>-2.9</v>
      </c>
      <c r="N165" s="1">
        <v>-0.8</v>
      </c>
      <c r="O165" s="1">
        <v>0</v>
      </c>
      <c r="P165" s="1">
        <v>0</v>
      </c>
      <c r="Q165" s="1">
        <v>0</v>
      </c>
      <c r="R165" s="1">
        <v>747</v>
      </c>
      <c r="S165" s="1">
        <v>3075</v>
      </c>
    </row>
    <row r="166" spans="1:23" x14ac:dyDescent="0.25">
      <c r="A166" s="1">
        <v>350</v>
      </c>
      <c r="B166" s="1">
        <v>736</v>
      </c>
      <c r="C166" s="1">
        <v>2981</v>
      </c>
      <c r="D166" s="1">
        <v>-37.299999999999997</v>
      </c>
      <c r="E166" s="1">
        <v>3.7</v>
      </c>
      <c r="F166" s="1">
        <v>1.1000000000000001</v>
      </c>
      <c r="G166" s="1">
        <v>0</v>
      </c>
      <c r="H166" s="1">
        <v>0</v>
      </c>
      <c r="I166" s="1">
        <v>0</v>
      </c>
      <c r="K166" s="1">
        <v>350</v>
      </c>
      <c r="L166" s="1">
        <v>-36.200000000000003</v>
      </c>
      <c r="M166" s="1">
        <v>-3.6</v>
      </c>
      <c r="N166" s="1">
        <v>-1</v>
      </c>
      <c r="O166" s="1">
        <v>0</v>
      </c>
      <c r="P166" s="1">
        <v>0</v>
      </c>
      <c r="Q166" s="1">
        <v>0</v>
      </c>
      <c r="R166" s="1">
        <v>736</v>
      </c>
      <c r="S166" s="1">
        <v>2981</v>
      </c>
    </row>
    <row r="167" spans="1:23" x14ac:dyDescent="0.25">
      <c r="A167" s="1">
        <v>375</v>
      </c>
      <c r="B167" s="1">
        <v>725</v>
      </c>
      <c r="C167" s="1">
        <v>2893</v>
      </c>
      <c r="D167" s="1">
        <v>-47.3</v>
      </c>
      <c r="E167" s="1">
        <v>4.3</v>
      </c>
      <c r="F167" s="1">
        <v>1.3</v>
      </c>
      <c r="G167" s="1">
        <v>0</v>
      </c>
      <c r="H167" s="1">
        <v>0</v>
      </c>
      <c r="I167" s="1">
        <v>0</v>
      </c>
      <c r="K167" s="1">
        <v>375</v>
      </c>
      <c r="L167" s="1">
        <v>-45.9</v>
      </c>
      <c r="M167" s="1">
        <v>-4.2</v>
      </c>
      <c r="N167" s="1">
        <v>-1.2</v>
      </c>
      <c r="O167" s="1">
        <v>0</v>
      </c>
      <c r="P167" s="1">
        <v>0</v>
      </c>
      <c r="Q167" s="1">
        <v>0</v>
      </c>
      <c r="R167" s="1">
        <v>725</v>
      </c>
      <c r="S167" s="1">
        <v>2895</v>
      </c>
      <c r="T167" s="1"/>
      <c r="U167" s="1"/>
      <c r="V167" s="1"/>
      <c r="W167" s="1"/>
    </row>
    <row r="168" spans="1:23" x14ac:dyDescent="0.25">
      <c r="A168" s="1">
        <v>400</v>
      </c>
      <c r="B168" s="1">
        <v>714</v>
      </c>
      <c r="C168" s="1">
        <v>2807</v>
      </c>
      <c r="D168" s="1">
        <v>-58.5</v>
      </c>
      <c r="E168" s="1">
        <v>5</v>
      </c>
      <c r="F168" s="1">
        <v>1.5</v>
      </c>
      <c r="G168" s="1">
        <v>0</v>
      </c>
      <c r="H168" s="1">
        <v>0</v>
      </c>
      <c r="I168" s="1">
        <v>0</v>
      </c>
      <c r="K168" s="1">
        <v>400</v>
      </c>
      <c r="L168" s="1">
        <v>-56.7</v>
      </c>
      <c r="M168" s="1">
        <v>-4.9000000000000004</v>
      </c>
      <c r="N168" s="1">
        <v>-1.4</v>
      </c>
      <c r="O168" s="1">
        <v>0</v>
      </c>
      <c r="P168" s="1">
        <v>0</v>
      </c>
      <c r="Q168" s="1">
        <v>0</v>
      </c>
      <c r="R168" s="1">
        <v>714</v>
      </c>
      <c r="S168" s="1">
        <v>2811</v>
      </c>
      <c r="T168" s="1"/>
      <c r="U168" s="1"/>
      <c r="V168" s="1"/>
      <c r="W168" s="1"/>
    </row>
    <row r="169" spans="1:23" x14ac:dyDescent="0.25">
      <c r="A169" s="1">
        <v>425</v>
      </c>
      <c r="B169" s="1">
        <v>703</v>
      </c>
      <c r="C169" s="1">
        <v>2723</v>
      </c>
      <c r="D169" s="1">
        <v>-71.400000000000006</v>
      </c>
      <c r="E169" s="1">
        <v>5.8</v>
      </c>
      <c r="F169" s="1">
        <v>1.7</v>
      </c>
      <c r="G169" s="1">
        <v>0</v>
      </c>
      <c r="H169" s="1">
        <v>0</v>
      </c>
      <c r="I169" s="1">
        <v>0</v>
      </c>
      <c r="K169" s="1">
        <v>425</v>
      </c>
      <c r="L169" s="1">
        <v>-69.2</v>
      </c>
      <c r="M169" s="1">
        <v>-5.6</v>
      </c>
      <c r="N169" s="1">
        <v>-1.6</v>
      </c>
      <c r="O169" s="1">
        <v>0</v>
      </c>
      <c r="P169" s="1">
        <v>0</v>
      </c>
      <c r="Q169" s="1">
        <v>0</v>
      </c>
      <c r="R169" s="1">
        <v>703</v>
      </c>
      <c r="S169" s="1">
        <v>2724</v>
      </c>
      <c r="T169" s="1"/>
      <c r="U169" s="1"/>
      <c r="V169" s="1"/>
      <c r="W169" s="1"/>
    </row>
    <row r="170" spans="1:23" x14ac:dyDescent="0.25">
      <c r="A170" s="1">
        <v>450</v>
      </c>
      <c r="B170" s="1">
        <v>692</v>
      </c>
      <c r="C170" s="1">
        <v>2641</v>
      </c>
      <c r="D170" s="1">
        <v>-85.1</v>
      </c>
      <c r="E170" s="1">
        <v>6.5</v>
      </c>
      <c r="F170" s="1">
        <v>1.9</v>
      </c>
      <c r="G170" s="1">
        <v>0</v>
      </c>
      <c r="H170" s="1">
        <v>0</v>
      </c>
      <c r="I170" s="1">
        <v>0</v>
      </c>
      <c r="K170" s="1">
        <v>450</v>
      </c>
      <c r="L170" s="1">
        <v>-82.6</v>
      </c>
      <c r="M170" s="1">
        <v>-6.3</v>
      </c>
      <c r="N170" s="1">
        <v>-1.8</v>
      </c>
      <c r="O170" s="1">
        <v>0</v>
      </c>
      <c r="P170" s="1">
        <v>0</v>
      </c>
      <c r="Q170" s="1">
        <v>0</v>
      </c>
      <c r="R170" s="1">
        <v>693</v>
      </c>
      <c r="S170" s="1">
        <v>2644</v>
      </c>
      <c r="T170" s="1"/>
      <c r="U170" s="1"/>
      <c r="V170" s="1"/>
      <c r="W170" s="1"/>
    </row>
    <row r="171" spans="1:23" x14ac:dyDescent="0.25">
      <c r="A171" s="1">
        <v>475</v>
      </c>
      <c r="B171" s="1">
        <v>682</v>
      </c>
      <c r="C171" s="1">
        <v>2561</v>
      </c>
      <c r="D171" s="1">
        <v>-100.2</v>
      </c>
      <c r="E171" s="1">
        <v>7.3</v>
      </c>
      <c r="F171" s="1">
        <v>2.1</v>
      </c>
      <c r="G171" s="1">
        <v>0</v>
      </c>
      <c r="H171" s="1">
        <v>0</v>
      </c>
      <c r="I171" s="1">
        <v>0</v>
      </c>
      <c r="K171" s="1">
        <v>475</v>
      </c>
      <c r="L171" s="1">
        <v>-97.2</v>
      </c>
      <c r="M171" s="1">
        <v>-7</v>
      </c>
      <c r="N171" s="1">
        <v>-2</v>
      </c>
      <c r="O171" s="1">
        <v>0</v>
      </c>
      <c r="P171" s="1">
        <v>0</v>
      </c>
      <c r="Q171" s="1">
        <v>0</v>
      </c>
      <c r="R171" s="1">
        <v>682</v>
      </c>
      <c r="S171" s="1">
        <v>2564</v>
      </c>
      <c r="T171" s="1"/>
      <c r="U171" s="1"/>
      <c r="V171" s="1"/>
      <c r="W171" s="1"/>
    </row>
    <row r="172" spans="1:23" x14ac:dyDescent="0.25">
      <c r="A172" s="1">
        <v>500</v>
      </c>
      <c r="B172" s="1">
        <v>672</v>
      </c>
      <c r="C172" s="1">
        <v>2485</v>
      </c>
      <c r="D172" s="1">
        <v>-116.6</v>
      </c>
      <c r="E172" s="1">
        <v>8</v>
      </c>
      <c r="F172" s="1">
        <v>2.2999999999999998</v>
      </c>
      <c r="G172" s="1">
        <v>0</v>
      </c>
      <c r="H172" s="1">
        <v>0</v>
      </c>
      <c r="I172" s="1">
        <v>0</v>
      </c>
      <c r="K172" s="1">
        <v>500</v>
      </c>
      <c r="L172" s="1">
        <v>-113.7</v>
      </c>
      <c r="M172" s="1">
        <v>-7.8</v>
      </c>
      <c r="N172" s="1">
        <v>-2.2999999999999998</v>
      </c>
      <c r="O172" s="1">
        <v>0</v>
      </c>
      <c r="P172" s="1">
        <v>0</v>
      </c>
      <c r="Q172" s="1">
        <v>0</v>
      </c>
      <c r="R172" s="1">
        <v>671</v>
      </c>
      <c r="S172" s="1">
        <v>2484</v>
      </c>
      <c r="T172" s="1"/>
      <c r="U172" s="1"/>
      <c r="V172" s="1"/>
      <c r="W172" s="1"/>
    </row>
    <row r="173" spans="1:23" x14ac:dyDescent="0.25">
      <c r="T173" s="1"/>
      <c r="U173" s="1"/>
      <c r="V173" s="1"/>
      <c r="W173" s="1"/>
    </row>
    <row r="174" spans="1:23" x14ac:dyDescent="0.25">
      <c r="A174" t="s">
        <v>90</v>
      </c>
      <c r="K174" t="s">
        <v>83</v>
      </c>
      <c r="T174" s="1"/>
      <c r="U174" s="1"/>
      <c r="V174" s="1"/>
      <c r="W174" s="1"/>
    </row>
    <row r="175" spans="1:23" x14ac:dyDescent="0.25">
      <c r="A175" t="s">
        <v>11</v>
      </c>
      <c r="B175" t="s">
        <v>12</v>
      </c>
      <c r="C175" t="s">
        <v>13</v>
      </c>
      <c r="D175" t="s">
        <v>14</v>
      </c>
      <c r="E175" t="s">
        <v>15</v>
      </c>
      <c r="F175" t="s">
        <v>16</v>
      </c>
      <c r="G175" t="s">
        <v>29</v>
      </c>
      <c r="H175" t="s">
        <v>30</v>
      </c>
      <c r="I175" t="s">
        <v>31</v>
      </c>
      <c r="K175" t="s">
        <v>33</v>
      </c>
      <c r="L175" t="s">
        <v>34</v>
      </c>
      <c r="M175" t="s">
        <v>35</v>
      </c>
      <c r="N175" t="s">
        <v>36</v>
      </c>
      <c r="O175" t="s">
        <v>37</v>
      </c>
      <c r="P175" t="s">
        <v>30</v>
      </c>
      <c r="Q175" t="s">
        <v>38</v>
      </c>
      <c r="R175" t="s">
        <v>39</v>
      </c>
      <c r="S175" t="s">
        <v>40</v>
      </c>
      <c r="T175" s="1"/>
      <c r="U175" s="1"/>
      <c r="V175" s="1"/>
      <c r="W175" s="1"/>
    </row>
    <row r="176" spans="1:23" x14ac:dyDescent="0.25">
      <c r="A176" s="1">
        <v>0</v>
      </c>
      <c r="B176" s="1">
        <v>899</v>
      </c>
      <c r="C176" s="1">
        <v>4454</v>
      </c>
      <c r="D176" s="1">
        <v>-3.8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K176" s="1">
        <v>0</v>
      </c>
      <c r="L176" s="1">
        <v>-3.8</v>
      </c>
      <c r="M176" s="1" t="s">
        <v>41</v>
      </c>
      <c r="N176" s="1" t="s">
        <v>41</v>
      </c>
      <c r="O176" s="1">
        <v>0</v>
      </c>
      <c r="P176" s="1" t="s">
        <v>41</v>
      </c>
      <c r="Q176" s="1" t="s">
        <v>41</v>
      </c>
      <c r="R176" s="1">
        <v>899</v>
      </c>
      <c r="S176" s="1">
        <v>4454</v>
      </c>
      <c r="T176" s="1"/>
      <c r="U176" s="1"/>
      <c r="V176" s="1"/>
      <c r="W176" s="1"/>
    </row>
    <row r="177" spans="1:23" x14ac:dyDescent="0.25">
      <c r="A177" s="1">
        <v>25</v>
      </c>
      <c r="B177" s="1">
        <v>887</v>
      </c>
      <c r="C177" s="1">
        <v>4331</v>
      </c>
      <c r="D177" s="1">
        <v>1.3</v>
      </c>
      <c r="E177" s="1">
        <v>-1.7</v>
      </c>
      <c r="F177" s="1">
        <v>-0.5</v>
      </c>
      <c r="G177" s="1">
        <v>0</v>
      </c>
      <c r="H177" s="1">
        <v>0</v>
      </c>
      <c r="I177" s="1">
        <v>0</v>
      </c>
      <c r="K177" s="1">
        <v>25</v>
      </c>
      <c r="L177" s="1">
        <v>1.2</v>
      </c>
      <c r="M177" s="1">
        <v>1.6</v>
      </c>
      <c r="N177" s="1">
        <v>0.5</v>
      </c>
      <c r="O177" s="1">
        <v>0</v>
      </c>
      <c r="P177" s="1">
        <v>0</v>
      </c>
      <c r="Q177" s="1">
        <v>0</v>
      </c>
      <c r="R177" s="1">
        <v>887</v>
      </c>
      <c r="S177" s="1">
        <v>4333</v>
      </c>
      <c r="T177" s="1"/>
      <c r="U177" s="1"/>
      <c r="V177" s="1"/>
      <c r="W177" s="1"/>
    </row>
    <row r="178" spans="1:23" x14ac:dyDescent="0.25">
      <c r="A178" s="1">
        <v>50</v>
      </c>
      <c r="B178" s="1">
        <v>874</v>
      </c>
      <c r="C178" s="1">
        <v>4213</v>
      </c>
      <c r="D178" s="1">
        <v>5.7</v>
      </c>
      <c r="E178" s="1">
        <v>-3.9</v>
      </c>
      <c r="F178" s="1">
        <v>-1.1000000000000001</v>
      </c>
      <c r="G178" s="1">
        <v>0</v>
      </c>
      <c r="H178" s="1">
        <v>0</v>
      </c>
      <c r="I178" s="1">
        <v>0</v>
      </c>
      <c r="K178" s="1">
        <v>50</v>
      </c>
      <c r="L178" s="1">
        <v>5.6</v>
      </c>
      <c r="M178" s="1">
        <v>3.8</v>
      </c>
      <c r="N178" s="1">
        <v>1.1000000000000001</v>
      </c>
      <c r="O178" s="1">
        <v>0</v>
      </c>
      <c r="P178" s="1">
        <v>0</v>
      </c>
      <c r="Q178" s="1">
        <v>0</v>
      </c>
      <c r="R178" s="1">
        <v>874</v>
      </c>
      <c r="S178" s="1">
        <v>4213</v>
      </c>
      <c r="T178" s="1"/>
      <c r="U178" s="1"/>
      <c r="V178" s="1"/>
      <c r="W178" s="1"/>
    </row>
    <row r="179" spans="1:23" x14ac:dyDescent="0.25">
      <c r="A179" s="1">
        <v>75</v>
      </c>
      <c r="B179" s="1">
        <v>862</v>
      </c>
      <c r="C179" s="1">
        <v>4096</v>
      </c>
      <c r="D179" s="1">
        <v>9.1</v>
      </c>
      <c r="E179" s="1">
        <v>-4.2</v>
      </c>
      <c r="F179" s="1">
        <v>-1.2</v>
      </c>
      <c r="G179" s="1">
        <v>0</v>
      </c>
      <c r="H179" s="1">
        <v>0</v>
      </c>
      <c r="I179" s="1">
        <v>0</v>
      </c>
      <c r="K179" s="1">
        <v>75</v>
      </c>
      <c r="L179" s="1">
        <v>9</v>
      </c>
      <c r="M179" s="1">
        <v>4.0999999999999996</v>
      </c>
      <c r="N179" s="1">
        <v>1.2</v>
      </c>
      <c r="O179" s="1">
        <v>0</v>
      </c>
      <c r="P179" s="1">
        <v>0</v>
      </c>
      <c r="Q179" s="1">
        <v>0</v>
      </c>
      <c r="R179" s="1">
        <v>863</v>
      </c>
      <c r="S179" s="1">
        <v>4097</v>
      </c>
      <c r="T179" s="1"/>
      <c r="U179" s="1"/>
      <c r="V179" s="1"/>
      <c r="W179" s="1"/>
    </row>
    <row r="180" spans="1:23" x14ac:dyDescent="0.25">
      <c r="A180" s="1">
        <v>100</v>
      </c>
      <c r="B180" s="1">
        <v>850</v>
      </c>
      <c r="C180" s="1">
        <v>3983</v>
      </c>
      <c r="D180" s="1">
        <v>11.8</v>
      </c>
      <c r="E180" s="1">
        <v>-4.0999999999999996</v>
      </c>
      <c r="F180" s="1">
        <v>-1.2</v>
      </c>
      <c r="G180" s="1">
        <v>0</v>
      </c>
      <c r="H180" s="1">
        <v>0</v>
      </c>
      <c r="I180" s="1">
        <v>0</v>
      </c>
      <c r="K180" s="1">
        <v>100</v>
      </c>
      <c r="L180" s="1">
        <v>11.6</v>
      </c>
      <c r="M180" s="1">
        <v>4</v>
      </c>
      <c r="N180" s="1">
        <v>1.2</v>
      </c>
      <c r="O180" s="1">
        <v>0</v>
      </c>
      <c r="P180" s="1">
        <v>0</v>
      </c>
      <c r="Q180" s="1">
        <v>0</v>
      </c>
      <c r="R180" s="1">
        <v>851</v>
      </c>
      <c r="S180" s="1">
        <v>3986</v>
      </c>
      <c r="T180" s="1"/>
      <c r="U180" s="1"/>
      <c r="V180" s="1"/>
      <c r="W180" s="1"/>
    </row>
    <row r="181" spans="1:23" x14ac:dyDescent="0.25">
      <c r="A181" s="1">
        <v>125</v>
      </c>
      <c r="B181" s="1">
        <v>838</v>
      </c>
      <c r="C181" s="1">
        <v>3872</v>
      </c>
      <c r="D181" s="1">
        <v>13.7</v>
      </c>
      <c r="E181" s="1">
        <v>-3.7</v>
      </c>
      <c r="F181" s="1">
        <v>-1.1000000000000001</v>
      </c>
      <c r="G181" s="1">
        <v>0</v>
      </c>
      <c r="H181" s="1">
        <v>0</v>
      </c>
      <c r="I181" s="1">
        <v>0</v>
      </c>
      <c r="K181" s="1">
        <v>125</v>
      </c>
      <c r="L181" s="1">
        <v>13.4</v>
      </c>
      <c r="M181" s="1">
        <v>3.7</v>
      </c>
      <c r="N181" s="1">
        <v>1.1000000000000001</v>
      </c>
      <c r="O181" s="1">
        <v>0</v>
      </c>
      <c r="P181" s="1">
        <v>0</v>
      </c>
      <c r="Q181" s="1">
        <v>0</v>
      </c>
      <c r="R181" s="1">
        <v>839</v>
      </c>
      <c r="S181" s="1">
        <v>3872</v>
      </c>
      <c r="T181" s="1"/>
      <c r="U181" s="1"/>
      <c r="V181" s="1"/>
      <c r="W181" s="1"/>
    </row>
    <row r="182" spans="1:23" x14ac:dyDescent="0.25">
      <c r="A182" s="1">
        <v>150</v>
      </c>
      <c r="B182" s="1">
        <v>827</v>
      </c>
      <c r="C182" s="1">
        <v>3764</v>
      </c>
      <c r="D182" s="1">
        <v>14.6</v>
      </c>
      <c r="E182" s="1">
        <v>-3.3</v>
      </c>
      <c r="F182" s="1">
        <v>-1</v>
      </c>
      <c r="G182" s="1">
        <v>0</v>
      </c>
      <c r="H182" s="1">
        <v>0</v>
      </c>
      <c r="I182" s="1">
        <v>0</v>
      </c>
      <c r="K182" s="1">
        <v>150</v>
      </c>
      <c r="L182" s="1">
        <v>14.3</v>
      </c>
      <c r="M182" s="1">
        <v>3.3</v>
      </c>
      <c r="N182" s="1">
        <v>1</v>
      </c>
      <c r="O182" s="1">
        <v>0</v>
      </c>
      <c r="P182" s="1">
        <v>0</v>
      </c>
      <c r="Q182" s="1">
        <v>0</v>
      </c>
      <c r="R182" s="1">
        <v>827</v>
      </c>
      <c r="S182" s="1">
        <v>3765</v>
      </c>
      <c r="T182" s="1"/>
      <c r="U182" s="1"/>
      <c r="V182" s="1"/>
      <c r="W182" s="1"/>
    </row>
    <row r="183" spans="1:23" x14ac:dyDescent="0.25">
      <c r="A183" s="1">
        <v>175</v>
      </c>
      <c r="B183" s="1">
        <v>815</v>
      </c>
      <c r="C183" s="1">
        <v>3658</v>
      </c>
      <c r="D183" s="1">
        <v>14.6</v>
      </c>
      <c r="E183" s="1">
        <v>-2.9</v>
      </c>
      <c r="F183" s="1">
        <v>-0.8</v>
      </c>
      <c r="G183" s="1">
        <v>0</v>
      </c>
      <c r="H183" s="1">
        <v>0</v>
      </c>
      <c r="I183" s="1">
        <v>0</v>
      </c>
      <c r="K183" s="1">
        <v>175</v>
      </c>
      <c r="L183" s="1">
        <v>14.3</v>
      </c>
      <c r="M183" s="1">
        <v>2.8</v>
      </c>
      <c r="N183" s="1">
        <v>0.8</v>
      </c>
      <c r="O183" s="1">
        <v>0</v>
      </c>
      <c r="P183" s="1">
        <v>0</v>
      </c>
      <c r="Q183" s="1">
        <v>0</v>
      </c>
      <c r="R183" s="1">
        <v>815</v>
      </c>
      <c r="S183" s="1">
        <v>3661</v>
      </c>
      <c r="T183" s="1"/>
      <c r="U183" s="1"/>
      <c r="V183" s="1"/>
      <c r="W183" s="1"/>
    </row>
    <row r="184" spans="1:23" x14ac:dyDescent="0.25">
      <c r="A184" s="1">
        <v>200</v>
      </c>
      <c r="B184" s="1">
        <v>803</v>
      </c>
      <c r="C184" s="1">
        <v>3555</v>
      </c>
      <c r="D184" s="1">
        <v>13.7</v>
      </c>
      <c r="E184" s="1">
        <v>-2.2999999999999998</v>
      </c>
      <c r="F184" s="1">
        <v>-0.7</v>
      </c>
      <c r="G184" s="1">
        <v>0</v>
      </c>
      <c r="H184" s="1">
        <v>0</v>
      </c>
      <c r="I184" s="1">
        <v>0</v>
      </c>
      <c r="K184" s="1">
        <v>200</v>
      </c>
      <c r="L184" s="1">
        <v>13.4</v>
      </c>
      <c r="M184" s="1">
        <v>2.2999999999999998</v>
      </c>
      <c r="N184" s="1">
        <v>0.7</v>
      </c>
      <c r="O184" s="1">
        <v>0</v>
      </c>
      <c r="P184" s="1">
        <v>0</v>
      </c>
      <c r="Q184" s="1">
        <v>0</v>
      </c>
      <c r="R184" s="1">
        <v>803</v>
      </c>
      <c r="S184" s="1">
        <v>3555</v>
      </c>
      <c r="T184" s="1"/>
      <c r="U184" s="1"/>
      <c r="V184" s="1"/>
      <c r="W184" s="1"/>
    </row>
    <row r="185" spans="1:23" x14ac:dyDescent="0.25">
      <c r="A185" s="1">
        <v>225</v>
      </c>
      <c r="B185" s="1">
        <v>792</v>
      </c>
      <c r="C185" s="1">
        <v>3453</v>
      </c>
      <c r="D185" s="1">
        <v>11.8</v>
      </c>
      <c r="E185" s="1">
        <v>-1.8</v>
      </c>
      <c r="F185" s="1">
        <v>-0.5</v>
      </c>
      <c r="G185" s="1">
        <v>0</v>
      </c>
      <c r="H185" s="1">
        <v>0</v>
      </c>
      <c r="I185" s="1">
        <v>0</v>
      </c>
      <c r="K185" s="1">
        <v>225</v>
      </c>
      <c r="L185" s="1">
        <v>11.5</v>
      </c>
      <c r="M185" s="1">
        <v>1.8</v>
      </c>
      <c r="N185" s="1">
        <v>0.5</v>
      </c>
      <c r="O185" s="1">
        <v>0</v>
      </c>
      <c r="P185" s="1">
        <v>0</v>
      </c>
      <c r="Q185" s="1">
        <v>0</v>
      </c>
      <c r="R185" s="1">
        <v>792</v>
      </c>
      <c r="S185" s="1">
        <v>3455</v>
      </c>
      <c r="T185" s="1"/>
      <c r="U185" s="1"/>
      <c r="V185" s="1"/>
      <c r="W185" s="1"/>
    </row>
    <row r="186" spans="1:23" x14ac:dyDescent="0.25">
      <c r="A186" s="1">
        <v>250</v>
      </c>
      <c r="B186" s="1">
        <v>780</v>
      </c>
      <c r="C186" s="1">
        <v>3355</v>
      </c>
      <c r="D186" s="1">
        <v>9</v>
      </c>
      <c r="E186" s="1">
        <v>-1.2</v>
      </c>
      <c r="F186" s="1">
        <v>-0.4</v>
      </c>
      <c r="G186" s="1">
        <v>0</v>
      </c>
      <c r="H186" s="1">
        <v>0</v>
      </c>
      <c r="I186" s="1">
        <v>0</v>
      </c>
      <c r="K186" s="1">
        <v>250</v>
      </c>
      <c r="L186" s="1">
        <v>8.6999999999999993</v>
      </c>
      <c r="M186" s="1">
        <v>1.2</v>
      </c>
      <c r="N186" s="1">
        <v>0.4</v>
      </c>
      <c r="O186" s="1">
        <v>0</v>
      </c>
      <c r="P186" s="1">
        <v>0</v>
      </c>
      <c r="Q186" s="1">
        <v>0</v>
      </c>
      <c r="R186" s="1">
        <v>781</v>
      </c>
      <c r="S186" s="1">
        <v>3357</v>
      </c>
      <c r="T186" s="1"/>
      <c r="U186" s="1"/>
      <c r="V186" s="1"/>
      <c r="W186" s="1"/>
    </row>
    <row r="187" spans="1:23" x14ac:dyDescent="0.25">
      <c r="A187" s="1">
        <v>275</v>
      </c>
      <c r="B187" s="1">
        <v>769</v>
      </c>
      <c r="C187" s="1">
        <v>3258</v>
      </c>
      <c r="D187" s="1">
        <v>4.9000000000000004</v>
      </c>
      <c r="E187" s="1">
        <v>-0.6</v>
      </c>
      <c r="F187" s="1">
        <v>-0.2</v>
      </c>
      <c r="G187" s="1">
        <v>0</v>
      </c>
      <c r="H187" s="1">
        <v>0</v>
      </c>
      <c r="I187" s="1">
        <v>0</v>
      </c>
      <c r="K187" s="1">
        <v>275</v>
      </c>
      <c r="L187" s="1">
        <v>4.9000000000000004</v>
      </c>
      <c r="M187" s="1">
        <v>0.6</v>
      </c>
      <c r="N187" s="1">
        <v>0.2</v>
      </c>
      <c r="O187" s="1">
        <v>0</v>
      </c>
      <c r="P187" s="1">
        <v>0</v>
      </c>
      <c r="Q187" s="1">
        <v>0</v>
      </c>
      <c r="R187" s="1">
        <v>769</v>
      </c>
      <c r="S187" s="1">
        <v>3259</v>
      </c>
      <c r="T187" s="1"/>
      <c r="U187" s="1"/>
      <c r="V187" s="1"/>
      <c r="W187" s="1"/>
    </row>
    <row r="188" spans="1:23" x14ac:dyDescent="0.25">
      <c r="A188" s="10">
        <v>300</v>
      </c>
      <c r="B188" s="10">
        <v>758</v>
      </c>
      <c r="C188" s="10">
        <v>3164</v>
      </c>
      <c r="D188" s="10">
        <v>0</v>
      </c>
      <c r="E188" s="10">
        <v>0</v>
      </c>
      <c r="F188" s="10">
        <v>0</v>
      </c>
      <c r="G188" s="1">
        <v>0</v>
      </c>
      <c r="H188" s="1">
        <v>0</v>
      </c>
      <c r="I188" s="1">
        <v>0</v>
      </c>
      <c r="K188" s="1">
        <v>300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758</v>
      </c>
      <c r="S188" s="1">
        <v>3166</v>
      </c>
    </row>
    <row r="189" spans="1:23" x14ac:dyDescent="0.25">
      <c r="A189" s="1">
        <v>325</v>
      </c>
      <c r="B189" s="1">
        <v>747</v>
      </c>
      <c r="C189" s="1">
        <v>3071</v>
      </c>
      <c r="D189" s="1">
        <v>-6</v>
      </c>
      <c r="E189" s="1">
        <v>0.6</v>
      </c>
      <c r="F189" s="1">
        <v>0.2</v>
      </c>
      <c r="G189" s="1">
        <v>0</v>
      </c>
      <c r="H189" s="1">
        <v>0</v>
      </c>
      <c r="I189" s="1">
        <v>0</v>
      </c>
      <c r="K189" s="1">
        <v>325</v>
      </c>
      <c r="L189" s="1">
        <v>-5.7</v>
      </c>
      <c r="M189" s="1">
        <v>-0.6</v>
      </c>
      <c r="N189" s="1">
        <v>-0.2</v>
      </c>
      <c r="O189" s="1">
        <v>0</v>
      </c>
      <c r="P189" s="1">
        <v>0</v>
      </c>
      <c r="Q189" s="1">
        <v>0</v>
      </c>
      <c r="R189" s="1">
        <v>747</v>
      </c>
      <c r="S189" s="1">
        <v>3075</v>
      </c>
    </row>
    <row r="190" spans="1:23" x14ac:dyDescent="0.25">
      <c r="A190" s="1">
        <v>350</v>
      </c>
      <c r="B190" s="1">
        <v>736</v>
      </c>
      <c r="C190" s="1">
        <v>2981</v>
      </c>
      <c r="D190" s="1">
        <v>-13.4</v>
      </c>
      <c r="E190" s="1">
        <v>1.3</v>
      </c>
      <c r="F190" s="1">
        <v>0.4</v>
      </c>
      <c r="G190" s="1">
        <v>0</v>
      </c>
      <c r="H190" s="1">
        <v>0</v>
      </c>
      <c r="I190" s="1">
        <v>0</v>
      </c>
      <c r="K190" s="1">
        <v>350</v>
      </c>
      <c r="L190" s="1">
        <v>-12.8</v>
      </c>
      <c r="M190" s="1">
        <v>-1.3</v>
      </c>
      <c r="N190" s="1">
        <v>-0.4</v>
      </c>
      <c r="O190" s="1">
        <v>0</v>
      </c>
      <c r="P190" s="1">
        <v>0</v>
      </c>
      <c r="Q190" s="1">
        <v>0</v>
      </c>
      <c r="R190" s="1">
        <v>736</v>
      </c>
      <c r="S190" s="1">
        <v>2981</v>
      </c>
    </row>
    <row r="191" spans="1:23" x14ac:dyDescent="0.25">
      <c r="A191" s="1">
        <v>375</v>
      </c>
      <c r="B191" s="1">
        <v>725</v>
      </c>
      <c r="C191" s="1">
        <v>2893</v>
      </c>
      <c r="D191" s="1">
        <v>-21.7</v>
      </c>
      <c r="E191" s="1">
        <v>2</v>
      </c>
      <c r="F191" s="1">
        <v>0.6</v>
      </c>
      <c r="G191" s="1">
        <v>0</v>
      </c>
      <c r="H191" s="1">
        <v>0</v>
      </c>
      <c r="I191" s="1">
        <v>0</v>
      </c>
      <c r="K191" s="1">
        <v>375</v>
      </c>
      <c r="L191" s="1">
        <v>-20.9</v>
      </c>
      <c r="M191" s="1">
        <v>-1.9</v>
      </c>
      <c r="N191" s="1">
        <v>-0.6</v>
      </c>
      <c r="O191" s="1">
        <v>0</v>
      </c>
      <c r="P191" s="1">
        <v>0</v>
      </c>
      <c r="Q191" s="1">
        <v>0</v>
      </c>
      <c r="R191" s="1">
        <v>725</v>
      </c>
      <c r="S191" s="1">
        <v>2895</v>
      </c>
      <c r="T191" s="1"/>
      <c r="U191" s="1"/>
      <c r="V191" s="1"/>
      <c r="W191" s="1"/>
    </row>
    <row r="192" spans="1:23" x14ac:dyDescent="0.25">
      <c r="A192" s="1">
        <v>400</v>
      </c>
      <c r="B192" s="1">
        <v>714</v>
      </c>
      <c r="C192" s="1">
        <v>2807</v>
      </c>
      <c r="D192" s="1">
        <v>-31.2</v>
      </c>
      <c r="E192" s="1">
        <v>2.7</v>
      </c>
      <c r="F192" s="1">
        <v>0.8</v>
      </c>
      <c r="G192" s="1">
        <v>0</v>
      </c>
      <c r="H192" s="1">
        <v>0</v>
      </c>
      <c r="I192" s="1">
        <v>0</v>
      </c>
      <c r="K192" s="1">
        <v>400</v>
      </c>
      <c r="L192" s="1">
        <v>-30.1</v>
      </c>
      <c r="M192" s="1">
        <v>-2.6</v>
      </c>
      <c r="N192" s="1">
        <v>-0.8</v>
      </c>
      <c r="O192" s="1">
        <v>0</v>
      </c>
      <c r="P192" s="1">
        <v>0</v>
      </c>
      <c r="Q192" s="1">
        <v>0</v>
      </c>
      <c r="R192" s="1">
        <v>714</v>
      </c>
      <c r="S192" s="1">
        <v>2811</v>
      </c>
      <c r="T192" s="1"/>
      <c r="U192" s="1"/>
      <c r="V192" s="1"/>
      <c r="W192" s="1"/>
    </row>
    <row r="193" spans="1:23" x14ac:dyDescent="0.25">
      <c r="A193" s="1">
        <v>425</v>
      </c>
      <c r="B193" s="1">
        <v>703</v>
      </c>
      <c r="C193" s="1">
        <v>2723</v>
      </c>
      <c r="D193" s="1">
        <v>-42.4</v>
      </c>
      <c r="E193" s="1">
        <v>3.4</v>
      </c>
      <c r="F193" s="1">
        <v>1</v>
      </c>
      <c r="G193" s="1">
        <v>0</v>
      </c>
      <c r="H193" s="1">
        <v>0</v>
      </c>
      <c r="I193" s="1">
        <v>0</v>
      </c>
      <c r="K193" s="1">
        <v>425</v>
      </c>
      <c r="L193" s="1">
        <v>-40.9</v>
      </c>
      <c r="M193" s="1">
        <v>-3.3</v>
      </c>
      <c r="N193" s="1">
        <v>-1</v>
      </c>
      <c r="O193" s="1">
        <v>0</v>
      </c>
      <c r="P193" s="1">
        <v>0</v>
      </c>
      <c r="Q193" s="1">
        <v>0</v>
      </c>
      <c r="R193" s="1">
        <v>703</v>
      </c>
      <c r="S193" s="1">
        <v>2724</v>
      </c>
      <c r="T193" s="1"/>
      <c r="U193" s="1"/>
      <c r="V193" s="1"/>
      <c r="W193" s="1"/>
    </row>
    <row r="194" spans="1:23" x14ac:dyDescent="0.25">
      <c r="A194" s="1">
        <v>450</v>
      </c>
      <c r="B194" s="1">
        <v>692</v>
      </c>
      <c r="C194" s="1">
        <v>2641</v>
      </c>
      <c r="D194" s="1">
        <v>-54.4</v>
      </c>
      <c r="E194" s="1">
        <v>4.2</v>
      </c>
      <c r="F194" s="1">
        <v>1.2</v>
      </c>
      <c r="G194" s="1">
        <v>0</v>
      </c>
      <c r="H194" s="1">
        <v>0</v>
      </c>
      <c r="I194" s="1">
        <v>0</v>
      </c>
      <c r="K194" s="1">
        <v>450</v>
      </c>
      <c r="L194" s="1">
        <v>-52.6</v>
      </c>
      <c r="M194" s="1">
        <v>-4</v>
      </c>
      <c r="N194" s="1">
        <v>-1.2</v>
      </c>
      <c r="O194" s="1">
        <v>0</v>
      </c>
      <c r="P194" s="1">
        <v>0</v>
      </c>
      <c r="Q194" s="1">
        <v>0</v>
      </c>
      <c r="R194" s="1">
        <v>693</v>
      </c>
      <c r="S194" s="1">
        <v>2644</v>
      </c>
      <c r="T194" s="1"/>
      <c r="U194" s="1"/>
      <c r="V194" s="1"/>
      <c r="W194" s="1"/>
    </row>
    <row r="195" spans="1:23" x14ac:dyDescent="0.25">
      <c r="A195" s="1">
        <v>475</v>
      </c>
      <c r="B195" s="1">
        <v>682</v>
      </c>
      <c r="C195" s="1">
        <v>2560</v>
      </c>
      <c r="D195" s="1">
        <v>-67.8</v>
      </c>
      <c r="E195" s="1">
        <v>4.9000000000000004</v>
      </c>
      <c r="F195" s="1">
        <v>1.4</v>
      </c>
      <c r="G195" s="1">
        <v>0</v>
      </c>
      <c r="H195" s="1">
        <v>0</v>
      </c>
      <c r="I195" s="1">
        <v>0</v>
      </c>
      <c r="K195" s="1">
        <v>475</v>
      </c>
      <c r="L195" s="1">
        <v>-65.5</v>
      </c>
      <c r="M195" s="1">
        <v>-4.7</v>
      </c>
      <c r="N195" s="1">
        <v>-1.4</v>
      </c>
      <c r="O195" s="1">
        <v>0</v>
      </c>
      <c r="P195" s="1">
        <v>0</v>
      </c>
      <c r="Q195" s="1">
        <v>0</v>
      </c>
      <c r="R195" s="1">
        <v>682</v>
      </c>
      <c r="S195" s="1">
        <v>2564</v>
      </c>
      <c r="T195" s="1"/>
      <c r="U195" s="1"/>
      <c r="V195" s="1"/>
      <c r="W195" s="1"/>
    </row>
    <row r="196" spans="1:23" x14ac:dyDescent="0.25">
      <c r="A196" s="1">
        <v>500</v>
      </c>
      <c r="B196" s="1">
        <v>672</v>
      </c>
      <c r="C196" s="1">
        <v>2485</v>
      </c>
      <c r="D196" s="1">
        <v>-82.5</v>
      </c>
      <c r="E196" s="1">
        <v>5.7</v>
      </c>
      <c r="F196" s="1">
        <v>1.7</v>
      </c>
      <c r="G196" s="1">
        <v>0</v>
      </c>
      <c r="H196" s="1">
        <v>0</v>
      </c>
      <c r="I196" s="1">
        <v>0</v>
      </c>
      <c r="K196" s="1">
        <v>500</v>
      </c>
      <c r="L196" s="1">
        <v>-80.3</v>
      </c>
      <c r="M196" s="1">
        <v>-5.5</v>
      </c>
      <c r="N196" s="1">
        <v>-1.6</v>
      </c>
      <c r="O196" s="1">
        <v>0</v>
      </c>
      <c r="P196" s="1">
        <v>0</v>
      </c>
      <c r="Q196" s="1">
        <v>0</v>
      </c>
      <c r="R196" s="1">
        <v>671</v>
      </c>
      <c r="S196" s="1">
        <v>2484</v>
      </c>
      <c r="T196" s="1"/>
      <c r="U196" s="1"/>
      <c r="V196" s="1"/>
      <c r="W196" s="1"/>
    </row>
    <row r="197" spans="1:23" x14ac:dyDescent="0.25">
      <c r="T197" s="1"/>
      <c r="U197" s="1"/>
      <c r="V197" s="1"/>
      <c r="W197" s="1"/>
    </row>
    <row r="198" spans="1:23" x14ac:dyDescent="0.25">
      <c r="A198" t="s">
        <v>91</v>
      </c>
      <c r="K198" t="s">
        <v>84</v>
      </c>
      <c r="T198" s="1"/>
      <c r="U198" s="1"/>
      <c r="V198" s="1"/>
      <c r="W198" s="1"/>
    </row>
    <row r="199" spans="1:23" x14ac:dyDescent="0.25">
      <c r="A199" t="s">
        <v>11</v>
      </c>
      <c r="B199" t="s">
        <v>12</v>
      </c>
      <c r="C199" t="s">
        <v>13</v>
      </c>
      <c r="D199" t="s">
        <v>14</v>
      </c>
      <c r="E199" t="s">
        <v>15</v>
      </c>
      <c r="F199" t="s">
        <v>16</v>
      </c>
      <c r="G199" t="s">
        <v>29</v>
      </c>
      <c r="H199" t="s">
        <v>30</v>
      </c>
      <c r="I199" t="s">
        <v>31</v>
      </c>
      <c r="K199" t="s">
        <v>42</v>
      </c>
      <c r="L199" t="s">
        <v>34</v>
      </c>
      <c r="M199" t="s">
        <v>35</v>
      </c>
      <c r="N199" t="s">
        <v>36</v>
      </c>
      <c r="O199" t="s">
        <v>37</v>
      </c>
      <c r="P199" t="s">
        <v>30</v>
      </c>
      <c r="Q199" t="s">
        <v>38</v>
      </c>
      <c r="R199" t="s">
        <v>39</v>
      </c>
      <c r="S199" t="s">
        <v>40</v>
      </c>
      <c r="T199" s="1"/>
      <c r="U199" s="1"/>
      <c r="V199" s="1"/>
      <c r="W199" s="1"/>
    </row>
    <row r="200" spans="1:23" x14ac:dyDescent="0.25">
      <c r="A200" s="1">
        <v>0</v>
      </c>
      <c r="B200" s="1">
        <v>899</v>
      </c>
      <c r="C200" s="1">
        <v>4454</v>
      </c>
      <c r="D200" s="1">
        <v>-3.8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K200" s="1">
        <v>0</v>
      </c>
      <c r="L200" s="1">
        <v>-3.8</v>
      </c>
      <c r="M200" s="1" t="s">
        <v>41</v>
      </c>
      <c r="N200" s="1" t="s">
        <v>41</v>
      </c>
      <c r="O200" s="1">
        <v>0</v>
      </c>
      <c r="P200" s="1" t="s">
        <v>41</v>
      </c>
      <c r="Q200" s="1" t="s">
        <v>41</v>
      </c>
      <c r="R200" s="1">
        <v>899</v>
      </c>
      <c r="S200" s="1">
        <v>4454</v>
      </c>
      <c r="T200" s="1"/>
      <c r="U200" s="1"/>
      <c r="V200" s="1"/>
      <c r="W200" s="1"/>
    </row>
    <row r="201" spans="1:23" x14ac:dyDescent="0.25">
      <c r="A201" s="1">
        <v>25</v>
      </c>
      <c r="B201" s="1">
        <v>887</v>
      </c>
      <c r="C201" s="1">
        <v>4331</v>
      </c>
      <c r="D201" s="1">
        <v>3.2</v>
      </c>
      <c r="E201" s="1">
        <v>-4.5</v>
      </c>
      <c r="F201" s="1">
        <v>-1.3</v>
      </c>
      <c r="G201" s="1">
        <v>0</v>
      </c>
      <c r="H201" s="1">
        <v>0</v>
      </c>
      <c r="I201" s="1">
        <v>0</v>
      </c>
      <c r="K201" s="1">
        <v>25</v>
      </c>
      <c r="L201" s="1">
        <v>3</v>
      </c>
      <c r="M201" s="1">
        <v>4.2</v>
      </c>
      <c r="N201" s="1">
        <v>1.2</v>
      </c>
      <c r="O201" s="1">
        <v>0</v>
      </c>
      <c r="P201" s="1">
        <v>0</v>
      </c>
      <c r="Q201" s="1">
        <v>0</v>
      </c>
      <c r="R201" s="1">
        <v>887</v>
      </c>
      <c r="S201" s="1">
        <v>4333</v>
      </c>
      <c r="T201" s="1"/>
      <c r="U201" s="1"/>
      <c r="V201" s="1"/>
      <c r="W201" s="1"/>
    </row>
    <row r="202" spans="1:23" x14ac:dyDescent="0.25">
      <c r="A202" s="1">
        <v>50</v>
      </c>
      <c r="B202" s="1">
        <v>874</v>
      </c>
      <c r="C202" s="1">
        <v>4213</v>
      </c>
      <c r="D202" s="1">
        <v>9.6999999999999993</v>
      </c>
      <c r="E202" s="1">
        <v>-6.6</v>
      </c>
      <c r="F202" s="1">
        <v>-1.9</v>
      </c>
      <c r="G202" s="1">
        <v>0</v>
      </c>
      <c r="H202" s="1">
        <v>0</v>
      </c>
      <c r="I202" s="1">
        <v>0</v>
      </c>
      <c r="K202" s="1">
        <v>50</v>
      </c>
      <c r="L202" s="1">
        <v>9.3000000000000007</v>
      </c>
      <c r="M202" s="1">
        <v>6.4</v>
      </c>
      <c r="N202" s="1">
        <v>1.9</v>
      </c>
      <c r="O202" s="1">
        <v>0</v>
      </c>
      <c r="P202" s="1">
        <v>0</v>
      </c>
      <c r="Q202" s="1">
        <v>0</v>
      </c>
      <c r="R202" s="1">
        <v>874</v>
      </c>
      <c r="S202" s="1">
        <v>4213</v>
      </c>
      <c r="T202" s="1"/>
      <c r="U202" s="1"/>
      <c r="V202" s="1"/>
      <c r="W202" s="1"/>
    </row>
    <row r="203" spans="1:23" x14ac:dyDescent="0.25">
      <c r="A203" s="1">
        <v>75</v>
      </c>
      <c r="B203" s="1">
        <v>862</v>
      </c>
      <c r="C203" s="1">
        <v>4096</v>
      </c>
      <c r="D203" s="1">
        <v>15.1</v>
      </c>
      <c r="E203" s="1">
        <v>-6.9</v>
      </c>
      <c r="F203" s="1">
        <v>-2</v>
      </c>
      <c r="G203" s="1">
        <v>0</v>
      </c>
      <c r="H203" s="1">
        <v>0</v>
      </c>
      <c r="I203" s="1">
        <v>0</v>
      </c>
      <c r="K203" s="1">
        <v>75</v>
      </c>
      <c r="L203" s="1">
        <v>14.6</v>
      </c>
      <c r="M203" s="1">
        <v>6.7</v>
      </c>
      <c r="N203" s="1">
        <v>1.9</v>
      </c>
      <c r="O203" s="1">
        <v>0</v>
      </c>
      <c r="P203" s="1">
        <v>0</v>
      </c>
      <c r="Q203" s="1">
        <v>0</v>
      </c>
      <c r="R203" s="1">
        <v>863</v>
      </c>
      <c r="S203" s="1">
        <v>4097</v>
      </c>
      <c r="T203" s="1"/>
      <c r="U203" s="1"/>
      <c r="V203" s="1"/>
      <c r="W203" s="1"/>
    </row>
    <row r="204" spans="1:23" x14ac:dyDescent="0.25">
      <c r="A204" s="1">
        <v>100</v>
      </c>
      <c r="B204" s="1">
        <v>850</v>
      </c>
      <c r="C204" s="1">
        <v>3983</v>
      </c>
      <c r="D204" s="1">
        <v>19.600000000000001</v>
      </c>
      <c r="E204" s="1">
        <v>-6.8</v>
      </c>
      <c r="F204" s="1">
        <v>-2</v>
      </c>
      <c r="G204" s="1">
        <v>0</v>
      </c>
      <c r="H204" s="1">
        <v>0</v>
      </c>
      <c r="I204" s="1">
        <v>0</v>
      </c>
      <c r="K204" s="1">
        <v>100</v>
      </c>
      <c r="L204" s="1">
        <v>19.100000000000001</v>
      </c>
      <c r="M204" s="1">
        <v>6.6</v>
      </c>
      <c r="N204" s="1">
        <v>1.9</v>
      </c>
      <c r="O204" s="1">
        <v>0</v>
      </c>
      <c r="P204" s="1">
        <v>0</v>
      </c>
      <c r="Q204" s="1">
        <v>0</v>
      </c>
      <c r="R204" s="1">
        <v>851</v>
      </c>
      <c r="S204" s="1">
        <v>3986</v>
      </c>
      <c r="T204" s="1"/>
      <c r="U204" s="1"/>
      <c r="V204" s="1"/>
      <c r="W204" s="1"/>
    </row>
    <row r="205" spans="1:23" x14ac:dyDescent="0.25">
      <c r="A205" s="1">
        <v>125</v>
      </c>
      <c r="B205" s="1">
        <v>838</v>
      </c>
      <c r="C205" s="1">
        <v>3872</v>
      </c>
      <c r="D205" s="1">
        <v>23.5</v>
      </c>
      <c r="E205" s="1">
        <v>-6.4</v>
      </c>
      <c r="F205" s="1">
        <v>-1.9</v>
      </c>
      <c r="G205" s="1">
        <v>0</v>
      </c>
      <c r="H205" s="1">
        <v>0</v>
      </c>
      <c r="I205" s="1">
        <v>0</v>
      </c>
      <c r="K205" s="1">
        <v>125</v>
      </c>
      <c r="L205" s="1">
        <v>22.8</v>
      </c>
      <c r="M205" s="1">
        <v>6.3</v>
      </c>
      <c r="N205" s="1">
        <v>1.8</v>
      </c>
      <c r="O205" s="1">
        <v>0</v>
      </c>
      <c r="P205" s="1">
        <v>0</v>
      </c>
      <c r="Q205" s="1">
        <v>0</v>
      </c>
      <c r="R205" s="1">
        <v>839</v>
      </c>
      <c r="S205" s="1">
        <v>3872</v>
      </c>
      <c r="T205" s="1"/>
      <c r="U205" s="1"/>
      <c r="V205" s="1"/>
      <c r="W205" s="1"/>
    </row>
    <row r="206" spans="1:23" x14ac:dyDescent="0.25">
      <c r="A206" s="1">
        <v>150</v>
      </c>
      <c r="B206" s="1">
        <v>827</v>
      </c>
      <c r="C206" s="1">
        <v>3764</v>
      </c>
      <c r="D206" s="1">
        <v>26.4</v>
      </c>
      <c r="E206" s="1">
        <v>-6</v>
      </c>
      <c r="F206" s="1">
        <v>-1.8</v>
      </c>
      <c r="G206" s="1">
        <v>0</v>
      </c>
      <c r="H206" s="1">
        <v>0</v>
      </c>
      <c r="I206" s="1">
        <v>0</v>
      </c>
      <c r="K206" s="1">
        <v>150</v>
      </c>
      <c r="L206" s="1">
        <v>25.6</v>
      </c>
      <c r="M206" s="1">
        <v>5.9</v>
      </c>
      <c r="N206" s="1">
        <v>1.7</v>
      </c>
      <c r="O206" s="1">
        <v>0</v>
      </c>
      <c r="P206" s="1">
        <v>0</v>
      </c>
      <c r="Q206" s="1">
        <v>0</v>
      </c>
      <c r="R206" s="1">
        <v>827</v>
      </c>
      <c r="S206" s="1">
        <v>3765</v>
      </c>
      <c r="T206" s="1"/>
      <c r="U206" s="1"/>
      <c r="V206" s="1"/>
      <c r="W206" s="1"/>
    </row>
    <row r="207" spans="1:23" x14ac:dyDescent="0.25">
      <c r="A207" s="1">
        <v>175</v>
      </c>
      <c r="B207" s="1">
        <v>815</v>
      </c>
      <c r="C207" s="1">
        <v>3658</v>
      </c>
      <c r="D207" s="1">
        <v>28.4</v>
      </c>
      <c r="E207" s="1">
        <v>-5.6</v>
      </c>
      <c r="F207" s="1">
        <v>-1.6</v>
      </c>
      <c r="G207" s="1">
        <v>0</v>
      </c>
      <c r="H207" s="1">
        <v>0</v>
      </c>
      <c r="I207" s="1">
        <v>0</v>
      </c>
      <c r="K207" s="1">
        <v>175</v>
      </c>
      <c r="L207" s="1">
        <v>27.4</v>
      </c>
      <c r="M207" s="1">
        <v>5.4</v>
      </c>
      <c r="N207" s="1">
        <v>1.6</v>
      </c>
      <c r="O207" s="1">
        <v>0</v>
      </c>
      <c r="P207" s="1">
        <v>0</v>
      </c>
      <c r="Q207" s="1">
        <v>0</v>
      </c>
      <c r="R207" s="1">
        <v>815</v>
      </c>
      <c r="S207" s="1">
        <v>3661</v>
      </c>
      <c r="T207" s="1"/>
      <c r="U207" s="1"/>
      <c r="V207" s="1"/>
      <c r="W207" s="1"/>
    </row>
    <row r="208" spans="1:23" x14ac:dyDescent="0.25">
      <c r="A208" s="1">
        <v>200</v>
      </c>
      <c r="B208" s="1">
        <v>803</v>
      </c>
      <c r="C208" s="1">
        <v>3555</v>
      </c>
      <c r="D208" s="1">
        <v>29.4</v>
      </c>
      <c r="E208" s="1">
        <v>-5.0999999999999996</v>
      </c>
      <c r="F208" s="1">
        <v>-1.5</v>
      </c>
      <c r="G208" s="1">
        <v>0</v>
      </c>
      <c r="H208" s="1">
        <v>0</v>
      </c>
      <c r="I208" s="1">
        <v>0</v>
      </c>
      <c r="K208" s="1">
        <v>200</v>
      </c>
      <c r="L208" s="1">
        <v>28.4</v>
      </c>
      <c r="M208" s="1">
        <v>4.9000000000000004</v>
      </c>
      <c r="N208" s="1">
        <v>1.4</v>
      </c>
      <c r="O208" s="1">
        <v>0</v>
      </c>
      <c r="P208" s="1">
        <v>0</v>
      </c>
      <c r="Q208" s="1">
        <v>0</v>
      </c>
      <c r="R208" s="1">
        <v>803</v>
      </c>
      <c r="S208" s="1">
        <v>3555</v>
      </c>
      <c r="T208" s="1"/>
      <c r="U208" s="1"/>
      <c r="V208" s="1"/>
      <c r="W208" s="1"/>
    </row>
    <row r="209" spans="1:23" x14ac:dyDescent="0.25">
      <c r="A209" s="1">
        <v>225</v>
      </c>
      <c r="B209" s="1">
        <v>792</v>
      </c>
      <c r="C209" s="1">
        <v>3453</v>
      </c>
      <c r="D209" s="1">
        <v>29.5</v>
      </c>
      <c r="E209" s="1">
        <v>-4.5</v>
      </c>
      <c r="F209" s="1">
        <v>-1.3</v>
      </c>
      <c r="G209" s="1">
        <v>0</v>
      </c>
      <c r="H209" s="1">
        <v>0</v>
      </c>
      <c r="I209" s="1">
        <v>0</v>
      </c>
      <c r="K209" s="1">
        <v>225</v>
      </c>
      <c r="L209" s="1">
        <v>28.4</v>
      </c>
      <c r="M209" s="1">
        <v>4.3</v>
      </c>
      <c r="N209" s="1">
        <v>1.3</v>
      </c>
      <c r="O209" s="1">
        <v>0</v>
      </c>
      <c r="P209" s="1">
        <v>0</v>
      </c>
      <c r="Q209" s="1">
        <v>0</v>
      </c>
      <c r="R209" s="1">
        <v>792</v>
      </c>
      <c r="S209" s="1">
        <v>3455</v>
      </c>
      <c r="T209" s="1"/>
      <c r="U209" s="1"/>
      <c r="V209" s="1"/>
      <c r="W209" s="1"/>
    </row>
    <row r="210" spans="1:23" x14ac:dyDescent="0.25">
      <c r="A210" s="1">
        <v>250</v>
      </c>
      <c r="B210" s="1">
        <v>780</v>
      </c>
      <c r="C210" s="1">
        <v>3355</v>
      </c>
      <c r="D210" s="1">
        <v>28.6</v>
      </c>
      <c r="E210" s="1">
        <v>-3.9</v>
      </c>
      <c r="F210" s="1">
        <v>-1.1000000000000001</v>
      </c>
      <c r="G210" s="1">
        <v>0</v>
      </c>
      <c r="H210" s="1">
        <v>0</v>
      </c>
      <c r="I210" s="1">
        <v>0</v>
      </c>
      <c r="K210" s="1">
        <v>250</v>
      </c>
      <c r="L210" s="1">
        <v>27.5</v>
      </c>
      <c r="M210" s="1">
        <v>3.8</v>
      </c>
      <c r="N210" s="1">
        <v>1.1000000000000001</v>
      </c>
      <c r="O210" s="1">
        <v>0</v>
      </c>
      <c r="P210" s="1">
        <v>0</v>
      </c>
      <c r="Q210" s="1">
        <v>0</v>
      </c>
      <c r="R210" s="1">
        <v>781</v>
      </c>
      <c r="S210" s="1">
        <v>3357</v>
      </c>
      <c r="T210" s="1"/>
      <c r="U210" s="1"/>
      <c r="V210" s="1"/>
      <c r="W210" s="1"/>
    </row>
    <row r="211" spans="1:23" x14ac:dyDescent="0.25">
      <c r="A211" s="1">
        <v>275</v>
      </c>
      <c r="B211" s="1">
        <v>769</v>
      </c>
      <c r="C211" s="1">
        <v>3258</v>
      </c>
      <c r="D211" s="1">
        <v>26.6</v>
      </c>
      <c r="E211" s="1">
        <v>-3.3</v>
      </c>
      <c r="F211" s="1">
        <v>-1</v>
      </c>
      <c r="G211" s="1">
        <v>0</v>
      </c>
      <c r="H211" s="1">
        <v>0</v>
      </c>
      <c r="I211" s="1">
        <v>0</v>
      </c>
      <c r="K211" s="1">
        <v>275</v>
      </c>
      <c r="L211" s="1">
        <v>25.6</v>
      </c>
      <c r="M211" s="1">
        <v>3.2</v>
      </c>
      <c r="N211" s="1">
        <v>0.9</v>
      </c>
      <c r="O211" s="1">
        <v>0</v>
      </c>
      <c r="P211" s="1">
        <v>0</v>
      </c>
      <c r="Q211" s="1">
        <v>0</v>
      </c>
      <c r="R211" s="1">
        <v>769</v>
      </c>
      <c r="S211" s="1">
        <v>3259</v>
      </c>
      <c r="T211" s="1"/>
      <c r="U211" s="1"/>
      <c r="V211" s="1"/>
      <c r="W211" s="1"/>
    </row>
    <row r="212" spans="1:23" x14ac:dyDescent="0.25">
      <c r="A212" s="1">
        <v>300</v>
      </c>
      <c r="B212" s="1">
        <v>758</v>
      </c>
      <c r="C212" s="1">
        <v>3164</v>
      </c>
      <c r="D212" s="1">
        <v>23.6</v>
      </c>
      <c r="E212" s="1">
        <v>-2.7</v>
      </c>
      <c r="F212" s="1">
        <v>-0.8</v>
      </c>
      <c r="G212" s="1">
        <v>0</v>
      </c>
      <c r="H212" s="1">
        <v>0</v>
      </c>
      <c r="I212" s="1">
        <v>0</v>
      </c>
      <c r="K212" s="1">
        <v>300</v>
      </c>
      <c r="L212" s="1">
        <v>22.6</v>
      </c>
      <c r="M212" s="1">
        <v>2.6</v>
      </c>
      <c r="N212" s="1">
        <v>0.8</v>
      </c>
      <c r="O212" s="1">
        <v>0</v>
      </c>
      <c r="P212" s="1">
        <v>0</v>
      </c>
      <c r="Q212" s="1">
        <v>0</v>
      </c>
      <c r="R212" s="1">
        <v>758</v>
      </c>
      <c r="S212" s="1">
        <v>3166</v>
      </c>
    </row>
    <row r="213" spans="1:23" x14ac:dyDescent="0.25">
      <c r="A213" s="1">
        <v>325</v>
      </c>
      <c r="B213" s="1">
        <v>747</v>
      </c>
      <c r="C213" s="1">
        <v>3071</v>
      </c>
      <c r="D213" s="1">
        <v>19.5</v>
      </c>
      <c r="E213" s="1">
        <v>-2.1</v>
      </c>
      <c r="F213" s="1">
        <v>-0.6</v>
      </c>
      <c r="G213" s="1">
        <v>0</v>
      </c>
      <c r="H213" s="1">
        <v>0</v>
      </c>
      <c r="I213" s="1">
        <v>0</v>
      </c>
      <c r="K213" s="1">
        <v>325</v>
      </c>
      <c r="L213" s="1">
        <v>18.7</v>
      </c>
      <c r="M213" s="1">
        <v>2</v>
      </c>
      <c r="N213" s="1">
        <v>0.6</v>
      </c>
      <c r="O213" s="1">
        <v>0</v>
      </c>
      <c r="P213" s="1">
        <v>0</v>
      </c>
      <c r="Q213" s="1">
        <v>0</v>
      </c>
      <c r="R213" s="1">
        <v>747</v>
      </c>
      <c r="S213" s="1">
        <v>3075</v>
      </c>
    </row>
    <row r="214" spans="1:23" x14ac:dyDescent="0.25">
      <c r="A214" s="1">
        <v>350</v>
      </c>
      <c r="B214" s="1">
        <v>736</v>
      </c>
      <c r="C214" s="1">
        <v>2981</v>
      </c>
      <c r="D214" s="1">
        <v>14.1</v>
      </c>
      <c r="E214" s="1">
        <v>-1.4</v>
      </c>
      <c r="F214" s="1">
        <v>-0.4</v>
      </c>
      <c r="G214" s="1">
        <v>0</v>
      </c>
      <c r="H214" s="1">
        <v>0</v>
      </c>
      <c r="I214" s="1">
        <v>0</v>
      </c>
      <c r="K214" s="1">
        <v>350</v>
      </c>
      <c r="L214" s="1">
        <v>13.5</v>
      </c>
      <c r="M214" s="1">
        <v>1.3</v>
      </c>
      <c r="N214" s="1">
        <v>0.4</v>
      </c>
      <c r="O214" s="1">
        <v>0</v>
      </c>
      <c r="P214" s="1">
        <v>0</v>
      </c>
      <c r="Q214" s="1">
        <v>0</v>
      </c>
      <c r="R214" s="1">
        <v>736</v>
      </c>
      <c r="S214" s="1">
        <v>2981</v>
      </c>
    </row>
    <row r="215" spans="1:23" x14ac:dyDescent="0.25">
      <c r="A215" s="1">
        <v>375</v>
      </c>
      <c r="B215" s="1">
        <v>725</v>
      </c>
      <c r="C215" s="1">
        <v>2893</v>
      </c>
      <c r="D215" s="1">
        <v>7.8</v>
      </c>
      <c r="E215" s="1">
        <v>-0.7</v>
      </c>
      <c r="F215" s="1">
        <v>-0.2</v>
      </c>
      <c r="G215" s="1">
        <v>0</v>
      </c>
      <c r="H215" s="1">
        <v>0</v>
      </c>
      <c r="I215" s="1">
        <v>0</v>
      </c>
      <c r="K215" s="1">
        <v>375</v>
      </c>
      <c r="L215" s="1">
        <v>7.3</v>
      </c>
      <c r="M215" s="1">
        <v>0.7</v>
      </c>
      <c r="N215" s="1">
        <v>0.2</v>
      </c>
      <c r="O215" s="1">
        <v>0</v>
      </c>
      <c r="P215" s="1">
        <v>0</v>
      </c>
      <c r="Q215" s="1">
        <v>0</v>
      </c>
      <c r="R215" s="1">
        <v>725</v>
      </c>
      <c r="S215" s="1">
        <v>2895</v>
      </c>
      <c r="T215" s="1"/>
      <c r="U215" s="1"/>
      <c r="V215" s="1"/>
      <c r="W215" s="1"/>
    </row>
    <row r="216" spans="1:23" x14ac:dyDescent="0.25">
      <c r="A216" s="10">
        <v>400</v>
      </c>
      <c r="B216" s="10">
        <v>714</v>
      </c>
      <c r="C216" s="10">
        <v>2807</v>
      </c>
      <c r="D216" s="10">
        <v>0.2</v>
      </c>
      <c r="E216" s="10">
        <v>0</v>
      </c>
      <c r="F216" s="10">
        <v>0</v>
      </c>
      <c r="G216" s="1">
        <v>0</v>
      </c>
      <c r="H216" s="1">
        <v>0</v>
      </c>
      <c r="I216" s="1">
        <v>0</v>
      </c>
      <c r="K216" s="1">
        <v>400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714</v>
      </c>
      <c r="S216" s="1">
        <v>2811</v>
      </c>
      <c r="T216" s="1"/>
      <c r="U216" s="1"/>
      <c r="V216" s="1"/>
      <c r="W216" s="1"/>
    </row>
    <row r="217" spans="1:23" x14ac:dyDescent="0.25">
      <c r="A217" s="1">
        <v>425</v>
      </c>
      <c r="B217" s="1">
        <v>703</v>
      </c>
      <c r="C217" s="1">
        <v>2723</v>
      </c>
      <c r="D217" s="1">
        <v>-8.9</v>
      </c>
      <c r="E217" s="1">
        <v>0.7</v>
      </c>
      <c r="F217" s="1">
        <v>0.2</v>
      </c>
      <c r="G217" s="1">
        <v>0</v>
      </c>
      <c r="H217" s="1">
        <v>0</v>
      </c>
      <c r="I217" s="1">
        <v>0</v>
      </c>
      <c r="K217" s="1">
        <v>425</v>
      </c>
      <c r="L217" s="1">
        <v>-8.9</v>
      </c>
      <c r="M217" s="1">
        <v>-0.7</v>
      </c>
      <c r="N217" s="1">
        <v>-0.2</v>
      </c>
      <c r="O217" s="1">
        <v>0</v>
      </c>
      <c r="P217" s="1">
        <v>0</v>
      </c>
      <c r="Q217" s="1">
        <v>0</v>
      </c>
      <c r="R217" s="1">
        <v>703</v>
      </c>
      <c r="S217" s="1">
        <v>2724</v>
      </c>
      <c r="T217" s="1"/>
      <c r="U217" s="1"/>
      <c r="V217" s="1"/>
      <c r="W217" s="1"/>
    </row>
    <row r="218" spans="1:23" x14ac:dyDescent="0.25">
      <c r="A218" s="1">
        <v>450</v>
      </c>
      <c r="B218" s="1">
        <v>692</v>
      </c>
      <c r="C218" s="1">
        <v>2641</v>
      </c>
      <c r="D218" s="1">
        <v>-19</v>
      </c>
      <c r="E218" s="1">
        <v>1.5</v>
      </c>
      <c r="F218" s="1">
        <v>0.4</v>
      </c>
      <c r="G218" s="1">
        <v>0</v>
      </c>
      <c r="H218" s="1">
        <v>0</v>
      </c>
      <c r="I218" s="1">
        <v>0</v>
      </c>
      <c r="K218" s="1">
        <v>450</v>
      </c>
      <c r="L218" s="1">
        <v>-18.7</v>
      </c>
      <c r="M218" s="1">
        <v>-1.4</v>
      </c>
      <c r="N218" s="1">
        <v>-0.4</v>
      </c>
      <c r="O218" s="1">
        <v>0</v>
      </c>
      <c r="P218" s="1">
        <v>0</v>
      </c>
      <c r="Q218" s="1">
        <v>0</v>
      </c>
      <c r="R218" s="1">
        <v>693</v>
      </c>
      <c r="S218" s="1">
        <v>2644</v>
      </c>
      <c r="T218" s="1"/>
      <c r="U218" s="1"/>
      <c r="V218" s="1"/>
      <c r="W218" s="1"/>
    </row>
    <row r="219" spans="1:23" x14ac:dyDescent="0.25">
      <c r="A219" s="1">
        <v>475</v>
      </c>
      <c r="B219" s="1">
        <v>682</v>
      </c>
      <c r="C219" s="1">
        <v>2560</v>
      </c>
      <c r="D219" s="1">
        <v>-30.5</v>
      </c>
      <c r="E219" s="1">
        <v>2.2000000000000002</v>
      </c>
      <c r="F219" s="1">
        <v>0.6</v>
      </c>
      <c r="G219" s="1">
        <v>0</v>
      </c>
      <c r="H219" s="1">
        <v>0</v>
      </c>
      <c r="I219" s="1">
        <v>0</v>
      </c>
      <c r="K219" s="1">
        <v>475</v>
      </c>
      <c r="L219" s="1">
        <v>-29.8</v>
      </c>
      <c r="M219" s="1">
        <v>-2.2000000000000002</v>
      </c>
      <c r="N219" s="1">
        <v>-0.6</v>
      </c>
      <c r="O219" s="1">
        <v>0</v>
      </c>
      <c r="P219" s="1">
        <v>0</v>
      </c>
      <c r="Q219" s="1">
        <v>0</v>
      </c>
      <c r="R219" s="1">
        <v>682</v>
      </c>
      <c r="S219" s="1">
        <v>2564</v>
      </c>
      <c r="T219" s="1"/>
      <c r="U219" s="1"/>
      <c r="V219" s="1"/>
      <c r="W219" s="1"/>
    </row>
    <row r="220" spans="1:23" x14ac:dyDescent="0.25">
      <c r="A220" s="1">
        <v>500</v>
      </c>
      <c r="B220" s="1">
        <v>672</v>
      </c>
      <c r="C220" s="1">
        <v>2485</v>
      </c>
      <c r="D220" s="1">
        <v>-43.2</v>
      </c>
      <c r="E220" s="1">
        <v>3</v>
      </c>
      <c r="F220" s="1">
        <v>0.9</v>
      </c>
      <c r="G220" s="1">
        <v>0</v>
      </c>
      <c r="H220" s="1">
        <v>0</v>
      </c>
      <c r="I220" s="1">
        <v>0</v>
      </c>
      <c r="K220" s="1">
        <v>500</v>
      </c>
      <c r="L220" s="1">
        <v>-42.7</v>
      </c>
      <c r="M220" s="1">
        <v>-2.9</v>
      </c>
      <c r="N220" s="1">
        <v>-0.9</v>
      </c>
      <c r="O220" s="1">
        <v>0</v>
      </c>
      <c r="P220" s="1">
        <v>0</v>
      </c>
      <c r="Q220" s="1">
        <v>0</v>
      </c>
      <c r="R220" s="1">
        <v>671</v>
      </c>
      <c r="S220" s="1">
        <v>2484</v>
      </c>
      <c r="T220" s="1"/>
      <c r="U220" s="1"/>
      <c r="V220" s="1"/>
      <c r="W220" s="1"/>
    </row>
    <row r="221" spans="1:23" x14ac:dyDescent="0.25">
      <c r="T221" s="1"/>
      <c r="U221" s="1"/>
      <c r="V221" s="1"/>
      <c r="W221" s="1"/>
    </row>
    <row r="222" spans="1:23" x14ac:dyDescent="0.25">
      <c r="A222" t="s">
        <v>92</v>
      </c>
      <c r="K222" t="s">
        <v>85</v>
      </c>
      <c r="T222" s="1"/>
      <c r="U222" s="1"/>
      <c r="V222" s="1"/>
      <c r="W222" s="1"/>
    </row>
    <row r="223" spans="1:23" x14ac:dyDescent="0.25">
      <c r="A223" t="s">
        <v>11</v>
      </c>
      <c r="B223" t="s">
        <v>12</v>
      </c>
      <c r="C223" t="s">
        <v>13</v>
      </c>
      <c r="D223" t="s">
        <v>14</v>
      </c>
      <c r="E223" t="s">
        <v>15</v>
      </c>
      <c r="F223" t="s">
        <v>16</v>
      </c>
      <c r="G223" t="s">
        <v>29</v>
      </c>
      <c r="H223" t="s">
        <v>30</v>
      </c>
      <c r="I223" t="s">
        <v>31</v>
      </c>
      <c r="K223" t="s">
        <v>11</v>
      </c>
      <c r="L223" t="s">
        <v>12</v>
      </c>
      <c r="M223" t="s">
        <v>13</v>
      </c>
      <c r="N223" t="s">
        <v>14</v>
      </c>
      <c r="O223" t="s">
        <v>15</v>
      </c>
      <c r="P223" t="s">
        <v>16</v>
      </c>
      <c r="Q223" t="s">
        <v>29</v>
      </c>
      <c r="R223" t="s">
        <v>30</v>
      </c>
      <c r="S223" t="s">
        <v>31</v>
      </c>
      <c r="T223" s="1"/>
      <c r="U223" s="1"/>
      <c r="V223" s="1"/>
      <c r="W223" s="1"/>
    </row>
    <row r="224" spans="1:23" x14ac:dyDescent="0.25">
      <c r="A224" s="1">
        <v>0</v>
      </c>
      <c r="B224" s="1">
        <v>899</v>
      </c>
      <c r="C224" s="1">
        <v>4454</v>
      </c>
      <c r="D224" s="1">
        <v>-3.8</v>
      </c>
      <c r="E224" s="1">
        <v>0</v>
      </c>
      <c r="F224" s="1">
        <v>0</v>
      </c>
      <c r="G224" s="1">
        <v>0</v>
      </c>
      <c r="H224" s="1">
        <v>0</v>
      </c>
      <c r="I224" s="1">
        <v>0</v>
      </c>
      <c r="K224" s="1" t="s">
        <v>42</v>
      </c>
      <c r="L224" s="1" t="s">
        <v>34</v>
      </c>
      <c r="M224" s="1" t="s">
        <v>35</v>
      </c>
      <c r="N224" s="1" t="s">
        <v>36</v>
      </c>
      <c r="O224" s="1" t="s">
        <v>37</v>
      </c>
      <c r="P224" s="1" t="s">
        <v>30</v>
      </c>
      <c r="Q224" s="1" t="s">
        <v>38</v>
      </c>
      <c r="R224" s="1" t="s">
        <v>39</v>
      </c>
      <c r="S224" s="1" t="s">
        <v>40</v>
      </c>
      <c r="T224" s="1"/>
      <c r="U224" s="1"/>
      <c r="V224" s="1"/>
      <c r="W224" s="1"/>
    </row>
    <row r="225" spans="1:23" x14ac:dyDescent="0.25">
      <c r="A225" s="1">
        <v>25</v>
      </c>
      <c r="B225" s="1">
        <v>887</v>
      </c>
      <c r="C225" s="1">
        <v>4331</v>
      </c>
      <c r="D225" s="1">
        <v>5.4</v>
      </c>
      <c r="E225" s="1">
        <v>-7.5</v>
      </c>
      <c r="F225" s="1">
        <v>-2.2000000000000002</v>
      </c>
      <c r="G225" s="1">
        <v>0</v>
      </c>
      <c r="H225" s="1">
        <v>0</v>
      </c>
      <c r="I225" s="1">
        <v>0</v>
      </c>
      <c r="K225" s="1">
        <v>0</v>
      </c>
      <c r="L225" s="1">
        <v>-3.8</v>
      </c>
      <c r="M225" s="1" t="s">
        <v>41</v>
      </c>
      <c r="N225" s="1" t="s">
        <v>41</v>
      </c>
      <c r="O225" s="1">
        <v>0</v>
      </c>
      <c r="P225" s="1" t="s">
        <v>41</v>
      </c>
      <c r="Q225" s="1" t="s">
        <v>41</v>
      </c>
      <c r="R225" s="1">
        <v>899</v>
      </c>
      <c r="S225" s="1">
        <v>4454</v>
      </c>
      <c r="T225" s="1"/>
      <c r="U225" s="1"/>
      <c r="V225" s="1"/>
      <c r="W225" s="1"/>
    </row>
    <row r="226" spans="1:23" x14ac:dyDescent="0.25">
      <c r="A226" s="1">
        <v>50</v>
      </c>
      <c r="B226" s="1">
        <v>874</v>
      </c>
      <c r="C226" s="1">
        <v>4213</v>
      </c>
      <c r="D226" s="1">
        <v>14.1</v>
      </c>
      <c r="E226" s="1">
        <v>-9.6</v>
      </c>
      <c r="F226" s="1">
        <v>-2.8</v>
      </c>
      <c r="G226" s="1">
        <v>0</v>
      </c>
      <c r="H226" s="1">
        <v>0</v>
      </c>
      <c r="I226" s="1">
        <v>0</v>
      </c>
      <c r="K226" s="1">
        <v>25</v>
      </c>
      <c r="L226" s="1">
        <v>5.0999999999999996</v>
      </c>
      <c r="M226" s="1">
        <v>7.2</v>
      </c>
      <c r="N226" s="1">
        <v>2.1</v>
      </c>
      <c r="O226" s="1">
        <v>0</v>
      </c>
      <c r="P226" s="1">
        <v>0</v>
      </c>
      <c r="Q226" s="1">
        <v>0</v>
      </c>
      <c r="R226" s="1">
        <v>887</v>
      </c>
      <c r="S226" s="1">
        <v>4333</v>
      </c>
      <c r="T226" s="1"/>
      <c r="U226" s="1"/>
      <c r="V226" s="1"/>
      <c r="W226" s="1"/>
    </row>
    <row r="227" spans="1:23" x14ac:dyDescent="0.25">
      <c r="A227" s="1">
        <v>75</v>
      </c>
      <c r="B227" s="1">
        <v>862</v>
      </c>
      <c r="C227" s="1">
        <v>4096</v>
      </c>
      <c r="D227" s="1">
        <v>21.6</v>
      </c>
      <c r="E227" s="1">
        <v>-9.9</v>
      </c>
      <c r="F227" s="1">
        <v>-2.9</v>
      </c>
      <c r="G227" s="1">
        <v>0</v>
      </c>
      <c r="H227" s="1">
        <v>0</v>
      </c>
      <c r="I227" s="1">
        <v>0</v>
      </c>
      <c r="K227" s="1">
        <v>50</v>
      </c>
      <c r="L227" s="1">
        <v>13.6</v>
      </c>
      <c r="M227" s="1">
        <v>9.3000000000000007</v>
      </c>
      <c r="N227" s="1">
        <v>2.7</v>
      </c>
      <c r="O227" s="1">
        <v>0</v>
      </c>
      <c r="P227" s="1">
        <v>0</v>
      </c>
      <c r="Q227" s="1">
        <v>0</v>
      </c>
      <c r="R227" s="1">
        <v>874</v>
      </c>
      <c r="S227" s="1">
        <v>4213</v>
      </c>
      <c r="T227" s="1"/>
      <c r="U227" s="1"/>
      <c r="V227" s="1"/>
      <c r="W227" s="1"/>
    </row>
    <row r="228" spans="1:23" x14ac:dyDescent="0.25">
      <c r="A228" s="1">
        <v>100</v>
      </c>
      <c r="B228" s="1">
        <v>850</v>
      </c>
      <c r="C228" s="1">
        <v>3983</v>
      </c>
      <c r="D228" s="1">
        <v>28.4</v>
      </c>
      <c r="E228" s="1">
        <v>-9.8000000000000007</v>
      </c>
      <c r="F228" s="1">
        <v>-2.8</v>
      </c>
      <c r="G228" s="1">
        <v>0</v>
      </c>
      <c r="H228" s="1">
        <v>0</v>
      </c>
      <c r="I228" s="1">
        <v>0</v>
      </c>
      <c r="K228" s="1">
        <v>75</v>
      </c>
      <c r="L228" s="1">
        <v>21</v>
      </c>
      <c r="M228" s="1">
        <v>9.6</v>
      </c>
      <c r="N228" s="1">
        <v>2.8</v>
      </c>
      <c r="O228" s="1">
        <v>0</v>
      </c>
      <c r="P228" s="1">
        <v>0</v>
      </c>
      <c r="Q228" s="1">
        <v>0</v>
      </c>
      <c r="R228" s="1">
        <v>863</v>
      </c>
      <c r="S228" s="1">
        <v>4097</v>
      </c>
      <c r="T228" s="1"/>
      <c r="U228" s="1"/>
      <c r="V228" s="1"/>
      <c r="W228" s="1"/>
    </row>
    <row r="229" spans="1:23" x14ac:dyDescent="0.25">
      <c r="A229" s="1">
        <v>125</v>
      </c>
      <c r="B229" s="1">
        <v>838</v>
      </c>
      <c r="C229" s="1">
        <v>3872</v>
      </c>
      <c r="D229" s="1">
        <v>34.5</v>
      </c>
      <c r="E229" s="1">
        <v>-9.4</v>
      </c>
      <c r="F229" s="1">
        <v>-2.7</v>
      </c>
      <c r="G229" s="1">
        <v>0</v>
      </c>
      <c r="H229" s="1">
        <v>0</v>
      </c>
      <c r="I229" s="1">
        <v>0</v>
      </c>
      <c r="K229" s="1">
        <v>100</v>
      </c>
      <c r="L229" s="1">
        <v>27.6</v>
      </c>
      <c r="M229" s="1">
        <v>9.5</v>
      </c>
      <c r="N229" s="1">
        <v>2.8</v>
      </c>
      <c r="O229" s="1">
        <v>0</v>
      </c>
      <c r="P229" s="1">
        <v>0</v>
      </c>
      <c r="Q229" s="1">
        <v>0</v>
      </c>
      <c r="R229" s="1">
        <v>851</v>
      </c>
      <c r="S229" s="1">
        <v>3986</v>
      </c>
      <c r="T229" s="1"/>
      <c r="U229" s="1"/>
      <c r="V229" s="1"/>
      <c r="W229" s="1"/>
    </row>
    <row r="230" spans="1:23" x14ac:dyDescent="0.25">
      <c r="A230" s="1">
        <v>150</v>
      </c>
      <c r="B230" s="1">
        <v>827</v>
      </c>
      <c r="C230" s="1">
        <v>3764</v>
      </c>
      <c r="D230" s="1">
        <v>39.5</v>
      </c>
      <c r="E230" s="1">
        <v>-9</v>
      </c>
      <c r="F230" s="1">
        <v>-2.6</v>
      </c>
      <c r="G230" s="1">
        <v>0</v>
      </c>
      <c r="H230" s="1">
        <v>0</v>
      </c>
      <c r="I230" s="1">
        <v>0</v>
      </c>
      <c r="K230" s="1">
        <v>125</v>
      </c>
      <c r="L230" s="1">
        <v>33.5</v>
      </c>
      <c r="M230" s="1">
        <v>9.1999999999999993</v>
      </c>
      <c r="N230" s="1">
        <v>2.7</v>
      </c>
      <c r="O230" s="1">
        <v>0</v>
      </c>
      <c r="P230" s="1">
        <v>0</v>
      </c>
      <c r="Q230" s="1">
        <v>0</v>
      </c>
      <c r="R230" s="1">
        <v>839</v>
      </c>
      <c r="S230" s="1">
        <v>3872</v>
      </c>
      <c r="T230" s="1"/>
      <c r="U230" s="1"/>
      <c r="V230" s="1"/>
      <c r="W230" s="1"/>
    </row>
    <row r="231" spans="1:23" x14ac:dyDescent="0.25">
      <c r="A231" s="1">
        <v>175</v>
      </c>
      <c r="B231" s="1">
        <v>815</v>
      </c>
      <c r="C231" s="1">
        <v>3658</v>
      </c>
      <c r="D231" s="1">
        <v>43.6</v>
      </c>
      <c r="E231" s="1">
        <v>-8.6</v>
      </c>
      <c r="F231" s="1">
        <v>-2.5</v>
      </c>
      <c r="G231" s="1">
        <v>0</v>
      </c>
      <c r="H231" s="1">
        <v>0</v>
      </c>
      <c r="I231" s="1">
        <v>0</v>
      </c>
      <c r="K231" s="1">
        <v>150</v>
      </c>
      <c r="L231" s="1">
        <v>38.4</v>
      </c>
      <c r="M231" s="1">
        <v>8.8000000000000007</v>
      </c>
      <c r="N231" s="1">
        <v>2.6</v>
      </c>
      <c r="O231" s="1">
        <v>0</v>
      </c>
      <c r="P231" s="1">
        <v>0</v>
      </c>
      <c r="Q231" s="1">
        <v>0</v>
      </c>
      <c r="R231" s="1">
        <v>827</v>
      </c>
      <c r="S231" s="1">
        <v>3765</v>
      </c>
      <c r="T231" s="1"/>
      <c r="U231" s="1"/>
      <c r="V231" s="1"/>
      <c r="W231" s="1"/>
    </row>
    <row r="232" spans="1:23" x14ac:dyDescent="0.25">
      <c r="A232" s="1">
        <v>200</v>
      </c>
      <c r="B232" s="1">
        <v>803</v>
      </c>
      <c r="C232" s="1">
        <v>3555</v>
      </c>
      <c r="D232" s="1">
        <v>46.9</v>
      </c>
      <c r="E232" s="1">
        <v>-8</v>
      </c>
      <c r="F232" s="1">
        <v>-2.2999999999999998</v>
      </c>
      <c r="G232" s="1">
        <v>0</v>
      </c>
      <c r="H232" s="1">
        <v>0</v>
      </c>
      <c r="I232" s="1">
        <v>0</v>
      </c>
      <c r="K232" s="1">
        <v>175</v>
      </c>
      <c r="L232" s="1">
        <v>42.4</v>
      </c>
      <c r="M232" s="1">
        <v>8.3000000000000007</v>
      </c>
      <c r="N232" s="1">
        <v>2.4</v>
      </c>
      <c r="O232" s="1">
        <v>0</v>
      </c>
      <c r="P232" s="1">
        <v>0</v>
      </c>
      <c r="Q232" s="1">
        <v>0</v>
      </c>
      <c r="R232" s="1">
        <v>815</v>
      </c>
      <c r="S232" s="1">
        <v>3661</v>
      </c>
      <c r="T232" s="1"/>
      <c r="U232" s="1"/>
      <c r="V232" s="1"/>
      <c r="W232" s="1"/>
    </row>
    <row r="233" spans="1:23" x14ac:dyDescent="0.25">
      <c r="A233" s="1">
        <v>225</v>
      </c>
      <c r="B233" s="1">
        <v>792</v>
      </c>
      <c r="C233" s="1">
        <v>3453</v>
      </c>
      <c r="D233" s="1">
        <v>49.2</v>
      </c>
      <c r="E233" s="1">
        <v>-7.5</v>
      </c>
      <c r="F233" s="1">
        <v>-2.2000000000000002</v>
      </c>
      <c r="G233" s="1">
        <v>0</v>
      </c>
      <c r="H233" s="1">
        <v>0</v>
      </c>
      <c r="I233" s="1">
        <v>0</v>
      </c>
      <c r="K233" s="1">
        <v>200</v>
      </c>
      <c r="L233" s="1">
        <v>45.5</v>
      </c>
      <c r="M233" s="1">
        <v>7.8</v>
      </c>
      <c r="N233" s="1">
        <v>2.2999999999999998</v>
      </c>
      <c r="O233" s="1">
        <v>0</v>
      </c>
      <c r="P233" s="1">
        <v>0</v>
      </c>
      <c r="Q233" s="1">
        <v>0</v>
      </c>
      <c r="R233" s="1">
        <v>803</v>
      </c>
      <c r="S233" s="1">
        <v>3555</v>
      </c>
      <c r="T233" s="1"/>
      <c r="U233" s="1"/>
      <c r="V233" s="1"/>
      <c r="W233" s="1"/>
    </row>
    <row r="234" spans="1:23" x14ac:dyDescent="0.25">
      <c r="A234" s="1">
        <v>250</v>
      </c>
      <c r="B234" s="1">
        <v>780</v>
      </c>
      <c r="C234" s="1">
        <v>3355</v>
      </c>
      <c r="D234" s="1">
        <v>50.4</v>
      </c>
      <c r="E234" s="1">
        <v>-6.9</v>
      </c>
      <c r="F234" s="1">
        <v>-2</v>
      </c>
      <c r="G234" s="1">
        <v>0</v>
      </c>
      <c r="H234" s="1">
        <v>0</v>
      </c>
      <c r="I234" s="1">
        <v>0</v>
      </c>
      <c r="K234" s="1">
        <v>225</v>
      </c>
      <c r="L234" s="1">
        <v>47.7</v>
      </c>
      <c r="M234" s="1">
        <v>7.3</v>
      </c>
      <c r="N234" s="1">
        <v>2.1</v>
      </c>
      <c r="O234" s="1">
        <v>0</v>
      </c>
      <c r="P234" s="1">
        <v>0</v>
      </c>
      <c r="Q234" s="1">
        <v>0</v>
      </c>
      <c r="R234" s="1">
        <v>792</v>
      </c>
      <c r="S234" s="1">
        <v>3455</v>
      </c>
      <c r="T234" s="1"/>
      <c r="U234" s="1"/>
      <c r="V234" s="1"/>
      <c r="W234" s="1"/>
    </row>
    <row r="235" spans="1:23" x14ac:dyDescent="0.25">
      <c r="A235" s="1">
        <v>275</v>
      </c>
      <c r="B235" s="1">
        <v>769</v>
      </c>
      <c r="C235" s="1">
        <v>3258</v>
      </c>
      <c r="D235" s="1">
        <v>50.6</v>
      </c>
      <c r="E235" s="1">
        <v>-6.3</v>
      </c>
      <c r="F235" s="1">
        <v>-1.8</v>
      </c>
      <c r="G235" s="1">
        <v>0</v>
      </c>
      <c r="H235" s="1">
        <v>0</v>
      </c>
      <c r="I235" s="1">
        <v>0</v>
      </c>
      <c r="K235" s="1">
        <v>250</v>
      </c>
      <c r="L235" s="1">
        <v>48.8</v>
      </c>
      <c r="M235" s="1">
        <v>6.7</v>
      </c>
      <c r="N235" s="1">
        <v>2</v>
      </c>
      <c r="O235" s="1">
        <v>0</v>
      </c>
      <c r="P235" s="1">
        <v>0</v>
      </c>
      <c r="Q235" s="1">
        <v>0</v>
      </c>
      <c r="R235" s="1">
        <v>781</v>
      </c>
      <c r="S235" s="1">
        <v>3357</v>
      </c>
      <c r="T235" s="1"/>
      <c r="U235" s="1"/>
      <c r="V235" s="1"/>
      <c r="W235" s="1"/>
    </row>
    <row r="236" spans="1:23" x14ac:dyDescent="0.25">
      <c r="A236" s="1">
        <v>300</v>
      </c>
      <c r="B236" s="1">
        <v>758</v>
      </c>
      <c r="C236" s="1">
        <v>3164</v>
      </c>
      <c r="D236" s="1">
        <v>49.8</v>
      </c>
      <c r="E236" s="1">
        <v>-5.7</v>
      </c>
      <c r="F236" s="1">
        <v>-1.7</v>
      </c>
      <c r="G236" s="1">
        <v>0</v>
      </c>
      <c r="H236" s="1">
        <v>0</v>
      </c>
      <c r="I236" s="1">
        <v>0</v>
      </c>
      <c r="K236" s="1">
        <v>275</v>
      </c>
      <c r="L236" s="1">
        <v>49.1</v>
      </c>
      <c r="M236" s="1">
        <v>6.1</v>
      </c>
      <c r="N236" s="1">
        <v>1.8</v>
      </c>
      <c r="O236" s="1">
        <v>0</v>
      </c>
      <c r="P236" s="1">
        <v>0</v>
      </c>
      <c r="Q236" s="1">
        <v>0</v>
      </c>
      <c r="R236" s="1">
        <v>769</v>
      </c>
      <c r="S236" s="1">
        <v>3259</v>
      </c>
      <c r="T236" s="1"/>
      <c r="U236" s="1"/>
      <c r="V236" s="1"/>
      <c r="W236" s="1"/>
    </row>
    <row r="237" spans="1:23" x14ac:dyDescent="0.25">
      <c r="A237" s="1">
        <v>325</v>
      </c>
      <c r="B237" s="1">
        <v>747</v>
      </c>
      <c r="C237" s="1">
        <v>3071</v>
      </c>
      <c r="D237" s="1">
        <v>47.9</v>
      </c>
      <c r="E237" s="1">
        <v>-5.0999999999999996</v>
      </c>
      <c r="F237" s="1">
        <v>-1.5</v>
      </c>
      <c r="G237" s="1">
        <v>0</v>
      </c>
      <c r="H237" s="1">
        <v>0</v>
      </c>
      <c r="I237" s="1">
        <v>0</v>
      </c>
      <c r="K237" s="1">
        <v>300</v>
      </c>
      <c r="L237" s="1">
        <v>48.2</v>
      </c>
      <c r="M237" s="1">
        <v>5.5</v>
      </c>
      <c r="N237" s="1">
        <v>1.6</v>
      </c>
      <c r="O237" s="1">
        <v>0</v>
      </c>
      <c r="P237" s="1">
        <v>0</v>
      </c>
      <c r="Q237" s="1">
        <v>0</v>
      </c>
      <c r="R237" s="1">
        <v>758</v>
      </c>
      <c r="S237" s="1">
        <v>3166</v>
      </c>
      <c r="T237" s="1"/>
      <c r="U237" s="1"/>
      <c r="V237" s="1"/>
      <c r="W237" s="1"/>
    </row>
    <row r="238" spans="1:23" x14ac:dyDescent="0.25">
      <c r="A238" s="1">
        <v>350</v>
      </c>
      <c r="B238" s="1">
        <v>736</v>
      </c>
      <c r="C238" s="1">
        <v>2981</v>
      </c>
      <c r="D238" s="1">
        <v>44.7</v>
      </c>
      <c r="E238" s="1">
        <v>-4.4000000000000004</v>
      </c>
      <c r="F238" s="1">
        <v>-1.3</v>
      </c>
      <c r="G238" s="1">
        <v>0</v>
      </c>
      <c r="H238" s="1">
        <v>0</v>
      </c>
      <c r="I238" s="1">
        <v>0</v>
      </c>
      <c r="K238" s="1">
        <v>325</v>
      </c>
      <c r="L238" s="1">
        <v>46.4</v>
      </c>
      <c r="M238" s="1">
        <v>4.9000000000000004</v>
      </c>
      <c r="N238" s="1">
        <v>1.4</v>
      </c>
      <c r="O238" s="1">
        <v>0</v>
      </c>
      <c r="P238" s="1">
        <v>0</v>
      </c>
      <c r="Q238" s="1">
        <v>0</v>
      </c>
      <c r="R238" s="1">
        <v>747</v>
      </c>
      <c r="S238" s="1">
        <v>3075</v>
      </c>
    </row>
    <row r="239" spans="1:23" x14ac:dyDescent="0.25">
      <c r="A239" s="1">
        <v>375</v>
      </c>
      <c r="B239" s="1">
        <v>725</v>
      </c>
      <c r="C239" s="1">
        <v>2893</v>
      </c>
      <c r="D239" s="1">
        <v>40.5</v>
      </c>
      <c r="E239" s="1">
        <v>-3.7</v>
      </c>
      <c r="F239" s="1">
        <v>-1.1000000000000001</v>
      </c>
      <c r="G239" s="1">
        <v>0</v>
      </c>
      <c r="H239" s="1">
        <v>0</v>
      </c>
      <c r="I239" s="1">
        <v>0</v>
      </c>
      <c r="K239" s="1">
        <v>350</v>
      </c>
      <c r="L239" s="1">
        <v>43.4</v>
      </c>
      <c r="M239" s="1">
        <v>4.3</v>
      </c>
      <c r="N239" s="1">
        <v>1.2</v>
      </c>
      <c r="O239" s="1">
        <v>0</v>
      </c>
      <c r="P239" s="1">
        <v>0</v>
      </c>
      <c r="Q239" s="1">
        <v>0</v>
      </c>
      <c r="R239" s="1">
        <v>736</v>
      </c>
      <c r="S239" s="1">
        <v>2981</v>
      </c>
    </row>
    <row r="240" spans="1:23" x14ac:dyDescent="0.25">
      <c r="A240" s="1">
        <v>400</v>
      </c>
      <c r="B240" s="1">
        <v>714</v>
      </c>
      <c r="C240" s="1">
        <v>2807</v>
      </c>
      <c r="D240" s="1">
        <v>35.1</v>
      </c>
      <c r="E240" s="1">
        <v>-3</v>
      </c>
      <c r="F240" s="1">
        <v>-0.9</v>
      </c>
      <c r="G240" s="1">
        <v>0</v>
      </c>
      <c r="H240" s="1">
        <v>0</v>
      </c>
      <c r="I240" s="1">
        <v>0</v>
      </c>
      <c r="K240" s="1">
        <v>375</v>
      </c>
      <c r="L240" s="1">
        <v>39.4</v>
      </c>
      <c r="M240" s="1">
        <v>3.6</v>
      </c>
      <c r="N240" s="1">
        <v>1.1000000000000001</v>
      </c>
      <c r="O240" s="1">
        <v>0</v>
      </c>
      <c r="P240" s="1">
        <v>0</v>
      </c>
      <c r="Q240" s="1">
        <v>0</v>
      </c>
      <c r="R240" s="1">
        <v>725</v>
      </c>
      <c r="S240" s="1">
        <v>2895</v>
      </c>
    </row>
    <row r="241" spans="1:19" x14ac:dyDescent="0.25">
      <c r="A241" s="1">
        <v>425</v>
      </c>
      <c r="B241" s="1">
        <v>703</v>
      </c>
      <c r="C241" s="1">
        <v>2723</v>
      </c>
      <c r="D241" s="1">
        <v>28.2</v>
      </c>
      <c r="E241" s="1">
        <v>-2.2999999999999998</v>
      </c>
      <c r="F241" s="1">
        <v>-0.7</v>
      </c>
      <c r="G241" s="1">
        <v>0</v>
      </c>
      <c r="H241" s="1">
        <v>0</v>
      </c>
      <c r="I241" s="1">
        <v>0</v>
      </c>
      <c r="K241" s="1">
        <v>400</v>
      </c>
      <c r="L241" s="1">
        <v>34.1</v>
      </c>
      <c r="M241" s="1">
        <v>2.9</v>
      </c>
      <c r="N241" s="1">
        <v>0.9</v>
      </c>
      <c r="O241" s="1">
        <v>0</v>
      </c>
      <c r="P241" s="1">
        <v>0</v>
      </c>
      <c r="Q241" s="1">
        <v>0</v>
      </c>
      <c r="R241" s="1">
        <v>714</v>
      </c>
      <c r="S241" s="1">
        <v>2811</v>
      </c>
    </row>
    <row r="242" spans="1:19" x14ac:dyDescent="0.25">
      <c r="A242" s="1">
        <v>450</v>
      </c>
      <c r="B242" s="1">
        <v>692</v>
      </c>
      <c r="C242" s="1">
        <v>2641</v>
      </c>
      <c r="D242" s="1">
        <v>20.2</v>
      </c>
      <c r="E242" s="1">
        <v>-1.5</v>
      </c>
      <c r="F242" s="1">
        <v>-0.4</v>
      </c>
      <c r="G242" s="1">
        <v>0</v>
      </c>
      <c r="H242" s="1">
        <v>0</v>
      </c>
      <c r="I242" s="1">
        <v>0</v>
      </c>
      <c r="K242" s="1">
        <v>425</v>
      </c>
      <c r="L242" s="1">
        <v>27.4</v>
      </c>
      <c r="M242" s="1">
        <v>2.2000000000000002</v>
      </c>
      <c r="N242" s="1">
        <v>0.6</v>
      </c>
      <c r="O242" s="1">
        <v>0</v>
      </c>
      <c r="P242" s="1">
        <v>0</v>
      </c>
      <c r="Q242" s="1">
        <v>0</v>
      </c>
      <c r="R242" s="1">
        <v>703</v>
      </c>
      <c r="S242" s="1">
        <v>2724</v>
      </c>
    </row>
    <row r="243" spans="1:19" x14ac:dyDescent="0.25">
      <c r="A243" s="1">
        <v>475</v>
      </c>
      <c r="B243" s="1">
        <v>682</v>
      </c>
      <c r="C243" s="1">
        <v>2560</v>
      </c>
      <c r="D243" s="1">
        <v>11</v>
      </c>
      <c r="E243" s="1">
        <v>-0.8</v>
      </c>
      <c r="F243" s="1">
        <v>-0.2</v>
      </c>
      <c r="G243" s="1">
        <v>0</v>
      </c>
      <c r="H243" s="1">
        <v>0</v>
      </c>
      <c r="I243" s="1">
        <v>0</v>
      </c>
      <c r="K243" s="1">
        <v>450</v>
      </c>
      <c r="L243" s="1">
        <v>19.7</v>
      </c>
      <c r="M243" s="1">
        <v>1.5</v>
      </c>
      <c r="N243" s="1">
        <v>0.4</v>
      </c>
      <c r="O243" s="1">
        <v>0</v>
      </c>
      <c r="P243" s="1">
        <v>0</v>
      </c>
      <c r="Q243" s="1">
        <v>0</v>
      </c>
      <c r="R243" s="1">
        <v>693</v>
      </c>
      <c r="S243" s="1">
        <v>2644</v>
      </c>
    </row>
    <row r="244" spans="1:19" x14ac:dyDescent="0.25">
      <c r="A244" s="1">
        <v>500</v>
      </c>
      <c r="B244" s="1">
        <v>672</v>
      </c>
      <c r="C244" s="1">
        <v>2485</v>
      </c>
      <c r="D244" s="1">
        <v>0.3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K244" s="1">
        <v>475</v>
      </c>
      <c r="L244" s="1">
        <v>10.7</v>
      </c>
      <c r="M244" s="1">
        <v>0.8</v>
      </c>
      <c r="N244" s="1">
        <v>0.2</v>
      </c>
      <c r="O244" s="1">
        <v>0</v>
      </c>
      <c r="P244" s="1">
        <v>0</v>
      </c>
      <c r="Q244" s="1">
        <v>0</v>
      </c>
      <c r="R244" s="1">
        <v>682</v>
      </c>
      <c r="S244" s="1">
        <v>2564</v>
      </c>
    </row>
    <row r="245" spans="1:19" x14ac:dyDescent="0.25">
      <c r="A245" s="1"/>
      <c r="B245" s="1"/>
      <c r="C245" s="1"/>
      <c r="D245" s="1"/>
      <c r="E245" s="1"/>
      <c r="F245" s="1"/>
      <c r="K245" s="1">
        <v>500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671</v>
      </c>
      <c r="S245" s="1">
        <v>2484</v>
      </c>
    </row>
    <row r="246" spans="1:19" x14ac:dyDescent="0.25">
      <c r="A246" s="1"/>
      <c r="B246" s="1"/>
      <c r="C246" s="1"/>
      <c r="D246" s="1"/>
      <c r="E246" s="1"/>
      <c r="F246" s="1"/>
      <c r="O246" s="1"/>
      <c r="P246" s="1"/>
      <c r="Q246" s="1"/>
    </row>
    <row r="248" spans="1:19" ht="30" x14ac:dyDescent="0.25">
      <c r="A248" s="22" t="s">
        <v>43</v>
      </c>
      <c r="B248" s="23" t="s">
        <v>5</v>
      </c>
      <c r="C248" s="23" t="s">
        <v>6</v>
      </c>
      <c r="D248" s="23" t="s">
        <v>7</v>
      </c>
      <c r="E248" s="23" t="s">
        <v>8</v>
      </c>
      <c r="F248" s="23" t="s">
        <v>9</v>
      </c>
      <c r="G248" s="23" t="s">
        <v>27</v>
      </c>
      <c r="H248" s="23" t="s">
        <v>28</v>
      </c>
      <c r="I248" s="24" t="s">
        <v>44</v>
      </c>
      <c r="J248" s="24" t="s">
        <v>52</v>
      </c>
    </row>
    <row r="249" spans="1:19" x14ac:dyDescent="0.25">
      <c r="A249" t="s">
        <v>45</v>
      </c>
      <c r="B249" s="19" cm="1">
        <f t="array" ref="B249">INDEX(LINEST(J$22:J$35,$A$22:$A$35^{1,2,3}), 1,4)</f>
        <v>-4.8358376095455995</v>
      </c>
      <c r="C249" s="19" cm="1">
        <f t="array" ref="C249">INDEX(LINEST(K$22:K$35,$A$22:$A$35^{1,2,3}), 1,4)</f>
        <v>-4.7404204471921787</v>
      </c>
      <c r="D249" s="20" cm="1">
        <f t="array" ref="D249">INDEX(LINEST(L$22:L$35,$A$22:$A$35^{1,2,3}), 1,4)</f>
        <v>-5.0101240078161933</v>
      </c>
      <c r="E249" s="20" cm="1">
        <f t="array" ref="E249">INDEX(LINEST(M$22:M$35,$A$22:$A$35^{1,2,3}), 1,4)</f>
        <v>-4.7640467046342607</v>
      </c>
      <c r="F249" s="20" cm="1">
        <f t="array" ref="F249">INDEX(LINEST(N$22:N$35,$A$22:$A$35^{1,2,3}), 1,4)</f>
        <v>-4.7633684739508642</v>
      </c>
      <c r="G249" s="20" cm="1">
        <f t="array" ref="G249">INDEX(LINEST(O$22:O$35,$A$22:$A$35^{1,2,3}), 1,4)</f>
        <v>-4.7134283768402572</v>
      </c>
      <c r="H249" s="20" cm="1">
        <f t="array" ref="H249">INDEX(LINEST(P$22:P$35,$A$22:$A$35^{1,2,3}), 1,4)</f>
        <v>-4.6323202579553424</v>
      </c>
      <c r="I249" s="20" cm="1">
        <f t="array" ref="I249">INDEX(LINEST(B$22:B$35,$A$22:$A$35^{1,2,3}), 1,4)</f>
        <v>4462.3756230124836</v>
      </c>
      <c r="J249" s="20" cm="1">
        <f t="array" ref="J249">INDEX(LINEST($C$80:$C$100,$A$80:$A$100^{1,2,3}), 1,4)</f>
        <v>4452.8791643139475</v>
      </c>
    </row>
    <row r="250" spans="1:19" x14ac:dyDescent="0.25">
      <c r="A250" t="s">
        <v>46</v>
      </c>
      <c r="B250" s="20" cm="1">
        <f t="array" ref="B250">INDEX(LINEST(J$22:J$35,$A$22:$A$35^{1,2,3}), 1,3)</f>
        <v>0.12404107256268747</v>
      </c>
      <c r="C250" s="19" cm="1">
        <f t="array" ref="C250">INDEX(LINEST(K$22:K$35,$A$22:$A$35^{1,2,3}), 1,3)</f>
        <v>8.8029381133517812E-2</v>
      </c>
      <c r="D250" s="20" cm="1">
        <f t="array" ref="D250">INDEX(LINEST(L$22:L$35,$A$22:$A$35^{1,2,3}), 1,3)</f>
        <v>0.12092075112421032</v>
      </c>
      <c r="E250" s="20" cm="1">
        <f t="array" ref="E250">INDEX(LINEST(M$22:M$35,$A$22:$A$35^{1,2,3}), 1,3)</f>
        <v>0.1321536985646371</v>
      </c>
      <c r="F250" s="20" cm="1">
        <f t="array" ref="F250">INDEX(LINEST(N$22:N$35,$A$22:$A$35^{1,2,3}), 1,3)</f>
        <v>0.19980917784917598</v>
      </c>
      <c r="G250" s="20" cm="1">
        <f t="array" ref="G250">INDEX(LINEST(O$22:O$35,$A$22:$A$35^{1,2,3}), 1,3)</f>
        <v>0.25690708804681067</v>
      </c>
      <c r="H250" s="20" cm="1">
        <f t="array" ref="H250">INDEX(LINEST(P$22:P$35,$A$22:$A$35^{1,2,3}), 1,3)</f>
        <v>0.3518385777940824</v>
      </c>
      <c r="I250" s="20" cm="1">
        <f t="array" ref="I250">INDEX(LINEST(B$22:B$35,$A$22:$A$35^{1,2,3}), 1,3)</f>
        <v>-4.7146679600772883</v>
      </c>
      <c r="J250" s="20" cm="1">
        <f t="array" ref="J250">INDEX(LINEST($C$80:$C$100,$A$80:$A$100^{1,2,3}), 1,3)</f>
        <v>-4.9061773670011757</v>
      </c>
    </row>
    <row r="251" spans="1:19" x14ac:dyDescent="0.25">
      <c r="A251" t="s">
        <v>47</v>
      </c>
      <c r="B251" s="20" cm="1">
        <f t="array" ref="B251">INDEX(LINEST(J$22:J$35,$A$22:$A$35^{1,2,3}), 1,2)</f>
        <v>-3.0753203189030329E-4</v>
      </c>
      <c r="C251" s="20" cm="1">
        <f t="array" ref="C251">INDEX(LINEST(K$22:K$35,$A$22:$A$35^{1,2,3}), 1,2)</f>
        <v>-3.6757861448484058E-4</v>
      </c>
      <c r="D251" s="20" cm="1">
        <f t="array" ref="D251">INDEX(LINEST(L$22:L$35,$A$22:$A$35^{1,2,3}), 1,2)</f>
        <v>-5.5884740814192738E-4</v>
      </c>
      <c r="E251" s="20" cm="1">
        <f t="array" ref="E251">INDEX(LINEST(M$22:M$35,$A$22:$A$35^{1,2,3}), 1,2)</f>
        <v>-3.8854640476798468E-4</v>
      </c>
      <c r="F251" s="20" cm="1">
        <f t="array" ref="F251">INDEX(LINEST(N$22:N$35,$A$22:$A$35^{1,2,3}), 1,2)</f>
        <v>-4.7038452307516436E-4</v>
      </c>
      <c r="G251" s="20" cm="1">
        <f t="array" ref="G251">INDEX(LINEST(O$22:O$35,$A$22:$A$35^{1,2,3}), 1,2)</f>
        <v>-4.4433970054521372E-4</v>
      </c>
      <c r="H251" s="20" cm="1">
        <f t="array" ref="H251">INDEX(LINEST(P$22:P$35,$A$22:$A$35^{1,2,3}), 1,2)</f>
        <v>-3.4859855403338187E-4</v>
      </c>
      <c r="I251" s="20" cm="1">
        <f t="array" ref="I251">INDEX(LINEST(B$22:B$35,$A$22:$A$35^{1,2,3}), 1,2)</f>
        <v>1.4115937721552224E-3</v>
      </c>
      <c r="J251" s="20" cm="1">
        <f t="array" ref="J251">INDEX(LINEST($C$80:$C$100,$A$80:$A$100^{1,2,3}), 1,2)</f>
        <v>2.1624575272172868E-3</v>
      </c>
    </row>
    <row r="252" spans="1:19" x14ac:dyDescent="0.25">
      <c r="A252" t="s">
        <v>48</v>
      </c>
      <c r="B252" s="19" cm="1">
        <f t="array" ref="B252">INDEX(LINEST(J$22:J$35,$A$22:$A$35^{1,2,3}), 1)</f>
        <v>-1.1090285632223799E-6</v>
      </c>
      <c r="C252" s="19" cm="1">
        <f t="array" ref="C252">INDEX(LINEST(K$22:K$35,$A$22:$A$35^{1,2,3}), 1)</f>
        <v>-7.354121664388111E-7</v>
      </c>
      <c r="D252" s="20" cm="1">
        <f t="array" ref="D252">INDEX(LINEST(L$22:L$35,$A$22:$A$35^{1,2,3}), 1)</f>
        <v>-3.1752326597301151E-7</v>
      </c>
      <c r="E252" s="20" cm="1">
        <f t="array" ref="E252">INDEX(LINEST(M$22:M$35,$A$22:$A$35^{1,2,3}), 1)</f>
        <v>-6.5441292938522448E-7</v>
      </c>
      <c r="F252" s="20" cm="1">
        <f t="array" ref="F252">INDEX(LINEST(N$22:N$35,$A$22:$A$35^{1,2,3}), 1)</f>
        <v>-4.9086151730937221E-7</v>
      </c>
      <c r="G252" s="20" cm="1">
        <f t="array" ref="G252">INDEX(LINEST(O$22:O$35,$A$22:$A$35^{1,2,3}), 1)</f>
        <v>-4.2164133858523941E-7</v>
      </c>
      <c r="H252" s="20" cm="1">
        <f t="array" ref="H252">INDEX(LINEST(P$22:P$35,$A$22:$A$35^{1,2,3}), 1)</f>
        <v>-6.8932795718397333E-7</v>
      </c>
      <c r="I252" s="20" cm="1">
        <f t="array" ref="I252">INDEX(LINEST(B$22:B$35,$A$22:$A$35^{1,2,3}), 1)</f>
        <v>3.5094705924330092E-7</v>
      </c>
      <c r="J252" s="20" cm="1">
        <f t="array" ref="J252">INDEX(LINEST($C$80:$C$100,$A$80:$A$100^{1,2,3}), 1)</f>
        <v>-4.5415250907245167E-7</v>
      </c>
    </row>
    <row r="253" spans="1:19" x14ac:dyDescent="0.25">
      <c r="A253" t="s">
        <v>49</v>
      </c>
      <c r="B253" s="19"/>
      <c r="C253" s="19"/>
      <c r="D253" s="20"/>
      <c r="E253" s="20"/>
      <c r="F253" s="20"/>
      <c r="G253" s="20"/>
      <c r="H253" s="20"/>
      <c r="I253" s="20"/>
    </row>
    <row r="254" spans="1:19" x14ac:dyDescent="0.25">
      <c r="A254" t="s">
        <v>50</v>
      </c>
      <c r="B254" s="19"/>
      <c r="C254" s="19"/>
      <c r="D254" s="20"/>
      <c r="E254" s="20"/>
      <c r="F254" s="20"/>
      <c r="G254" s="20"/>
      <c r="H254" s="20"/>
      <c r="I254" s="20"/>
    </row>
    <row r="255" spans="1:19" x14ac:dyDescent="0.25">
      <c r="A255" t="s">
        <v>51</v>
      </c>
      <c r="B255" s="19"/>
      <c r="C255" s="19"/>
      <c r="D255" s="20"/>
      <c r="E255" s="20"/>
      <c r="F255" s="20"/>
      <c r="G255" s="20"/>
      <c r="H255" s="20"/>
      <c r="I255" s="20"/>
    </row>
    <row r="256" spans="1:19" x14ac:dyDescent="0.25">
      <c r="B256" s="19"/>
      <c r="C256" s="19"/>
      <c r="D256" s="19"/>
      <c r="E256" s="19"/>
      <c r="F256" s="19"/>
      <c r="G256" s="19"/>
      <c r="H256" s="19"/>
      <c r="I256" s="19"/>
    </row>
    <row r="257" spans="1:10" x14ac:dyDescent="0.25">
      <c r="A257" s="25"/>
      <c r="B257" s="52"/>
      <c r="C257" s="52"/>
      <c r="D257" s="52"/>
      <c r="E257" s="52"/>
      <c r="F257" s="52"/>
      <c r="G257" s="52"/>
      <c r="H257" s="52"/>
    </row>
    <row r="258" spans="1:10" x14ac:dyDescent="0.25">
      <c r="A258" s="26" t="s">
        <v>3</v>
      </c>
      <c r="B258" s="50" t="s">
        <v>53</v>
      </c>
      <c r="C258" s="50"/>
      <c r="D258" s="50"/>
      <c r="E258" s="50"/>
      <c r="F258" s="50"/>
      <c r="G258" s="50"/>
      <c r="H258" s="50"/>
      <c r="I258" s="50" t="s">
        <v>54</v>
      </c>
      <c r="J258" s="50"/>
    </row>
    <row r="259" spans="1:10" x14ac:dyDescent="0.25">
      <c r="A259" s="1">
        <v>0</v>
      </c>
      <c r="B259" s="2" cm="1">
        <f t="array" ref="B259">TrajectoryToComeUp(B$249:B$252,$A259)</f>
        <v>0</v>
      </c>
      <c r="C259" s="2" cm="1">
        <f t="array" ref="C259">TrajectoryToComeUp(C$249:C$252,$A259)</f>
        <v>0</v>
      </c>
      <c r="D259" s="2" cm="1">
        <f t="array" ref="D259">TrajectoryToComeUp(D$249:D$252,$A259)</f>
        <v>0</v>
      </c>
      <c r="E259" s="2" cm="1">
        <f t="array" ref="E259">TrajectoryToComeUp(E$249:E$252,$A259)</f>
        <v>0</v>
      </c>
      <c r="F259" s="2" cm="1">
        <f t="array" ref="F259">TrajectoryToComeUp(F$249:F$252,$A259)</f>
        <v>0</v>
      </c>
      <c r="G259" s="2" cm="1">
        <f t="array" ref="G259">TrajectoryToComeUp(G$249:G$252,$A259)</f>
        <v>0</v>
      </c>
      <c r="H259" s="2" cm="1">
        <f t="array" ref="H259">TrajectoryToComeUp(H$249:H$252,$A259)</f>
        <v>0</v>
      </c>
      <c r="I259" s="2" cm="1">
        <f t="array" ref="I259">EvaluatePolynomial(I$249:I$252,$A259)</f>
        <v>4462.3756230124836</v>
      </c>
      <c r="J259" s="2" cm="1">
        <f t="array" ref="J259">EvaluatePolynomial(J$249:J$252,$A259)</f>
        <v>4452.8791643139475</v>
      </c>
    </row>
    <row r="260" spans="1:10" x14ac:dyDescent="0.25">
      <c r="A260" s="1">
        <v>25</v>
      </c>
      <c r="B260" s="2" cm="1">
        <f t="array" ref="B260">TrajectoryToComeUp(B$249:B$252,$A260)</f>
        <v>0.77773875468408082</v>
      </c>
      <c r="C260" s="2" cm="1">
        <f t="array" ref="C260">TrajectoryToComeUp(C$249:C$252,$A260)</f>
        <v>1.1123653472031461</v>
      </c>
      <c r="D260" s="21" cm="1">
        <f t="array" ref="D260">TrajectoryToComeUp(D$249:D$252,$A260)</f>
        <v>0.93653846433218724</v>
      </c>
      <c r="E260" s="21" cm="1">
        <f t="array" ref="E260">TrajectoryToComeUp(E$249:E$252,$A260)</f>
        <v>0.68530837820798707</v>
      </c>
      <c r="F260" s="21" cm="1">
        <f t="array" ref="F260">TrajectoryToComeUp(F$249:F$252,$A260)</f>
        <v>2.7919626340560555E-2</v>
      </c>
      <c r="G260" s="21" cm="1">
        <f t="array" ref="G260">TrajectoryToComeUp(G$249:G$252,$A260)</f>
        <v>-0.5699793462295426</v>
      </c>
      <c r="H260" s="21" cm="1">
        <f t="array" ref="H260">TrajectoryToComeUp(H$249:H$252,$A260)</f>
        <v>-1.5739997365179417</v>
      </c>
      <c r="I260" s="2" cm="1">
        <f t="array" ref="I260">EvaluatePolynomial(I$249:I$252,$A260)</f>
        <v>4345.3966536659491</v>
      </c>
      <c r="J260" s="2" cm="1">
        <f t="array" ref="J260">EvaluatePolynomial(J$249:J$252,$A260)</f>
        <v>4331.5691699604749</v>
      </c>
    </row>
    <row r="261" spans="1:10" x14ac:dyDescent="0.25">
      <c r="A261" s="1">
        <v>50</v>
      </c>
      <c r="B261" s="2" cm="1">
        <f t="array" ref="B261">TrajectoryToComeUp(B$249:B$252,$A261)</f>
        <v>-9.1751473692043631E-2</v>
      </c>
      <c r="C261" s="2" cm="1">
        <f t="array" ref="C261">TrajectoryToComeUp(C$249:C$252,$A261)</f>
        <v>0.26996488950664815</v>
      </c>
      <c r="D261" s="21" cm="1">
        <f t="array" ref="D261">TrajectoryToComeUp(D$249:D$252,$A261)</f>
        <v>8.0179076041424477E-2</v>
      </c>
      <c r="E261" s="21" cm="1">
        <f t="array" ref="E261">TrajectoryToComeUp(E$249:E$252,$A261)</f>
        <v>-0.15809411910089585</v>
      </c>
      <c r="F261" s="21" cm="1">
        <f t="array" ref="F261">TrajectoryToComeUp(F$249:F$252,$A261)</f>
        <v>-0.79795428423127046</v>
      </c>
      <c r="G261" s="21" cm="1">
        <f t="array" ref="G261">TrajectoryToComeUp(G$249:G$252,$A261)</f>
        <v>-1.3936743213628171</v>
      </c>
      <c r="H261" s="21" cm="1">
        <f t="array" ref="H261">TrajectoryToComeUp(H$249:H$252,$A261)</f>
        <v>-2.4003892504034647</v>
      </c>
      <c r="I261" s="2" cm="1">
        <f t="array" ref="I261">EvaluatePolynomial(I$249:I$252,$A261)</f>
        <v>4230.2150778214127</v>
      </c>
      <c r="J261" s="2" cm="1">
        <f t="array" ref="J261">EvaluatePolynomial(J$249:J$252,$A261)</f>
        <v>4212.9196707182982</v>
      </c>
    </row>
    <row r="262" spans="1:10" x14ac:dyDescent="0.25">
      <c r="A262" s="1">
        <v>75</v>
      </c>
      <c r="B262" s="2" cm="1">
        <f t="array" ref="B262">TrajectoryToComeUp(B$249:B$252,$A262)</f>
        <v>-0.30260049708847503</v>
      </c>
      <c r="C262" s="2" cm="1">
        <f t="array" ref="C262">TrajectoryToComeUp(C$249:C$252,$A262)</f>
        <v>6.8813143516259306E-2</v>
      </c>
      <c r="D262" s="21" cm="1">
        <f t="array" ref="D262">TrajectoryToComeUp(D$249:D$252,$A262)</f>
        <v>-0.10419473704918324</v>
      </c>
      <c r="E262" s="21" cm="1">
        <f t="array" ref="E262">TrajectoryToComeUp(E$249:E$252,$A262)</f>
        <v>-0.35811022750789556</v>
      </c>
      <c r="F262" s="21" cm="1">
        <f t="array" ref="F262">TrajectoryToComeUp(F$249:F$252,$A262)</f>
        <v>-0.98257662930995227</v>
      </c>
      <c r="G262" s="21" cm="1">
        <f t="array" ref="G262">TrajectoryToComeUp(G$249:G$252,$A262)</f>
        <v>-1.5836416628517425</v>
      </c>
      <c r="H262" s="21" cm="1">
        <f t="array" ref="H262">TrajectoryToComeUp(H$249:H$252,$A262)</f>
        <v>-2.6005194637634768</v>
      </c>
      <c r="I262" s="2" cm="1">
        <f t="array" ref="I262">EvaluatePolynomial(I$249:I$252,$A262)</f>
        <v>4116.8637967656787</v>
      </c>
      <c r="J262" s="2" cm="1">
        <f t="array" ref="J262">EvaluatePolynomial(J$249:J$252,$A262)</f>
        <v>4096.8880897896915</v>
      </c>
    </row>
    <row r="263" spans="1:10" x14ac:dyDescent="0.25">
      <c r="A263" s="1">
        <v>100</v>
      </c>
      <c r="B263" s="2" cm="1">
        <f t="array" ref="B263">TrajectoryToComeUp(B$249:B$252,$A263)</f>
        <v>-0.33839207645977359</v>
      </c>
      <c r="C263" s="2" cm="1">
        <f t="array" ref="C263">TrajectoryToComeUp(C$249:C$252,$A263)</f>
        <v>3.4868064512761449E-2</v>
      </c>
      <c r="D263" s="21" cm="1">
        <f t="array" ref="D263">TrajectoryToComeUp(D$249:D$252,$A263)</f>
        <v>-0.11759537572125522</v>
      </c>
      <c r="E263" s="21" cm="1">
        <f t="array" ref="E263">TrajectoryToComeUp(E$249:E$252,$A263)</f>
        <v>-0.39114461747643775</v>
      </c>
      <c r="F263" s="21" cm="1">
        <f t="array" ref="F263">TrajectoryToComeUp(F$249:F$252,$A263)</f>
        <v>-1.0022842562905718</v>
      </c>
      <c r="G263" s="21" cm="1">
        <f t="array" ref="G263">TrajectoryToComeUp(G$249:G$252,$A263)</f>
        <v>-1.6112242083803432</v>
      </c>
      <c r="H263" s="21" cm="1">
        <f t="array" ref="H263">TrajectoryToComeUp(H$249:H$252,$A263)</f>
        <v>-2.6376224023935109</v>
      </c>
      <c r="I263" s="2" cm="1">
        <f t="array" ref="I263">EvaluatePolynomial(I$249:I$252,$A263)</f>
        <v>4005.3757117855503</v>
      </c>
      <c r="J263" s="2" cm="1">
        <f t="array" ref="J263">EvaluatePolynomial(J$249:J$252,$A263)</f>
        <v>3983.4318503769305</v>
      </c>
    </row>
    <row r="264" spans="1:10" x14ac:dyDescent="0.25">
      <c r="A264" s="1">
        <v>125</v>
      </c>
      <c r="B264" s="2" cm="1">
        <f t="array" ref="B264">TrajectoryToComeUp(B$249:B$252,$A264)</f>
        <v>-0.29584296399685078</v>
      </c>
      <c r="C264" s="2" cm="1">
        <f t="array" ref="C264">TrajectoryToComeUp(C$249:C$252,$A264)</f>
        <v>7.3321243552311149E-2</v>
      </c>
      <c r="D264" s="21" cm="1">
        <f t="array" ref="D264">TrajectoryToComeUp(D$249:D$252,$A264)</f>
        <v>-6.0225320131115506E-2</v>
      </c>
      <c r="E264" s="21" cm="1">
        <f t="array" ref="E264">TrajectoryToComeUp(E$249:E$252,$A264)</f>
        <v>-0.35247822309920784</v>
      </c>
      <c r="F264" s="21" cm="1">
        <f t="array" ref="F264">TrajectoryToComeUp(F$249:F$252,$A264)</f>
        <v>-0.95234453465214597</v>
      </c>
      <c r="G264" s="21" cm="1">
        <f t="array" ref="G264">TrajectoryToComeUp(G$249:G$252,$A264)</f>
        <v>-1.5706905254854255</v>
      </c>
      <c r="H264" s="21" cm="1">
        <f t="array" ref="H264">TrajectoryToComeUp(H$249:H$252,$A264)</f>
        <v>-2.6043444714526736</v>
      </c>
      <c r="I264" s="2" cm="1">
        <f t="array" ref="I264">EvaluatePolynomial(I$249:I$252,$A264)</f>
        <v>3895.7837241678326</v>
      </c>
      <c r="J264" s="2" cm="1">
        <f t="array" ref="J264">EvaluatePolynomial(J$249:J$252,$A264)</f>
        <v>3872.5083756822883</v>
      </c>
    </row>
    <row r="265" spans="1:10" x14ac:dyDescent="0.25">
      <c r="A265" s="1">
        <v>145</v>
      </c>
      <c r="B265" s="2" cm="1">
        <f t="array" ref="B265">TrajectoryToComeUp(B$249:B$252,$A265)</f>
        <v>-0.22780998193080204</v>
      </c>
      <c r="C265" s="2" cm="1">
        <f t="array" ref="C265">TrajectoryToComeUp(C$249:C$252,$A265)</f>
        <v>0.13424113574381999</v>
      </c>
      <c r="D265" s="21" cm="1">
        <f t="array" ref="D265">TrajectoryToComeUp(D$249:D$252,$A265)</f>
        <v>1.3406290877013276E-2</v>
      </c>
      <c r="E265" s="21" cm="1">
        <f t="array" ref="E265">TrajectoryToComeUp(E$249:E$252,$A265)</f>
        <v>-0.29199943518235938</v>
      </c>
      <c r="F265" s="21" cm="1">
        <f t="array" ref="F265">TrajectoryToComeUp(F$249:F$252,$A265)</f>
        <v>-0.88432241540117495</v>
      </c>
      <c r="G265" s="21" cm="1">
        <f t="array" ref="G265">TrajectoryToComeUp(G$249:G$252,$A265)</f>
        <v>-1.511064197251017</v>
      </c>
      <c r="H265" s="21" cm="1">
        <f t="array" ref="H265">TrajectoryToComeUp(H$249:H$252,$A265)</f>
        <v>-2.5485163089768794</v>
      </c>
      <c r="I265" s="2" cm="1">
        <f t="array" ref="I265">EvaluatePolynomial(I$249:I$252,$A265)</f>
        <v>3809.4974338393258</v>
      </c>
      <c r="J265" s="2" cm="1">
        <f t="array" ref="J265">EvaluatePolynomial(J$249:J$252,$A265)</f>
        <v>3785.5645749155497</v>
      </c>
    </row>
    <row r="266" spans="1:10" x14ac:dyDescent="0.25">
      <c r="A266" s="1">
        <v>150</v>
      </c>
      <c r="B266" s="2" cm="1">
        <f t="array" ref="B266">TrajectoryToComeUp(B$249:B$252,$A266)</f>
        <v>-0.20719207709667764</v>
      </c>
      <c r="C266" s="2" cm="1">
        <f t="array" ref="C266">TrajectoryToComeUp(C$249:C$252,$A266)</f>
        <v>0.15256987765362712</v>
      </c>
      <c r="D266" s="21" cm="1">
        <f t="array" ref="D266">TrajectoryToComeUp(D$249:D$252,$A266)</f>
        <v>3.4514603002461654E-2</v>
      </c>
      <c r="E266" s="21" cm="1">
        <f t="array" ref="E266">TrajectoryToComeUp(E$249:E$252,$A266)</f>
        <v>-0.27387135574043436</v>
      </c>
      <c r="F266" s="21" cm="1">
        <f t="array" ref="F266">TrajectoryToComeUp(F$249:F$252,$A266)</f>
        <v>-0.86451325422101355</v>
      </c>
      <c r="G266" s="21" cm="1">
        <f t="array" ref="G266">TrajectoryToComeUp(G$249:G$252,$A266)</f>
        <v>-1.4934634700125902</v>
      </c>
      <c r="H266" s="21" cm="1">
        <f t="array" ref="H266">TrajectoryToComeUp(H$249:H$252,$A266)</f>
        <v>-2.5315678059940012</v>
      </c>
      <c r="I266" s="2" cm="1">
        <f t="array" ref="I266">EvaluatePolynomial(I$249:I$252,$A266)</f>
        <v>3788.1207351993289</v>
      </c>
      <c r="J266" s="2" cm="1">
        <f t="array" ref="J266">EvaluatePolynomial(J$249:J$252,$A266)</f>
        <v>3764.0750889080405</v>
      </c>
    </row>
    <row r="267" spans="1:10" x14ac:dyDescent="0.25">
      <c r="A267" s="1">
        <v>163.4</v>
      </c>
      <c r="B267" s="2" cm="1">
        <f t="array" ref="B267">TrajectoryToComeUp(B$249:B$252,$A267)</f>
        <v>-0.14584674476638393</v>
      </c>
      <c r="C267" s="2" cm="1">
        <f t="array" ref="C267">TrajectoryToComeUp(C$249:C$252,$A267)</f>
        <v>0.20679286783555911</v>
      </c>
      <c r="D267" s="21" cm="1">
        <f t="array" ref="D267">TrajectoryToComeUp(D$249:D$252,$A267)</f>
        <v>9.5343604915490224E-2</v>
      </c>
      <c r="E267" s="21" cm="1">
        <f t="array" ref="E267">TrajectoryToComeUp(E$249:E$252,$A267)</f>
        <v>-0.22036946166150845</v>
      </c>
      <c r="F267" s="21" cm="1">
        <f t="array" ref="F267">TrajectoryToComeUp(F$249:F$252,$A267)</f>
        <v>-0.80690978397676993</v>
      </c>
      <c r="G267" s="21" cm="1">
        <f t="array" ref="G267">TrajectoryToComeUp(G$249:G$252,$A267)</f>
        <v>-1.4419839186103065</v>
      </c>
      <c r="H267" s="21" cm="1">
        <f t="array" ref="H267">TrajectoryToComeUp(H$249:H$252,$A267)</f>
        <v>-2.4812324773041561</v>
      </c>
      <c r="I267" s="2" cm="1">
        <f t="array" ref="I267">EvaluatePolynomial(I$249:I$252,$A267)</f>
        <v>3731.2188905305752</v>
      </c>
      <c r="J267" s="2" cm="1">
        <f t="array" ref="J267">EvaluatePolynomial(J$249:J$252,$A267)</f>
        <v>3706.9651122095629</v>
      </c>
    </row>
    <row r="268" spans="1:10" x14ac:dyDescent="0.25">
      <c r="A268" s="1">
        <v>175</v>
      </c>
      <c r="B268" s="2" cm="1">
        <f t="array" ref="B268">TrajectoryToComeUp(B$249:B$252,$A268)</f>
        <v>-8.6256094643670081E-2</v>
      </c>
      <c r="C268" s="2" cm="1">
        <f t="array" ref="C268">TrajectoryToComeUp(C$249:C$252,$A268)</f>
        <v>0.25906990839616056</v>
      </c>
      <c r="D268" s="21" cm="1">
        <f t="array" ref="D268">TrajectoryToComeUp(D$249:D$252,$A268)</f>
        <v>0.15230975365714411</v>
      </c>
      <c r="E268" s="21" cm="1">
        <f t="array" ref="E268">TrajectoryToComeUp(E$249:E$252,$A268)</f>
        <v>-0.16893557741335796</v>
      </c>
      <c r="F268" s="21" cm="1">
        <f t="array" ref="F268">TrajectoryToComeUp(F$249:F$252,$A268)</f>
        <v>-0.75240003920846321</v>
      </c>
      <c r="G268" s="21" cm="1">
        <f t="array" ref="G268">TrajectoryToComeUp(G$249:G$252,$A268)</f>
        <v>-1.3930099801813813</v>
      </c>
      <c r="H268" s="21" cm="1">
        <f t="array" ref="H268">TrajectoryToComeUp(H$249:H$252,$A268)</f>
        <v>-2.4325276067545083</v>
      </c>
      <c r="I268" s="2" cm="1">
        <f t="array" ref="I268">EvaluatePolynomial(I$249:I$252,$A268)</f>
        <v>3682.4196461668439</v>
      </c>
      <c r="J268" s="2" cm="1">
        <f t="array" ref="J268">EvaluatePolynomial(J$249:J$252,$A268)</f>
        <v>3658.0894132564608</v>
      </c>
    </row>
    <row r="269" spans="1:10" x14ac:dyDescent="0.25">
      <c r="A269" s="1">
        <v>200</v>
      </c>
      <c r="B269" s="2" cm="1">
        <f t="array" ref="B269">TrajectoryToComeUp(B$249:B$252,$A269)</f>
        <v>6.005664391996382E-2</v>
      </c>
      <c r="C269" s="2" cm="1">
        <f t="array" ref="C269">TrajectoryToComeUp(C$249:C$252,$A269)</f>
        <v>0.38604930656963654</v>
      </c>
      <c r="D269" s="21" cm="1">
        <f t="array" ref="D269">TrajectoryToComeUp(D$249:D$252,$A269)</f>
        <v>0.28600281182176585</v>
      </c>
      <c r="E269" s="21" cm="1">
        <f t="array" ref="E269">TrajectoryToComeUp(E$249:E$252,$A269)</f>
        <v>-4.4476669124598751E-2</v>
      </c>
      <c r="F269" s="21" cm="1">
        <f t="array" ref="F269">TrajectoryToComeUp(F$249:F$252,$A269)</f>
        <v>-0.62280970172013905</v>
      </c>
      <c r="G269" s="21" cm="1">
        <f t="array" ref="G269">TrajectoryToComeUp(G$249:G$252,$A269)</f>
        <v>-1.2760635251015706</v>
      </c>
      <c r="H269" s="21" cm="1">
        <f t="array" ref="H269">TrajectoryToComeUp(H$249:H$252,$A269)</f>
        <v>-2.3138414741027038</v>
      </c>
      <c r="I269" s="2" cm="1">
        <f t="array" ref="I269">EvaluatePolynomial(I$249:I$252,$A269)</f>
        <v>3578.7133583571813</v>
      </c>
      <c r="J269" s="2" cm="1">
        <f t="array" ref="J269">EvaluatePolynomial(J$249:J$252,$A269)</f>
        <v>3554.5087719298244</v>
      </c>
    </row>
    <row r="270" spans="1:10" x14ac:dyDescent="0.25">
      <c r="A270" s="1">
        <v>225</v>
      </c>
      <c r="B270" s="2" cm="1">
        <f t="array" ref="B270">TrajectoryToComeUp(B$249:B$252,$A270)</f>
        <v>0.22790817223744189</v>
      </c>
      <c r="C270" s="2" cm="1">
        <f t="array" ref="C270">TrajectoryToComeUp(C$249:C$252,$A270)</f>
        <v>0.52974583372390271</v>
      </c>
      <c r="D270" s="21" cm="1">
        <f t="array" ref="D270">TrajectoryToComeUp(D$249:D$252,$A270)</f>
        <v>0.43161748860123467</v>
      </c>
      <c r="E270" s="21" cm="1">
        <f t="array" ref="E270">TrajectoryToComeUp(E$249:E$252,$A270)</f>
        <v>9.572437967772042E-2</v>
      </c>
      <c r="F270" s="21" cm="1">
        <f t="array" ref="F270">TrajectoryToComeUp(F$249:F$252,$A270)</f>
        <v>-0.47952269292584304</v>
      </c>
      <c r="G270" s="21" cm="1">
        <f t="array" ref="G270">TrajectoryToComeUp(G$249:G$252,$A270)</f>
        <v>-1.1463649209452536</v>
      </c>
      <c r="H270" s="21" cm="1">
        <f t="array" ref="H270">TrajectoryToComeUp(H$249:H$252,$A270)</f>
        <v>-2.1791858526877577</v>
      </c>
      <c r="I270" s="2" cm="1">
        <f t="array" ref="I270">EvaluatePolynomial(I$249:I$252,$A270)</f>
        <v>3477.0347730571452</v>
      </c>
      <c r="J270" s="2" cm="1">
        <f t="array" ref="J270">EvaluatePolynomial(J$249:J$252,$A270)</f>
        <v>3453.2905881304046</v>
      </c>
    </row>
    <row r="271" spans="1:10" x14ac:dyDescent="0.25">
      <c r="A271" s="1">
        <v>247.4</v>
      </c>
      <c r="B271" s="2" cm="1">
        <f t="array" ref="B271">TrajectoryToComeUp(B$249:B$252,$A271)</f>
        <v>0.39469032676100019</v>
      </c>
      <c r="C271" s="2" cm="1">
        <f t="array" ref="C271">TrajectoryToComeUp(C$249:C$252,$A271)</f>
        <v>0.67082719790675616</v>
      </c>
      <c r="D271" s="21" cm="1">
        <f t="array" ref="D271">TrajectoryToComeUp(D$249:D$252,$A271)</f>
        <v>0.5702377553471133</v>
      </c>
      <c r="E271" s="21" cm="1">
        <f t="array" ref="E271">TrajectoryToComeUp(E$249:E$252,$A271)</f>
        <v>0.23283631024248616</v>
      </c>
      <c r="F271" s="21" cm="1">
        <f t="array" ref="F271">TrajectoryToComeUp(F$249:F$252,$A271)</f>
        <v>-0.34138291251325287</v>
      </c>
      <c r="G271" s="21" cm="1">
        <f t="array" ref="G271">TrajectoryToComeUp(G$249:G$252,$A271)</f>
        <v>-1.0211829313882543</v>
      </c>
      <c r="H271" s="21" cm="1">
        <f t="array" ref="H271">TrajectoryToComeUp(H$249:H$252,$A271)</f>
        <v>-2.0467975394601963</v>
      </c>
      <c r="I271" s="2" cm="1">
        <f t="array" ref="I271">EvaluatePolynomial(I$249:I$252,$A271)</f>
        <v>3387.6800851618023</v>
      </c>
      <c r="J271" s="2" cm="1">
        <f t="array" ref="J271">EvaluatePolynomial(J$249:J$252,$A271)</f>
        <v>3364.570874419318</v>
      </c>
    </row>
    <row r="272" spans="1:10" x14ac:dyDescent="0.25">
      <c r="A272" s="1">
        <v>250</v>
      </c>
      <c r="B272" s="2" cm="1">
        <f t="array" ref="B272">TrajectoryToComeUp(B$249:B$252,$A272)</f>
        <v>0.41499571049469486</v>
      </c>
      <c r="C272" s="2" cm="1">
        <f t="array" ref="C272">TrajectoryToComeUp(C$249:C$252,$A272)</f>
        <v>0.68790214678886752</v>
      </c>
      <c r="D272" s="21" cm="1">
        <f t="array" ref="D272">TrajectoryToComeUp(D$249:D$252,$A272)</f>
        <v>0.58676801065849515</v>
      </c>
      <c r="E272" s="21" cm="1">
        <f t="array" ref="E272">TrajectoryToComeUp(E$249:E$252,$A272)</f>
        <v>0.24939897532472652</v>
      </c>
      <c r="F272" s="21" cm="1">
        <f t="array" ref="F272">TrajectoryToComeUp(F$249:F$252,$A272)</f>
        <v>-0.32480728352745664</v>
      </c>
      <c r="G272" s="21" cm="1">
        <f t="array" ref="G272">TrajectoryToComeUp(G$249:G$252,$A272)</f>
        <v>-1.0061586574156876</v>
      </c>
      <c r="H272" s="21" cm="1">
        <f t="array" ref="H272">TrajectoryToComeUp(H$249:H$252,$A272)</f>
        <v>-2.0307666092991723</v>
      </c>
      <c r="I272" s="2" cm="1">
        <f t="array" ref="I272">EvaluatePolynomial(I$249:I$252,$A272)</f>
        <v>3377.4167915535395</v>
      </c>
      <c r="J272" s="2" cm="1">
        <f t="array" ref="J272">EvaluatePolynomial(J$249:J$252,$A272)</f>
        <v>3354.3922850604768</v>
      </c>
    </row>
    <row r="273" spans="1:10" x14ac:dyDescent="0.25">
      <c r="A273" s="1">
        <v>275</v>
      </c>
      <c r="B273" s="2" cm="1">
        <f t="array" ref="B273">TrajectoryToComeUp(B$249:B$252,$A273)</f>
        <v>0.61985385335549703</v>
      </c>
      <c r="C273" s="2" cm="1">
        <f t="array" ref="C273">TrajectoryToComeUp(C$249:C$252,$A273)</f>
        <v>0.85908175471992743</v>
      </c>
      <c r="D273" s="21" cm="1">
        <f t="array" ref="D273">TrajectoryToComeUp(D$249:D$252,$A273)</f>
        <v>0.74993615859723972</v>
      </c>
      <c r="E273" s="21" cm="1">
        <f t="array" ref="E273">TrajectoryToComeUp(E$249:E$252,$A273)</f>
        <v>0.41510346729986325</v>
      </c>
      <c r="F273" s="21" cm="1">
        <f t="array" ref="F273">TrajectoryToComeUp(F$249:F$252,$A273)</f>
        <v>-0.16010691851708639</v>
      </c>
      <c r="G273" s="21" cm="1">
        <f t="array" ref="G273">TrajectoryToComeUp(G$249:G$252,$A273)</f>
        <v>-0.85687304614221782</v>
      </c>
      <c r="H273" s="21" cm="1">
        <f t="array" ref="H273">TrajectoryToComeUp(H$249:H$252,$A273)</f>
        <v>-1.8699874773484495</v>
      </c>
      <c r="I273" s="2" cm="1">
        <f t="array" ref="I273">EvaluatePolynomial(I$249:I$252,$A273)</f>
        <v>3279.8923151331683</v>
      </c>
      <c r="J273" s="2" cm="1">
        <f t="array" ref="J273">EvaluatePolynomial(J$249:J$252,$A273)</f>
        <v>3257.7712859223152</v>
      </c>
    </row>
    <row r="274" spans="1:10" x14ac:dyDescent="0.25">
      <c r="A274" s="1">
        <v>300</v>
      </c>
      <c r="B274" s="2" cm="1">
        <f t="array" ref="B274">TrajectoryToComeUp(B$249:B$252,$A274)</f>
        <v>0.84150566392903048</v>
      </c>
      <c r="C274" s="2" cm="1">
        <f t="array" ref="C274">TrajectoryToComeUp(C$249:C$252,$A274)</f>
        <v>1.0423269968206799</v>
      </c>
      <c r="D274" s="21" cm="1">
        <f t="array" ref="D274">TrajectoryToComeUp(D$249:D$252,$A274)</f>
        <v>0.92010978615326255</v>
      </c>
      <c r="E274" s="21" cm="1">
        <f t="array" ref="E274">TrajectoryToComeUp(E$249:E$252,$A274)</f>
        <v>0.59187542192542719</v>
      </c>
      <c r="F274" s="21" cm="1">
        <f t="array" ref="F274">TrajectoryToComeUp(F$249:F$252,$A274)</f>
        <v>1.3616105443863689E-2</v>
      </c>
      <c r="G274" s="21" cm="1">
        <f t="array" ref="G274">TrajectoryToComeUp(G$249:G$252,$A274)</f>
        <v>-0.69946029487774153</v>
      </c>
      <c r="H274" s="21" cm="1">
        <f t="array" ref="H274">TrajectoryToComeUp(H$249:H$252,$A274)</f>
        <v>-1.697784279109924</v>
      </c>
      <c r="I274" s="2" cm="1">
        <f t="array" ref="I274">EvaluatePolynomial(I$249:I$252,$A274)</f>
        <v>3184.4942450828362</v>
      </c>
      <c r="J274" s="2" cm="1">
        <f t="array" ref="J274">EvaluatePolynomial(J$249:J$252,$A274)</f>
        <v>3163.3850139181945</v>
      </c>
    </row>
    <row r="275" spans="1:10" x14ac:dyDescent="0.25">
      <c r="A275" s="1">
        <v>325</v>
      </c>
      <c r="B275" s="2" cm="1">
        <f t="array" ref="B275">TrajectoryToComeUp(B$249:B$252,$A275)</f>
        <v>1.0792748012908837</v>
      </c>
      <c r="C275" s="2" cm="1">
        <f t="array" ref="C275">TrajectoryToComeUp(C$249:C$252,$A275)</f>
        <v>1.2369748772243845</v>
      </c>
      <c r="D275" s="21" cm="1">
        <f t="array" ref="D275">TrajectoryToComeUp(D$249:D$252,$A275)</f>
        <v>1.0965881766821144</v>
      </c>
      <c r="E275" s="21" cm="1">
        <f t="array" ref="E275">TrajectoryToComeUp(E$249:E$252,$A275)</f>
        <v>0.77904853896300752</v>
      </c>
      <c r="F275" s="21" cm="1">
        <f t="array" ref="F275">TrajectoryToComeUp(F$249:F$252,$A275)</f>
        <v>0.19569558297442136</v>
      </c>
      <c r="G275" s="21" cm="1">
        <f t="array" ref="G275">TrajectoryToComeUp(G$249:G$252,$A275)</f>
        <v>-0.53457962437426432</v>
      </c>
      <c r="H275" s="21" cm="1">
        <f t="array" ref="H275">TrajectoryToComeUp(H$249:H$252,$A275)</f>
        <v>-1.5148048915427503</v>
      </c>
      <c r="I275" s="2" cm="1">
        <f t="array" ref="I275">EvaluatePolynomial(I$249:I$252,$A275)</f>
        <v>3091.255482689347</v>
      </c>
      <c r="J275" s="2" cm="1">
        <f t="array" ref="J275">EvaluatePolynomial(J$249:J$252,$A275)</f>
        <v>3071.1908922503885</v>
      </c>
    </row>
    <row r="276" spans="1:10" x14ac:dyDescent="0.25">
      <c r="A276" s="1">
        <v>350</v>
      </c>
      <c r="B276" s="2" cm="1">
        <f t="array" ref="B276">TrajectoryToComeUp(B$249:B$252,$A276)</f>
        <v>1.3326781647807622</v>
      </c>
      <c r="C276" s="2" cm="1">
        <f t="array" ref="C276">TrajectoryToComeUp(C$249:C$252,$A276)</f>
        <v>1.4425518274547986</v>
      </c>
      <c r="D276" s="21" cm="1">
        <f t="array" ref="D276">TrajectoryToComeUp(D$249:D$252,$A276)</f>
        <v>1.2788708182949018</v>
      </c>
      <c r="E276" s="21" cm="1">
        <f t="array" ref="E276">TrajectoryToComeUp(E$249:E$252,$A276)</f>
        <v>0.97614688967088259</v>
      </c>
      <c r="F276" s="21" cm="1">
        <f t="array" ref="F276">TrajectoryToComeUp(F$249:F$252,$A276)</f>
        <v>0.38565565308817834</v>
      </c>
      <c r="G276" s="21" cm="1">
        <f t="array" ref="G276">TrajectoryToComeUp(G$249:G$252,$A276)</f>
        <v>-0.36270190659750451</v>
      </c>
      <c r="H276" s="21" cm="1">
        <f t="array" ref="H276">TrajectoryToComeUp(H$249:H$252,$A276)</f>
        <v>-1.3215120839034675</v>
      </c>
      <c r="I276" s="2" cm="1">
        <f t="array" ref="I276">EvaluatePolynomial(I$249:I$252,$A276)</f>
        <v>3000.208929239504</v>
      </c>
      <c r="J276" s="2" cm="1">
        <f t="array" ref="J276">EvaluatePolynomial(J$249:J$252,$A276)</f>
        <v>2981.1463441211722</v>
      </c>
    </row>
    <row r="277" spans="1:10" x14ac:dyDescent="0.25">
      <c r="A277" s="1">
        <v>375</v>
      </c>
      <c r="B277" s="2" cm="1">
        <f t="array" ref="B277">TrajectoryToComeUp(B$249:B$252,$A277)</f>
        <v>1.6013614805811169</v>
      </c>
      <c r="C277" s="2" cm="1">
        <f t="array" ref="C277">TrajectoryToComeUp(C$249:C$252,$A277)</f>
        <v>1.6587105639626769</v>
      </c>
      <c r="D277" s="21" cm="1">
        <f t="array" ref="D277">TrajectoryToComeUp(D$249:D$252,$A277)</f>
        <v>1.4665906689397703</v>
      </c>
      <c r="E277" s="21" cm="1">
        <f t="array" ref="E277">TrajectoryToComeUp(E$249:E$252,$A277)</f>
        <v>1.1828214596384572</v>
      </c>
      <c r="F277" s="21" cm="1">
        <f t="array" ref="F277">TrajectoryToComeUp(F$249:F$252,$A277)</f>
        <v>0.58314735106176763</v>
      </c>
      <c r="G277" s="21" cm="1">
        <f t="array" ref="G277">TrajectoryToComeUp(G$249:G$252,$A277)</f>
        <v>-0.18417244765565535</v>
      </c>
      <c r="H277" s="21" cm="1">
        <f t="array" ref="H277">TrajectoryToComeUp(H$249:H$252,$A277)</f>
        <v>-1.1182452203135371</v>
      </c>
      <c r="I277" s="2" cm="1">
        <f t="array" ref="I277">EvaluatePolynomial(I$249:I$252,$A277)</f>
        <v>2911.3874860201122</v>
      </c>
      <c r="J277" s="2" cm="1">
        <f t="array" ref="J277">EvaluatePolynomial(J$249:J$252,$A277)</f>
        <v>2893.2087927328203</v>
      </c>
    </row>
    <row r="278" spans="1:10" x14ac:dyDescent="0.25">
      <c r="A278" s="1">
        <v>400</v>
      </c>
      <c r="B278" s="2" cm="1">
        <f t="array" ref="B278">TrajectoryToComeUp(B$249:B$252,$A278)</f>
        <v>1.8850590433287862</v>
      </c>
      <c r="C278" s="2" cm="1">
        <f t="array" ref="C278">TrajectoryToComeUp(C$249:C$252,$A278)</f>
        <v>1.8851906240860863</v>
      </c>
      <c r="D278" s="21" cm="1">
        <f t="array" ref="D278">TrajectoryToComeUp(D$249:D$252,$A278)</f>
        <v>1.6594724470778297</v>
      </c>
      <c r="E278" s="21" cm="1">
        <f t="array" ref="E278">TrajectoryToComeUp(E$249:E$252,$A278)</f>
        <v>1.3988104880577832</v>
      </c>
      <c r="F278" s="21" cm="1">
        <f t="array" ref="F278">TrajectoryToComeUp(F$249:F$252,$A278)</f>
        <v>0.78790895335266464</v>
      </c>
      <c r="G278" s="21" cm="1">
        <f t="array" ref="G278">TrajectoryToComeUp(G$249:G$252,$A278)</f>
        <v>7.4977287013785132E-4</v>
      </c>
      <c r="H278" s="21" cm="1">
        <f t="array" ref="H278">TrajectoryToComeUp(H$249:H$252,$A278)</f>
        <v>-0.90525882386405576</v>
      </c>
      <c r="I278" s="2" cm="1">
        <f t="array" ref="I278">EvaluatePolynomial(I$249:I$252,$A278)</f>
        <v>2824.824054317975</v>
      </c>
      <c r="J278" s="2" cm="1">
        <f t="array" ref="J278">EvaluatePolynomial(J$249:J$252,$A278)</f>
        <v>2807.3356612876064</v>
      </c>
    </row>
    <row r="279" spans="1:10" x14ac:dyDescent="0.25">
      <c r="A279" s="1">
        <v>425</v>
      </c>
      <c r="B279" s="2" cm="1">
        <f t="array" ref="B279">TrajectoryToComeUp(B$249:B$252,$A279)</f>
        <v>2.1835676665695876</v>
      </c>
      <c r="C279" s="2" cm="1">
        <f t="array" ref="C279">TrajectoryToComeUp(C$249:C$252,$A279)</f>
        <v>2.1217928304953131</v>
      </c>
      <c r="D279" s="21" cm="1">
        <f t="array" ref="D279">TrajectoryToComeUp(D$249:D$252,$A279)</f>
        <v>1.8573056432969861</v>
      </c>
      <c r="E279" s="21" cm="1">
        <f t="array" ref="E279">TrajectoryToComeUp(E$249:E$252,$A279)</f>
        <v>1.6239138048992554</v>
      </c>
      <c r="F279" s="21" cm="1">
        <f t="array" ref="F279">TrajectoryToComeUp(F$249:F$252,$A279)</f>
        <v>0.99974031842835065</v>
      </c>
      <c r="G279" s="21" cm="1">
        <f t="array" ref="G279">TrajectoryToComeUp(G$249:G$252,$A279)</f>
        <v>0.19186671177076378</v>
      </c>
      <c r="H279" s="21" cm="1">
        <f t="array" ref="H279">TrajectoryToComeUp(H$249:H$252,$A279)</f>
        <v>-0.68274752985997955</v>
      </c>
      <c r="I279" s="2" cm="1">
        <f t="array" ref="I279">EvaluatePolynomial(I$249:I$252,$A279)</f>
        <v>2740.5515354198974</v>
      </c>
      <c r="J279" s="2" cm="1">
        <f t="array" ref="J279">EvaluatePolynomial(J$249:J$252,$A279)</f>
        <v>2723.4843729878053</v>
      </c>
    </row>
    <row r="280" spans="1:10" x14ac:dyDescent="0.25">
      <c r="A280" s="1">
        <v>450</v>
      </c>
      <c r="B280" s="2" cm="1">
        <f t="array" ref="B280">TrajectoryToComeUp(B$249:B$252,$A280)</f>
        <v>2.4967293163947115</v>
      </c>
      <c r="C280" s="2" cm="1">
        <f t="array" ref="C280">TrajectoryToComeUp(C$249:C$252,$A280)</f>
        <v>2.3683622674894682</v>
      </c>
      <c r="D280" s="21" cm="1">
        <f t="array" ref="D280">TrajectoryToComeUp(D$249:D$252,$A280)</f>
        <v>2.0599265280545005</v>
      </c>
      <c r="E280" s="21" cm="1">
        <f t="array" ref="E280">TrajectoryToComeUp(E$249:E$252,$A280)</f>
        <v>1.8579757223620676</v>
      </c>
      <c r="F280" s="21" cm="1">
        <f t="array" ref="F280">TrajectoryToComeUp(F$249:F$252,$A280)</f>
        <v>1.2184857806524225</v>
      </c>
      <c r="G280" s="21" cm="1">
        <f t="array" ref="G280">TrajectoryToComeUp(G$249:G$252,$A280)</f>
        <v>0.38902433543913706</v>
      </c>
      <c r="H280" s="21" cm="1">
        <f t="array" ref="H280">TrajectoryToComeUp(H$249:H$252,$A280)</f>
        <v>-0.45086272131627397</v>
      </c>
      <c r="I280" s="2" cm="1">
        <f t="array" ref="I280">EvaluatePolynomial(I$249:I$252,$A280)</f>
        <v>2658.6028306126823</v>
      </c>
      <c r="J280" s="2" cm="1">
        <f t="array" ref="J280">EvaluatePolynomial(J$249:J$252,$A280)</f>
        <v>2641.6123510356915</v>
      </c>
    </row>
    <row r="281" spans="1:10" x14ac:dyDescent="0.25">
      <c r="A281" s="1">
        <v>475</v>
      </c>
      <c r="B281" s="2" cm="1">
        <f t="array" ref="B281">TrajectoryToComeUp(B$249:B$252,$A281)</f>
        <v>2.8244192291919417</v>
      </c>
      <c r="C281" s="2" cm="1">
        <f t="array" ref="C281">TrajectoryToComeUp(C$249:C$252,$A281)</f>
        <v>2.6247766331994282</v>
      </c>
      <c r="D281" s="21" cm="1">
        <f t="array" ref="D281">TrajectoryToComeUp(D$249:D$252,$A281)</f>
        <v>2.2672058411850524</v>
      </c>
      <c r="E281" s="21" cm="1">
        <f t="array" ref="E281">TrajectoryToComeUp(E$249:E$252,$A281)</f>
        <v>2.1008733290245325</v>
      </c>
      <c r="F281" s="21" cm="1">
        <f t="array" ref="F281">TrajectoryToComeUp(F$249:F$252,$A281)</f>
        <v>1.444022446101402</v>
      </c>
      <c r="G281" s="21" cm="1">
        <f t="array" ref="G281">TrajectoryToComeUp(G$249:G$252,$A281)</f>
        <v>0.59210103839597872</v>
      </c>
      <c r="H281" s="21" cm="1">
        <f t="array" ref="H281">TrajectoryToComeUp(H$249:H$252,$A281)</f>
        <v>-0.20972391113949185</v>
      </c>
      <c r="I281" s="2" cm="1">
        <f t="array" ref="I281">EvaluatePolynomial(I$249:I$252,$A281)</f>
        <v>2579.0108411831343</v>
      </c>
      <c r="J281" s="2" cm="1">
        <f t="array" ref="J281">EvaluatePolynomial(J$249:J$252,$A281)</f>
        <v>2561.6770186335402</v>
      </c>
    </row>
    <row r="282" spans="1:10" x14ac:dyDescent="0.25">
      <c r="A282" s="1">
        <v>500</v>
      </c>
      <c r="B282" s="2" cm="1">
        <f t="array" ref="B282">TrajectoryToComeUp(B$249:B$252,$A282)</f>
        <v>3.166537594071503</v>
      </c>
      <c r="C282" s="2" cm="1">
        <f t="array" ref="C282">TrajectoryToComeUp(C$249:C$252,$A282)</f>
        <v>2.8909380861298963</v>
      </c>
      <c r="D282" s="21" cm="1">
        <f t="array" ref="D282">TrajectoryToComeUp(D$249:D$252,$A282)</f>
        <v>2.4790401745563866</v>
      </c>
      <c r="E282" s="21" cm="1">
        <f t="array" ref="E282">TrajectoryToComeUp(E$249:E$252,$A282)</f>
        <v>2.3525082957492987</v>
      </c>
      <c r="F282" s="21" cm="1">
        <f t="array" ref="F282">TrajectoryToComeUp(F$249:F$252,$A282)</f>
        <v>1.6762519996365099</v>
      </c>
      <c r="G282" s="21" cm="1">
        <f t="array" ref="G282">TrajectoryToComeUp(G$249:G$252,$A282)</f>
        <v>0.80099953625786557</v>
      </c>
      <c r="H282" s="21" cm="1">
        <f t="array" ref="H282">TrajectoryToComeUp(H$249:H$252,$A282)</f>
        <v>4.0573290345125634E-2</v>
      </c>
      <c r="I282" s="2" cm="1">
        <f t="array" ref="I282">EvaluatePolynomial(I$249:I$252,$A282)</f>
        <v>2501.8084684180576</v>
      </c>
      <c r="J282" s="2" cm="1">
        <f t="array" ref="J282">EvaluatePolynomial(J$249:J$252,$A282)</f>
        <v>2483.6357989836251</v>
      </c>
    </row>
  </sheetData>
  <mergeCells count="6">
    <mergeCell ref="F1:I1"/>
    <mergeCell ref="C20:G20"/>
    <mergeCell ref="J20:N20"/>
    <mergeCell ref="B257:H257"/>
    <mergeCell ref="B258:H258"/>
    <mergeCell ref="I258:J258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A7B95-1EFD-4B79-BBFA-E6709FDB39E6}">
  <sheetPr codeName="Sheet4"/>
  <dimension ref="A1"/>
  <sheetViews>
    <sheetView workbookViewId="0">
      <selection activeCell="AN22" sqref="AN2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Lewellings 5000 HP</vt:lpstr>
      <vt:lpstr>Premier Long Range Speer PHP</vt:lpstr>
      <vt:lpstr>Terminal Ascent PHP</vt:lpstr>
      <vt:lpstr>Bullet 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2024-08-19T21:06:52Z</dcterms:modified>
</cp:coreProperties>
</file>