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1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2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3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4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5.xml" ContentType="application/vnd.openxmlformats-officedocument.themeOverrid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6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7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18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19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SteyrScout-223Remington\"/>
    </mc:Choice>
  </mc:AlternateContent>
  <xr:revisionPtr revIDLastSave="0" documentId="13_ncr:1_{C2890B85-6087-4A03-8AF5-61AE8FCA3EB9}" xr6:coauthVersionLast="47" xr6:coauthVersionMax="47" xr10:uidLastSave="{00000000-0000-0000-0000-000000000000}"/>
  <bookViews>
    <workbookView xWindow="-120" yWindow="-120" windowWidth="51840" windowHeight="21120" activeTab="3" xr2:uid="{2F0FA23F-61CC-43E6-AF0F-86720E5DCFA1}"/>
  </bookViews>
  <sheets>
    <sheet name="Federal TrophyBonded PHP" sheetId="7" r:id="rId1"/>
    <sheet name="Remington Core-Lokt SP" sheetId="4" r:id="rId2"/>
    <sheet name="Federal Barnes TSX HP" sheetId="9" r:id="rId3"/>
    <sheet name="Bullet Comparisons" sheetId="1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7" l="1"/>
  <c r="H7" i="9"/>
  <c r="H7" i="4"/>
  <c r="C6" i="4"/>
  <c r="H250" i="9" a="1"/>
  <c r="H250" i="9" s="1"/>
  <c r="H249" i="9" a="1"/>
  <c r="H249" i="9" s="1"/>
  <c r="H248" i="9" a="1"/>
  <c r="H248" i="9" s="1"/>
  <c r="H247" i="9" a="1"/>
  <c r="H247" i="9" s="1"/>
  <c r="I250" i="9" a="1"/>
  <c r="I250" i="9" s="1"/>
  <c r="I249" i="9" a="1"/>
  <c r="I249" i="9" s="1"/>
  <c r="I248" i="9" a="1"/>
  <c r="I248" i="9" s="1"/>
  <c r="I247" i="9" a="1"/>
  <c r="I247" i="9" s="1"/>
  <c r="I250" i="4" a="1"/>
  <c r="I250" i="4" s="1"/>
  <c r="I249" i="4" a="1"/>
  <c r="I249" i="4" s="1"/>
  <c r="I248" i="4" a="1"/>
  <c r="I248" i="4" s="1"/>
  <c r="I247" i="4" a="1"/>
  <c r="I247" i="4" s="1"/>
  <c r="I250" i="7" a="1"/>
  <c r="I250" i="7" s="1"/>
  <c r="F250" i="7" a="1"/>
  <c r="F250" i="7" s="1"/>
  <c r="E250" i="7" a="1"/>
  <c r="E250" i="7" s="1"/>
  <c r="D250" i="7" a="1"/>
  <c r="D250" i="7" s="1"/>
  <c r="C250" i="7" a="1"/>
  <c r="C250" i="7" s="1"/>
  <c r="I249" i="7" a="1"/>
  <c r="I249" i="7" s="1"/>
  <c r="F249" i="7" a="1"/>
  <c r="F249" i="7" s="1"/>
  <c r="E249" i="7" a="1"/>
  <c r="E249" i="7" s="1"/>
  <c r="D249" i="7" a="1"/>
  <c r="D249" i="7" s="1"/>
  <c r="C249" i="7" a="1"/>
  <c r="C249" i="7" s="1"/>
  <c r="I248" i="7" a="1"/>
  <c r="I248" i="7" s="1"/>
  <c r="F248" i="7" a="1"/>
  <c r="F248" i="7" s="1"/>
  <c r="E248" i="7" a="1"/>
  <c r="E248" i="7" s="1"/>
  <c r="D248" i="7" a="1"/>
  <c r="D248" i="7" s="1"/>
  <c r="C248" i="7" a="1"/>
  <c r="C248" i="7" s="1"/>
  <c r="I247" i="7" a="1"/>
  <c r="I247" i="7" s="1"/>
  <c r="F247" i="7" a="1"/>
  <c r="F247" i="7" s="1"/>
  <c r="E247" i="7" a="1"/>
  <c r="E247" i="7" s="1"/>
  <c r="D247" i="7" a="1"/>
  <c r="D247" i="7" s="1"/>
  <c r="C247" i="7" a="1"/>
  <c r="C247" i="7" s="1"/>
  <c r="B250" i="7" a="1"/>
  <c r="B250" i="7" s="1"/>
  <c r="B249" i="7" a="1"/>
  <c r="B249" i="7" s="1"/>
  <c r="B248" i="7" a="1"/>
  <c r="B248" i="7" s="1"/>
  <c r="B247" i="7" a="1"/>
  <c r="B247" i="7" s="1"/>
  <c r="H8" i="7"/>
  <c r="H3" i="9"/>
  <c r="H2" i="9"/>
  <c r="H3" i="4"/>
  <c r="H2" i="4"/>
  <c r="B7" i="7"/>
  <c r="H3" i="7"/>
  <c r="H2" i="7"/>
  <c r="C17" i="9"/>
  <c r="C16" i="9"/>
  <c r="B13" i="9"/>
  <c r="D13" i="9" s="1"/>
  <c r="P22" i="4"/>
  <c r="O22" i="4"/>
  <c r="N22" i="4"/>
  <c r="M22" i="4"/>
  <c r="L22" i="4"/>
  <c r="K22" i="4"/>
  <c r="J22" i="4"/>
  <c r="C17" i="4"/>
  <c r="C16" i="4"/>
  <c r="B13" i="4"/>
  <c r="D13" i="4" s="1"/>
  <c r="C17" i="7"/>
  <c r="C16" i="7"/>
  <c r="C19" i="7" s="1"/>
  <c r="M27" i="4" a="1"/>
  <c r="M31" i="9" a="1"/>
  <c r="N24" i="9" a="1"/>
  <c r="N29" i="4" a="1"/>
  <c r="N32" i="7" a="1"/>
  <c r="N31" i="7" a="1"/>
  <c r="J29" i="7" a="1"/>
  <c r="M27" i="9" a="1"/>
  <c r="M28" i="9" a="1"/>
  <c r="M29" i="4" a="1"/>
  <c r="P31" i="4" a="1"/>
  <c r="J25" i="4" a="1"/>
  <c r="O29" i="7" a="1"/>
  <c r="J28" i="7" a="1"/>
  <c r="N23" i="4" a="1"/>
  <c r="P28" i="4" a="1"/>
  <c r="L24" i="4" a="1"/>
  <c r="M34" i="7" a="1"/>
  <c r="K26" i="4" a="1"/>
  <c r="L32" i="7" a="1"/>
  <c r="N27" i="9" a="1"/>
  <c r="O30" i="9" a="1"/>
  <c r="M28" i="4" a="1"/>
  <c r="K27" i="4" a="1"/>
  <c r="B12" i="4" a="1"/>
  <c r="N26" i="7" a="1"/>
  <c r="N30" i="9" a="1"/>
  <c r="M24" i="4" a="1"/>
  <c r="B12" i="7" a="1"/>
  <c r="L31" i="9" a="1"/>
  <c r="L26" i="4" a="1"/>
  <c r="P30" i="4" a="1"/>
  <c r="L28" i="7" a="1"/>
  <c r="J26" i="9" a="1"/>
  <c r="B12" i="9" a="1"/>
  <c r="J30" i="4" a="1"/>
  <c r="O31" i="4" a="1"/>
  <c r="K28" i="4" a="1"/>
  <c r="N29" i="7" a="1"/>
  <c r="M28" i="7" a="1"/>
  <c r="M23" i="7" a="1"/>
  <c r="M32" i="7" a="1"/>
  <c r="N28" i="9" a="1"/>
  <c r="P28" i="7" a="1"/>
  <c r="M26" i="9" a="1"/>
  <c r="J23" i="4" a="1"/>
  <c r="K28" i="9" a="1"/>
  <c r="L26" i="7" a="1"/>
  <c r="L26" i="9" a="1"/>
  <c r="K32" i="4" a="1"/>
  <c r="L23" i="9" a="1"/>
  <c r="K27" i="7" a="1"/>
  <c r="O28" i="7" a="1"/>
  <c r="L31" i="7" a="1"/>
  <c r="K24" i="9" a="1"/>
  <c r="J31" i="9" a="1"/>
  <c r="L28" i="9" a="1"/>
  <c r="L25" i="4" a="1"/>
  <c r="P25" i="4" a="1"/>
  <c r="O34" i="4" a="1"/>
  <c r="M24" i="7" a="1"/>
  <c r="L23" i="7" a="1"/>
  <c r="J27" i="7" a="1"/>
  <c r="M25" i="9" a="1"/>
  <c r="J29" i="4" a="1"/>
  <c r="K32" i="7" a="1"/>
  <c r="K31" i="9" a="1"/>
  <c r="P34" i="4" a="1"/>
  <c r="L29" i="7" a="1"/>
  <c r="P29" i="7" a="1"/>
  <c r="J24" i="7" a="1"/>
  <c r="J25" i="9" a="1"/>
  <c r="M33" i="4" a="1"/>
  <c r="O28" i="9" a="1"/>
  <c r="M23" i="4" a="1"/>
  <c r="L33" i="4" a="1"/>
  <c r="M29" i="9" a="1"/>
  <c r="M26" i="7" a="1"/>
  <c r="M30" i="9" a="1"/>
  <c r="M33" i="7" a="1"/>
  <c r="K34" i="7" a="1"/>
  <c r="L28" i="4" a="1"/>
  <c r="N33" i="7" a="1"/>
  <c r="O27" i="4" a="1"/>
  <c r="L23" i="4" a="1"/>
  <c r="L27" i="9" a="1"/>
  <c r="K26" i="9" a="1"/>
  <c r="J30" i="9" a="1"/>
  <c r="K25" i="4" a="1"/>
  <c r="O25" i="4" a="1"/>
  <c r="N34" i="4" a="1"/>
  <c r="P26" i="7" a="1"/>
  <c r="P32" i="7" a="1"/>
  <c r="J26" i="7" a="1"/>
  <c r="N31" i="4" a="1"/>
  <c r="M32" i="4" a="1"/>
  <c r="K30" i="7" a="1"/>
  <c r="J25" i="7" a="1"/>
  <c r="L32" i="4" a="1"/>
  <c r="O31" i="9" a="1"/>
  <c r="O28" i="4" a="1"/>
  <c r="O23" i="7" a="1"/>
  <c r="P28" i="9" a="1"/>
  <c r="N32" i="4" a="1"/>
  <c r="J26" i="4" a="1"/>
  <c r="O26" i="7" a="1"/>
  <c r="N28" i="7" a="1"/>
  <c r="L30" i="9" a="1"/>
  <c r="K23" i="7" a="1"/>
  <c r="N27" i="7" a="1"/>
  <c r="L29" i="9" a="1"/>
  <c r="N26" i="4" a="1"/>
  <c r="M30" i="7" a="1"/>
  <c r="K29" i="7" a="1"/>
  <c r="K33" i="4" a="1"/>
  <c r="K23" i="9" a="1"/>
  <c r="L34" i="7" a="1"/>
  <c r="P29" i="9" a="1"/>
  <c r="K25" i="7" a="1"/>
  <c r="O23" i="4" a="1"/>
  <c r="L29" i="4" a="1"/>
  <c r="M29" i="7" a="1"/>
  <c r="P27" i="4" a="1"/>
  <c r="P23" i="4" a="1"/>
  <c r="J23" i="9" a="1"/>
  <c r="M31" i="7" a="1"/>
  <c r="M25" i="4" a="1"/>
  <c r="N23" i="9" a="1"/>
  <c r="K31" i="4" a="1"/>
  <c r="K26" i="7" a="1"/>
  <c r="P27" i="9" a="1"/>
  <c r="M23" i="9" a="1"/>
  <c r="K23" i="4" a="1"/>
  <c r="N25" i="4" a="1"/>
  <c r="J33" i="4" a="1"/>
  <c r="P25" i="7" a="1"/>
  <c r="P24" i="7" a="1"/>
  <c r="P33" i="7" a="1"/>
  <c r="J24" i="4" a="1"/>
  <c r="L24" i="7" a="1"/>
  <c r="N25" i="7" a="1"/>
  <c r="K24" i="7" a="1"/>
  <c r="O33" i="4" a="1"/>
  <c r="N34" i="7" a="1"/>
  <c r="N33" i="4" a="1"/>
  <c r="P25" i="9" a="1"/>
  <c r="O26" i="9" a="1"/>
  <c r="J27" i="4" a="1"/>
  <c r="P32" i="4" a="1"/>
  <c r="K31" i="7" a="1"/>
  <c r="O25" i="7" a="1"/>
  <c r="P23" i="9" a="1"/>
  <c r="L25" i="9" a="1"/>
  <c r="P24" i="4" a="1"/>
  <c r="L31" i="4" a="1"/>
  <c r="O26" i="4" a="1"/>
  <c r="M25" i="7" a="1"/>
  <c r="O24" i="7" a="1"/>
  <c r="P30" i="7" a="1"/>
  <c r="K29" i="9" a="1"/>
  <c r="N26" i="9" a="1"/>
  <c r="O32" i="4" a="1"/>
  <c r="K29" i="4" a="1"/>
  <c r="O24" i="4" a="1"/>
  <c r="L27" i="7" a="1"/>
  <c r="O30" i="7" a="1"/>
  <c r="L33" i="7" a="1"/>
  <c r="J23" i="7" a="1"/>
  <c r="L24" i="9" a="1"/>
  <c r="L25" i="7" a="1"/>
  <c r="P29" i="4" a="1"/>
  <c r="O27" i="9" a="1"/>
  <c r="K33" i="7" a="1"/>
  <c r="O27" i="7" a="1"/>
  <c r="K25" i="9" a="1"/>
  <c r="N30" i="4" a="1"/>
  <c r="J31" i="4" a="1"/>
  <c r="N28" i="4" a="1"/>
  <c r="N24" i="7" a="1"/>
  <c r="P24" i="9" a="1"/>
  <c r="N24" i="4" a="1"/>
  <c r="J33" i="7" a="1"/>
  <c r="J28" i="4" a="1"/>
  <c r="M31" i="4" a="1"/>
  <c r="O29" i="9" a="1"/>
  <c r="J29" i="9" a="1"/>
  <c r="M24" i="9" a="1"/>
  <c r="M34" i="4" a="1"/>
  <c r="P26" i="4" a="1"/>
  <c r="M30" i="4" a="1"/>
  <c r="N30" i="7" a="1"/>
  <c r="O25" i="9" a="1"/>
  <c r="P30" i="9" a="1"/>
  <c r="L34" i="4" a="1"/>
  <c r="O30" i="4" a="1"/>
  <c r="L30" i="4" a="1"/>
  <c r="P27" i="7" a="1"/>
  <c r="P34" i="7" a="1"/>
  <c r="J34" i="7" a="1"/>
  <c r="O23" i="9" a="1"/>
  <c r="K34" i="4" a="1"/>
  <c r="K27" i="9" a="1"/>
  <c r="N27" i="4" a="1"/>
  <c r="P23" i="7" a="1"/>
  <c r="N31" i="9" a="1"/>
  <c r="K30" i="9" a="1"/>
  <c r="K24" i="4" a="1"/>
  <c r="M26" i="4" a="1"/>
  <c r="L30" i="7" a="1"/>
  <c r="O34" i="7" a="1"/>
  <c r="J32" i="7" a="1"/>
  <c r="N29" i="9" a="1"/>
  <c r="O24" i="9" a="1"/>
  <c r="J28" i="9" a="1"/>
  <c r="J32" i="4" a="1"/>
  <c r="K30" i="4" a="1"/>
  <c r="L27" i="4" a="1"/>
  <c r="O32" i="7" a="1"/>
  <c r="P31" i="7" a="1"/>
  <c r="J31" i="7" a="1"/>
  <c r="N25" i="9" a="1"/>
  <c r="J27" i="9" a="1"/>
  <c r="O29" i="4" a="1"/>
  <c r="J34" i="4" a="1"/>
  <c r="M27" i="7" a="1"/>
  <c r="O31" i="7" a="1"/>
  <c r="J30" i="7" a="1"/>
  <c r="P33" i="4" a="1"/>
  <c r="O33" i="7" a="1"/>
  <c r="J24" i="9" a="1"/>
  <c r="K28" i="7" a="1"/>
  <c r="N23" i="7" a="1"/>
  <c r="P26" i="9" a="1"/>
  <c r="H6" i="7" a="1"/>
  <c r="G6" i="7" a="1"/>
  <c r="H6" i="9" a="1"/>
  <c r="G6" i="9" a="1"/>
  <c r="C7" i="9" a="1"/>
  <c r="B7" i="9" a="1"/>
  <c r="E19" i="4" a="1"/>
  <c r="H6" i="4" a="1"/>
  <c r="G6" i="4" a="1"/>
  <c r="C7" i="4" a="1"/>
  <c r="B7" i="4" a="1"/>
  <c r="G6" i="7" l="1"/>
  <c r="H6" i="7"/>
  <c r="G6" i="9"/>
  <c r="H6" i="9"/>
  <c r="B7" i="9"/>
  <c r="C7" i="9"/>
  <c r="E19" i="4"/>
  <c r="H6" i="4"/>
  <c r="G6" i="4"/>
  <c r="B7" i="4"/>
  <c r="C7" i="4"/>
  <c r="C19" i="9"/>
  <c r="P22" i="9"/>
  <c r="J22" i="9"/>
  <c r="L22" i="9"/>
  <c r="O22" i="9"/>
  <c r="K22" i="9"/>
  <c r="M22" i="9"/>
  <c r="N22" i="9"/>
  <c r="J26" i="9"/>
  <c r="K28" i="9"/>
  <c r="L30" i="9"/>
  <c r="M26" i="9"/>
  <c r="N28" i="9"/>
  <c r="O28" i="9"/>
  <c r="K31" i="9"/>
  <c r="M25" i="9"/>
  <c r="J30" i="9"/>
  <c r="J27" i="9"/>
  <c r="J28" i="9"/>
  <c r="K30" i="9"/>
  <c r="L24" i="9"/>
  <c r="M24" i="9"/>
  <c r="N26" i="9"/>
  <c r="O26" i="9"/>
  <c r="P26" i="9"/>
  <c r="J23" i="9"/>
  <c r="J31" i="9"/>
  <c r="K23" i="9"/>
  <c r="K27" i="9"/>
  <c r="L23" i="9"/>
  <c r="L29" i="9"/>
  <c r="L31" i="9"/>
  <c r="M29" i="9"/>
  <c r="N27" i="9"/>
  <c r="O31" i="9"/>
  <c r="K26" i="9"/>
  <c r="L28" i="9"/>
  <c r="M28" i="9"/>
  <c r="N24" i="9"/>
  <c r="O24" i="9"/>
  <c r="P24" i="9"/>
  <c r="P30" i="9"/>
  <c r="J29" i="9"/>
  <c r="K25" i="9"/>
  <c r="K29" i="9"/>
  <c r="L25" i="9"/>
  <c r="M23" i="9"/>
  <c r="N23" i="9"/>
  <c r="O27" i="9"/>
  <c r="J24" i="9"/>
  <c r="K24" i="9"/>
  <c r="L26" i="9"/>
  <c r="M30" i="9"/>
  <c r="N30" i="9"/>
  <c r="O30" i="9"/>
  <c r="P28" i="9"/>
  <c r="J25" i="9"/>
  <c r="L27" i="9"/>
  <c r="M27" i="9"/>
  <c r="M31" i="9"/>
  <c r="N25" i="9"/>
  <c r="N29" i="9"/>
  <c r="N31" i="9"/>
  <c r="O23" i="9"/>
  <c r="O25" i="9"/>
  <c r="O29" i="9"/>
  <c r="P23" i="9"/>
  <c r="P25" i="9"/>
  <c r="P27" i="9"/>
  <c r="P29" i="9"/>
  <c r="B12" i="9"/>
  <c r="J26" i="4"/>
  <c r="K26" i="4"/>
  <c r="L24" i="4"/>
  <c r="L32" i="4"/>
  <c r="M32" i="4"/>
  <c r="N34" i="4"/>
  <c r="O34" i="4"/>
  <c r="J25" i="4"/>
  <c r="L27" i="4"/>
  <c r="J24" i="4"/>
  <c r="L30" i="4"/>
  <c r="M30" i="4"/>
  <c r="N28" i="4"/>
  <c r="O24" i="4"/>
  <c r="O26" i="4"/>
  <c r="P32" i="4"/>
  <c r="J33" i="4"/>
  <c r="K31" i="4"/>
  <c r="L23" i="4"/>
  <c r="L29" i="4"/>
  <c r="M27" i="4"/>
  <c r="O27" i="4"/>
  <c r="J28" i="4"/>
  <c r="K28" i="4"/>
  <c r="L28" i="4"/>
  <c r="N26" i="4"/>
  <c r="P30" i="4"/>
  <c r="J23" i="4"/>
  <c r="K27" i="4"/>
  <c r="L33" i="4"/>
  <c r="M23" i="4"/>
  <c r="M33" i="4"/>
  <c r="N23" i="4"/>
  <c r="N31" i="4"/>
  <c r="O25" i="4"/>
  <c r="P25" i="4"/>
  <c r="P31" i="4"/>
  <c r="J34" i="4"/>
  <c r="K30" i="4"/>
  <c r="M26" i="4"/>
  <c r="N24" i="4"/>
  <c r="O30" i="4"/>
  <c r="P26" i="4"/>
  <c r="J31" i="4"/>
  <c r="K29" i="4"/>
  <c r="L31" i="4"/>
  <c r="N25" i="4"/>
  <c r="N33" i="4"/>
  <c r="O23" i="4"/>
  <c r="O33" i="4"/>
  <c r="P23" i="4"/>
  <c r="P27" i="4"/>
  <c r="P29" i="4"/>
  <c r="P33" i="4"/>
  <c r="J30" i="4"/>
  <c r="K32" i="4"/>
  <c r="L26" i="4"/>
  <c r="M24" i="4"/>
  <c r="M28" i="4"/>
  <c r="N32" i="4"/>
  <c r="O28" i="4"/>
  <c r="P28" i="4"/>
  <c r="P34" i="4"/>
  <c r="J29" i="4"/>
  <c r="K25" i="4"/>
  <c r="L25" i="4"/>
  <c r="M29" i="4"/>
  <c r="N29" i="4"/>
  <c r="O29" i="4"/>
  <c r="J32" i="4"/>
  <c r="K24" i="4"/>
  <c r="K34" i="4"/>
  <c r="L34" i="4"/>
  <c r="M34" i="4"/>
  <c r="N30" i="4"/>
  <c r="O32" i="4"/>
  <c r="P24" i="4"/>
  <c r="J27" i="4"/>
  <c r="K23" i="4"/>
  <c r="K33" i="4"/>
  <c r="M25" i="4"/>
  <c r="M31" i="4"/>
  <c r="N27" i="4"/>
  <c r="O31" i="4"/>
  <c r="B12" i="4"/>
  <c r="B12" i="7"/>
  <c r="O30" i="7"/>
  <c r="P30" i="7"/>
  <c r="O25" i="7"/>
  <c r="P33" i="7"/>
  <c r="M31" i="7"/>
  <c r="N23" i="7"/>
  <c r="N34" i="7"/>
  <c r="K28" i="7"/>
  <c r="N25" i="7"/>
  <c r="M28" i="7"/>
  <c r="L31" i="7"/>
  <c r="K34" i="7"/>
  <c r="L26" i="7"/>
  <c r="M26" i="7"/>
  <c r="N26" i="7"/>
  <c r="O26" i="7"/>
  <c r="L32" i="7"/>
  <c r="M32" i="7"/>
  <c r="P29" i="7"/>
  <c r="K30" i="7"/>
  <c r="P32" i="7"/>
  <c r="L23" i="7"/>
  <c r="M23" i="7"/>
  <c r="N31" i="7"/>
  <c r="O31" i="7"/>
  <c r="P31" i="7"/>
  <c r="O34" i="7"/>
  <c r="L24" i="7"/>
  <c r="P34" i="7"/>
  <c r="N24" i="7"/>
  <c r="L27" i="7"/>
  <c r="O24" i="7"/>
  <c r="P24" i="7"/>
  <c r="K25" i="7"/>
  <c r="O27" i="7"/>
  <c r="M30" i="7"/>
  <c r="K33" i="7"/>
  <c r="N33" i="7"/>
  <c r="O33" i="7"/>
  <c r="O28" i="7"/>
  <c r="M33" i="7"/>
  <c r="L28" i="7"/>
  <c r="K23" i="7"/>
  <c r="N28" i="7"/>
  <c r="P28" i="7"/>
  <c r="O23" i="7"/>
  <c r="M34" i="7"/>
  <c r="L29" i="7"/>
  <c r="K32" i="7"/>
  <c r="P26" i="7"/>
  <c r="M24" i="7"/>
  <c r="O29" i="7"/>
  <c r="N32" i="7"/>
  <c r="M27" i="7"/>
  <c r="O32" i="7"/>
  <c r="L30" i="7"/>
  <c r="L25" i="7"/>
  <c r="P27" i="7"/>
  <c r="N30" i="7"/>
  <c r="L33" i="7"/>
  <c r="M25" i="7"/>
  <c r="K31" i="7"/>
  <c r="P25" i="7"/>
  <c r="K26" i="7"/>
  <c r="L34" i="7"/>
  <c r="K29" i="7"/>
  <c r="P23" i="7"/>
  <c r="K24" i="7"/>
  <c r="M29" i="7"/>
  <c r="N29" i="7"/>
  <c r="K27" i="7"/>
  <c r="N27" i="7"/>
  <c r="J23" i="7"/>
  <c r="J24" i="7"/>
  <c r="J25" i="7"/>
  <c r="J26" i="7"/>
  <c r="J27" i="7"/>
  <c r="J28" i="7"/>
  <c r="J29" i="7"/>
  <c r="J30" i="7"/>
  <c r="J31" i="7"/>
  <c r="J32" i="7"/>
  <c r="J33" i="7"/>
  <c r="J34" i="7"/>
  <c r="C2" i="7"/>
  <c r="C3" i="9"/>
  <c r="C3" i="7"/>
  <c r="C9" i="4"/>
  <c r="C3" i="4"/>
  <c r="C9" i="9"/>
  <c r="C6" i="9"/>
  <c r="C2" i="9"/>
  <c r="C10" i="7"/>
  <c r="B13" i="7"/>
  <c r="K22" i="7" s="1"/>
  <c r="C7" i="7"/>
  <c r="C6" i="7"/>
  <c r="C2" i="4"/>
  <c r="I287" i="7" a="1"/>
  <c r="I289" i="7" a="1"/>
  <c r="I291" i="7" a="1"/>
  <c r="I284" i="7" a="1"/>
  <c r="I296" i="7" a="1"/>
  <c r="I295" i="7" a="1"/>
  <c r="I297" i="7" a="1"/>
  <c r="I290" i="7" a="1"/>
  <c r="I293" i="7" a="1"/>
  <c r="I286" i="7" a="1"/>
  <c r="I280" i="7" a="1"/>
  <c r="I292" i="7" a="1"/>
  <c r="I279" i="7" a="1"/>
  <c r="I278" i="7" a="1"/>
  <c r="I288" i="7" a="1"/>
  <c r="I282" i="7" a="1"/>
  <c r="I294" i="7" a="1"/>
  <c r="I281" i="7" a="1"/>
  <c r="I283" i="7" a="1"/>
  <c r="I285" i="7" a="1"/>
  <c r="I277" i="4" a="1"/>
  <c r="I258" i="9" a="1"/>
  <c r="I272" i="9" a="1"/>
  <c r="I265" i="9" a="1"/>
  <c r="I269" i="9" a="1"/>
  <c r="I269" i="4" a="1"/>
  <c r="I276" i="7" a="1"/>
  <c r="I262" i="4" a="1"/>
  <c r="I272" i="7" a="1"/>
  <c r="I264" i="7" a="1"/>
  <c r="I258" i="4" a="1"/>
  <c r="I272" i="4" a="1"/>
  <c r="I273" i="7" a="1"/>
  <c r="I274" i="7" a="1"/>
  <c r="I266" i="7" a="1"/>
  <c r="I277" i="7" a="1"/>
  <c r="I266" i="9" a="1"/>
  <c r="I264" i="4" a="1"/>
  <c r="I257" i="4" a="1"/>
  <c r="I259" i="7" a="1"/>
  <c r="I262" i="7" a="1"/>
  <c r="I270" i="4" a="1"/>
  <c r="I261" i="7" a="1"/>
  <c r="I273" i="4" a="1"/>
  <c r="I276" i="4" a="1"/>
  <c r="I274" i="9" a="1"/>
  <c r="I265" i="4" a="1"/>
  <c r="I268" i="7" a="1"/>
  <c r="I269" i="7" a="1"/>
  <c r="I258" i="7" a="1"/>
  <c r="I261" i="4" a="1"/>
  <c r="I267" i="9" a="1"/>
  <c r="I270" i="7" a="1"/>
  <c r="I270" i="9" a="1"/>
  <c r="I267" i="4" a="1"/>
  <c r="I260" i="9" a="1"/>
  <c r="I261" i="9" a="1"/>
  <c r="I268" i="4" a="1"/>
  <c r="I265" i="7" a="1"/>
  <c r="I275" i="7" a="1"/>
  <c r="I257" i="9" a="1"/>
  <c r="I271" i="9" a="1"/>
  <c r="I260" i="7" a="1"/>
  <c r="I271" i="4" a="1"/>
  <c r="I267" i="7" a="1"/>
  <c r="I274" i="4" a="1"/>
  <c r="I259" i="9" a="1"/>
  <c r="I273" i="9" a="1"/>
  <c r="I263" i="7" a="1"/>
  <c r="I257" i="7" a="1"/>
  <c r="I277" i="9" a="1"/>
  <c r="I275" i="9" a="1"/>
  <c r="I259" i="4" a="1"/>
  <c r="I263" i="4" a="1"/>
  <c r="I268" i="9" a="1"/>
  <c r="I276" i="9" a="1"/>
  <c r="I266" i="4" a="1"/>
  <c r="I262" i="9" a="1"/>
  <c r="I264" i="9" a="1"/>
  <c r="I275" i="4" a="1"/>
  <c r="I260" i="4" a="1"/>
  <c r="I271" i="7" a="1"/>
  <c r="I263" i="9" a="1"/>
  <c r="G250" i="9" l="1" a="1"/>
  <c r="G250" i="9" s="1"/>
  <c r="G249" i="9" a="1"/>
  <c r="G249" i="9" s="1"/>
  <c r="G248" i="9" a="1"/>
  <c r="G248" i="9" s="1"/>
  <c r="G247" i="9" a="1"/>
  <c r="G247" i="9" s="1"/>
  <c r="F250" i="9" a="1"/>
  <c r="F250" i="9" s="1"/>
  <c r="F249" i="9" a="1"/>
  <c r="F249" i="9" s="1"/>
  <c r="F248" i="9" a="1"/>
  <c r="F248" i="9" s="1"/>
  <c r="F247" i="9" a="1"/>
  <c r="F247" i="9" s="1"/>
  <c r="E250" i="9" a="1"/>
  <c r="E250" i="9" s="1"/>
  <c r="E249" i="9" a="1"/>
  <c r="E249" i="9" s="1"/>
  <c r="E247" i="9" a="1"/>
  <c r="E247" i="9" s="1"/>
  <c r="E248" i="9" a="1"/>
  <c r="E248" i="9" s="1"/>
  <c r="D250" i="9" a="1"/>
  <c r="D250" i="9" s="1"/>
  <c r="D249" i="9" a="1"/>
  <c r="D249" i="9" s="1"/>
  <c r="D248" i="9" a="1"/>
  <c r="D248" i="9" s="1"/>
  <c r="D247" i="9" a="1"/>
  <c r="D247" i="9" s="1"/>
  <c r="C249" i="9" a="1"/>
  <c r="C249" i="9" s="1"/>
  <c r="C250" i="9" a="1"/>
  <c r="C250" i="9" s="1"/>
  <c r="C248" i="9" a="1"/>
  <c r="C248" i="9" s="1"/>
  <c r="C247" i="9" a="1"/>
  <c r="C247" i="9" s="1"/>
  <c r="B249" i="9" a="1"/>
  <c r="B249" i="9" s="1"/>
  <c r="B248" i="9" a="1"/>
  <c r="B248" i="9" s="1"/>
  <c r="B250" i="9" a="1"/>
  <c r="B250" i="9" s="1"/>
  <c r="B247" i="9" a="1"/>
  <c r="B247" i="9" s="1"/>
  <c r="H250" i="4" a="1"/>
  <c r="H250" i="4" s="1"/>
  <c r="H249" i="4" a="1"/>
  <c r="H249" i="4" s="1"/>
  <c r="H248" i="4" a="1"/>
  <c r="H248" i="4" s="1"/>
  <c r="H247" i="4" a="1"/>
  <c r="H247" i="4" s="1"/>
  <c r="G250" i="4" a="1"/>
  <c r="G250" i="4" s="1"/>
  <c r="G248" i="4" a="1"/>
  <c r="G248" i="4" s="1"/>
  <c r="G247" i="4" a="1"/>
  <c r="G247" i="4" s="1"/>
  <c r="G249" i="4" a="1"/>
  <c r="G249" i="4" s="1"/>
  <c r="F249" i="4" a="1"/>
  <c r="F249" i="4" s="1"/>
  <c r="F250" i="4" a="1"/>
  <c r="F250" i="4" s="1"/>
  <c r="F248" i="4" a="1"/>
  <c r="F248" i="4" s="1"/>
  <c r="F247" i="4" a="1"/>
  <c r="F247" i="4" s="1"/>
  <c r="E250" i="4" a="1"/>
  <c r="E250" i="4" s="1"/>
  <c r="E248" i="4" a="1"/>
  <c r="E248" i="4" s="1"/>
  <c r="E247" i="4" a="1"/>
  <c r="E247" i="4" s="1"/>
  <c r="E249" i="4" a="1"/>
  <c r="E249" i="4" s="1"/>
  <c r="D250" i="4" a="1"/>
  <c r="D250" i="4" s="1"/>
  <c r="D249" i="4" a="1"/>
  <c r="D249" i="4" s="1"/>
  <c r="D247" i="4" a="1"/>
  <c r="D247" i="4" s="1"/>
  <c r="D248" i="4" a="1"/>
  <c r="D248" i="4" s="1"/>
  <c r="C250" i="4" a="1"/>
  <c r="C250" i="4" s="1"/>
  <c r="C248" i="4" a="1"/>
  <c r="C248" i="4" s="1"/>
  <c r="C249" i="4" a="1"/>
  <c r="C249" i="4" s="1"/>
  <c r="C247" i="4" a="1"/>
  <c r="C247" i="4" s="1"/>
  <c r="B247" i="4" a="1"/>
  <c r="B247" i="4" s="1"/>
  <c r="B250" i="4" a="1"/>
  <c r="B250" i="4" s="1"/>
  <c r="B249" i="4" a="1"/>
  <c r="B249" i="4" s="1"/>
  <c r="B248" i="4" a="1"/>
  <c r="B248" i="4" s="1"/>
  <c r="G250" i="7" a="1"/>
  <c r="G250" i="7" s="1"/>
  <c r="G249" i="7" a="1"/>
  <c r="G249" i="7" s="1"/>
  <c r="G248" i="7" a="1"/>
  <c r="G248" i="7" s="1"/>
  <c r="G247" i="7" a="1"/>
  <c r="G247" i="7" s="1"/>
  <c r="H250" i="7" a="1"/>
  <c r="H250" i="7" s="1"/>
  <c r="H249" i="7" a="1"/>
  <c r="H249" i="7" s="1"/>
  <c r="H247" i="7" a="1"/>
  <c r="H247" i="7" s="1"/>
  <c r="H248" i="7" a="1"/>
  <c r="H248" i="7" s="1"/>
  <c r="I285" i="7"/>
  <c r="I283" i="7"/>
  <c r="I281" i="7"/>
  <c r="I294" i="7"/>
  <c r="I282" i="7"/>
  <c r="I288" i="7"/>
  <c r="I278" i="7"/>
  <c r="I279" i="7"/>
  <c r="I292" i="7"/>
  <c r="I280" i="7"/>
  <c r="I286" i="7"/>
  <c r="I293" i="7"/>
  <c r="I290" i="7"/>
  <c r="I297" i="7"/>
  <c r="I295" i="7"/>
  <c r="I296" i="7"/>
  <c r="I284" i="7"/>
  <c r="I291" i="7"/>
  <c r="I289" i="7"/>
  <c r="I287" i="7"/>
  <c r="B18" i="9"/>
  <c r="C12" i="9"/>
  <c r="I257" i="9"/>
  <c r="B18" i="4"/>
  <c r="C12" i="4"/>
  <c r="C12" i="7"/>
  <c r="B18" i="7"/>
  <c r="I263" i="9"/>
  <c r="I262" i="9"/>
  <c r="I277" i="9"/>
  <c r="I261" i="9"/>
  <c r="I266" i="9"/>
  <c r="I269" i="9"/>
  <c r="I265" i="9"/>
  <c r="I258" i="9"/>
  <c r="I271" i="9"/>
  <c r="I273" i="9"/>
  <c r="I268" i="9"/>
  <c r="I264" i="9"/>
  <c r="I276" i="9"/>
  <c r="I275" i="9"/>
  <c r="I260" i="9"/>
  <c r="I259" i="9"/>
  <c r="I270" i="9"/>
  <c r="I267" i="9"/>
  <c r="I274" i="9"/>
  <c r="I272" i="9"/>
  <c r="I272" i="7"/>
  <c r="I262" i="7"/>
  <c r="I266" i="7"/>
  <c r="I274" i="7"/>
  <c r="I258" i="7"/>
  <c r="I264" i="7"/>
  <c r="I268" i="7"/>
  <c r="I270" i="7"/>
  <c r="I260" i="7"/>
  <c r="I276" i="7"/>
  <c r="I257" i="7"/>
  <c r="I259" i="7"/>
  <c r="I261" i="7"/>
  <c r="I263" i="7"/>
  <c r="I265" i="7"/>
  <c r="I267" i="7"/>
  <c r="I269" i="7"/>
  <c r="I271" i="7"/>
  <c r="I273" i="7"/>
  <c r="I275" i="7"/>
  <c r="I277" i="7"/>
  <c r="I270" i="4"/>
  <c r="I272" i="4"/>
  <c r="I258" i="4"/>
  <c r="I262" i="4"/>
  <c r="I264" i="4"/>
  <c r="I268" i="4"/>
  <c r="I274" i="4"/>
  <c r="I257" i="4"/>
  <c r="I259" i="4"/>
  <c r="I261" i="4"/>
  <c r="I263" i="4"/>
  <c r="I265" i="4"/>
  <c r="I267" i="4"/>
  <c r="I269" i="4"/>
  <c r="I271" i="4"/>
  <c r="I273" i="4"/>
  <c r="I275" i="4"/>
  <c r="I277" i="4"/>
  <c r="I260" i="4"/>
  <c r="I266" i="4"/>
  <c r="I276" i="4"/>
  <c r="N22" i="7"/>
  <c r="P22" i="7"/>
  <c r="O22" i="7"/>
  <c r="L22" i="7"/>
  <c r="M22" i="7"/>
  <c r="D13" i="7"/>
  <c r="J22" i="7"/>
  <c r="H270" i="7" a="1"/>
  <c r="D265" i="7" a="1"/>
  <c r="D272" i="9" a="1"/>
  <c r="H258" i="9" a="1"/>
  <c r="G260" i="9" a="1"/>
  <c r="F267" i="9" a="1"/>
  <c r="F267" i="4" a="1"/>
  <c r="G258" i="4" a="1"/>
  <c r="D281" i="7" a="1"/>
  <c r="D287" i="7" a="1"/>
  <c r="D280" i="7" a="1"/>
  <c r="D291" i="7" a="1"/>
  <c r="D288" i="7" a="1"/>
  <c r="D292" i="7" a="1"/>
  <c r="D284" i="7" a="1"/>
  <c r="D295" i="7" a="1"/>
  <c r="D294" i="7" a="1"/>
  <c r="D285" i="7" a="1"/>
  <c r="D293" i="7" a="1"/>
  <c r="D286" i="7" a="1"/>
  <c r="D296" i="7" a="1"/>
  <c r="D282" i="7" a="1"/>
  <c r="D290" i="7" a="1"/>
  <c r="D279" i="7" a="1"/>
  <c r="D283" i="7" a="1"/>
  <c r="D278" i="7" a="1"/>
  <c r="D289" i="7" a="1"/>
  <c r="D297" i="7" a="1"/>
  <c r="F271" i="9" a="1"/>
  <c r="H267" i="7" a="1"/>
  <c r="D269" i="7" a="1"/>
  <c r="D277" i="9" a="1"/>
  <c r="G277" i="9" a="1"/>
  <c r="F257" i="9" a="1"/>
  <c r="F266" i="4" a="1"/>
  <c r="G268" i="4" a="1"/>
  <c r="H265" i="7" a="1"/>
  <c r="B264" i="9" a="1"/>
  <c r="H273" i="4" a="1"/>
  <c r="C273" i="9" a="1"/>
  <c r="E268" i="9" a="1"/>
  <c r="H260" i="4" a="1"/>
  <c r="H268" i="7" a="1"/>
  <c r="D260" i="9" a="1"/>
  <c r="G271" i="4" a="1"/>
  <c r="C277" i="7" a="1"/>
  <c r="D258" i="7" a="1"/>
  <c r="B260" i="9" a="1"/>
  <c r="H259" i="7" a="1"/>
  <c r="D267" i="7" a="1"/>
  <c r="D269" i="9" a="1"/>
  <c r="H267" i="9" a="1"/>
  <c r="G262" i="9" a="1"/>
  <c r="F273" i="4" a="1"/>
  <c r="G274" i="4" a="1"/>
  <c r="H273" i="9" a="1"/>
  <c r="C259" i="9" a="1"/>
  <c r="D265" i="9" a="1"/>
  <c r="G258" i="9" a="1"/>
  <c r="E277" i="9" a="1"/>
  <c r="F277" i="4" a="1"/>
  <c r="C271" i="7" a="1"/>
  <c r="H269" i="7" a="1"/>
  <c r="C261" i="9" a="1"/>
  <c r="D258" i="9" a="1"/>
  <c r="B266" i="9" a="1"/>
  <c r="G276" i="9" a="1"/>
  <c r="E269" i="9" a="1"/>
  <c r="F268" i="4" a="1"/>
  <c r="H259" i="4" a="1"/>
  <c r="C258" i="9" a="1"/>
  <c r="F259" i="4" a="1"/>
  <c r="H277" i="9" a="1"/>
  <c r="H263" i="4" a="1"/>
  <c r="H262" i="4" a="1"/>
  <c r="C275" i="9" a="1"/>
  <c r="F262" i="9" a="1"/>
  <c r="G260" i="4" a="1"/>
  <c r="E272" i="9" a="1"/>
  <c r="F262" i="4" a="1"/>
  <c r="C274" i="7" a="1"/>
  <c r="D274" i="7" a="1"/>
  <c r="C265" i="9" a="1"/>
  <c r="D273" i="9" a="1"/>
  <c r="F271" i="4" a="1"/>
  <c r="C276" i="7" a="1"/>
  <c r="H263" i="7" a="1"/>
  <c r="D268" i="7" a="1"/>
  <c r="D259" i="9" a="1"/>
  <c r="H260" i="9" a="1"/>
  <c r="G257" i="9" a="1"/>
  <c r="F260" i="9" a="1"/>
  <c r="F263" i="4" a="1"/>
  <c r="G265" i="4" a="1"/>
  <c r="H262" i="7" a="1"/>
  <c r="G259" i="9" a="1"/>
  <c r="F270" i="4" a="1"/>
  <c r="B274" i="9" a="1"/>
  <c r="F270" i="9" a="1"/>
  <c r="E266" i="9" a="1"/>
  <c r="G257" i="4" a="1"/>
  <c r="G263" i="4" a="1"/>
  <c r="H271" i="9" a="1"/>
  <c r="G263" i="9" a="1"/>
  <c r="F258" i="4" a="1"/>
  <c r="G265" i="9" a="1"/>
  <c r="H275" i="7" a="1"/>
  <c r="D271" i="7" a="1"/>
  <c r="D270" i="9" a="1"/>
  <c r="H266" i="9" a="1"/>
  <c r="G261" i="9" a="1"/>
  <c r="F266" i="9" a="1"/>
  <c r="F257" i="4" a="1"/>
  <c r="H268" i="4" a="1"/>
  <c r="H261" i="7" a="1"/>
  <c r="C264" i="9" a="1"/>
  <c r="D261" i="9" a="1"/>
  <c r="G274" i="9" a="1"/>
  <c r="F261" i="4" a="1"/>
  <c r="H257" i="4" a="1"/>
  <c r="H277" i="7" a="1"/>
  <c r="G266" i="9" a="1"/>
  <c r="F272" i="4" a="1"/>
  <c r="C258" i="7" a="1"/>
  <c r="H276" i="7" a="1"/>
  <c r="C263" i="9" a="1"/>
  <c r="B268" i="9" a="1"/>
  <c r="F259" i="9" a="1"/>
  <c r="E273" i="9" a="1"/>
  <c r="G262" i="4" a="1"/>
  <c r="G266" i="4" a="1"/>
  <c r="E261" i="9" a="1"/>
  <c r="H264" i="7" a="1"/>
  <c r="D261" i="7" a="1"/>
  <c r="D266" i="9" a="1"/>
  <c r="H275" i="9" a="1"/>
  <c r="G269" i="9" a="1"/>
  <c r="E260" i="9" a="1"/>
  <c r="F264" i="4" a="1"/>
  <c r="H264" i="4" a="1"/>
  <c r="B272" i="9" a="1"/>
  <c r="C264" i="7" a="1"/>
  <c r="D264" i="9" a="1"/>
  <c r="E270" i="9" a="1"/>
  <c r="H266" i="4" a="1"/>
  <c r="C285" i="7" a="1"/>
  <c r="C295" i="7" a="1"/>
  <c r="C291" i="7" a="1"/>
  <c r="C278" i="7" a="1"/>
  <c r="C280" i="7" a="1"/>
  <c r="C282" i="7" a="1"/>
  <c r="C281" i="7" a="1"/>
  <c r="C286" i="7" a="1"/>
  <c r="C289" i="7" a="1"/>
  <c r="C297" i="7" a="1"/>
  <c r="C290" i="7" a="1"/>
  <c r="C283" i="7" a="1"/>
  <c r="C288" i="7" a="1"/>
  <c r="C279" i="7" a="1"/>
  <c r="C292" i="7" a="1"/>
  <c r="C296" i="7" a="1"/>
  <c r="C284" i="7" a="1"/>
  <c r="C287" i="7" a="1"/>
  <c r="C294" i="7" a="1"/>
  <c r="C293" i="7" a="1"/>
  <c r="H276" i="4" a="1"/>
  <c r="C275" i="7" a="1"/>
  <c r="H260" i="7" a="1"/>
  <c r="C270" i="9" a="1"/>
  <c r="B275" i="9" a="1"/>
  <c r="G275" i="9" a="1"/>
  <c r="E265" i="9" a="1"/>
  <c r="G259" i="4" a="1"/>
  <c r="C268" i="7" a="1"/>
  <c r="H257" i="7" a="1"/>
  <c r="C267" i="9" a="1"/>
  <c r="H261" i="9" a="1"/>
  <c r="B261" i="9" a="1"/>
  <c r="F272" i="9" a="1"/>
  <c r="E271" i="9" a="1"/>
  <c r="G264" i="4" a="1"/>
  <c r="H270" i="4" a="1"/>
  <c r="H267" i="4" a="1"/>
  <c r="D272" i="7" a="1"/>
  <c r="D273" i="7" a="1"/>
  <c r="H265" i="9" a="1"/>
  <c r="H274" i="9" a="1"/>
  <c r="G268" i="9" a="1"/>
  <c r="H276" i="9" a="1"/>
  <c r="G275" i="4" a="1"/>
  <c r="H272" i="7" a="1"/>
  <c r="D277" i="7" a="1"/>
  <c r="D275" i="9" a="1"/>
  <c r="B271" i="9" a="1"/>
  <c r="G264" i="9" a="1"/>
  <c r="E264" i="9" a="1"/>
  <c r="F260" i="4" a="1"/>
  <c r="H271" i="4" a="1"/>
  <c r="E276" i="9" a="1"/>
  <c r="C262" i="7" a="1"/>
  <c r="H273" i="7" a="1"/>
  <c r="C274" i="9" a="1"/>
  <c r="D267" i="9" a="1"/>
  <c r="B259" i="9" a="1"/>
  <c r="G271" i="9" a="1"/>
  <c r="E267" i="9" a="1"/>
  <c r="F265" i="4" a="1"/>
  <c r="H275" i="4" a="1"/>
  <c r="C272" i="7" a="1"/>
  <c r="D274" i="9" a="1"/>
  <c r="C257" i="7" a="1"/>
  <c r="C260" i="9" a="1"/>
  <c r="B273" i="9" a="1"/>
  <c r="F275" i="9" a="1"/>
  <c r="H269" i="4" a="1"/>
  <c r="C273" i="7" a="1"/>
  <c r="D262" i="7" a="1"/>
  <c r="C277" i="9" a="1"/>
  <c r="H268" i="9" a="1"/>
  <c r="B270" i="9" a="1"/>
  <c r="F258" i="9" a="1"/>
  <c r="E263" i="9" a="1"/>
  <c r="C266" i="7" a="1"/>
  <c r="B258" i="9" a="1"/>
  <c r="B276" i="9" a="1"/>
  <c r="C263" i="7" a="1"/>
  <c r="G270" i="4" a="1"/>
  <c r="C259" i="7" a="1"/>
  <c r="B277" i="9" a="1"/>
  <c r="B263" i="9" a="1"/>
  <c r="C267" i="7" a="1"/>
  <c r="H266" i="7" a="1"/>
  <c r="C257" i="9" a="1"/>
  <c r="D276" i="9" a="1"/>
  <c r="B265" i="9" a="1"/>
  <c r="G270" i="9" a="1"/>
  <c r="E262" i="9" a="1"/>
  <c r="D271" i="9" a="1"/>
  <c r="H265" i="4" a="1"/>
  <c r="D263" i="7" a="1"/>
  <c r="D275" i="7" a="1"/>
  <c r="F263" i="9" a="1"/>
  <c r="D268" i="9" a="1"/>
  <c r="F274" i="4" a="1"/>
  <c r="F269" i="9" a="1"/>
  <c r="F277" i="9" a="1"/>
  <c r="D260" i="7" a="1"/>
  <c r="D263" i="9" a="1"/>
  <c r="G261" i="4" a="1"/>
  <c r="D276" i="7" a="1"/>
  <c r="F276" i="4" a="1"/>
  <c r="C265" i="7" a="1"/>
  <c r="H271" i="7" a="1"/>
  <c r="C266" i="9" a="1"/>
  <c r="D262" i="9" a="1"/>
  <c r="B257" i="9" a="1"/>
  <c r="G273" i="9" a="1"/>
  <c r="E258" i="9" a="1"/>
  <c r="F275" i="4" a="1"/>
  <c r="H274" i="4" a="1"/>
  <c r="E257" i="9" a="1"/>
  <c r="H272" i="9" a="1"/>
  <c r="C271" i="9" a="1"/>
  <c r="F273" i="9" a="1"/>
  <c r="G269" i="4" a="1"/>
  <c r="C268" i="9" a="1"/>
  <c r="D257" i="7" a="1"/>
  <c r="F276" i="9" a="1"/>
  <c r="D259" i="7" a="1"/>
  <c r="H274" i="7" a="1"/>
  <c r="G267" i="9" a="1"/>
  <c r="G276" i="4" a="1"/>
  <c r="C260" i="7" a="1"/>
  <c r="D264" i="7" a="1"/>
  <c r="C262" i="9" a="1"/>
  <c r="H262" i="9" a="1"/>
  <c r="B269" i="9" a="1"/>
  <c r="F268" i="9" a="1"/>
  <c r="E259" i="9" a="1"/>
  <c r="G267" i="4" a="1"/>
  <c r="H258" i="4" a="1"/>
  <c r="C261" i="7" a="1"/>
  <c r="D266" i="7" a="1"/>
  <c r="C272" i="9" a="1"/>
  <c r="H264" i="9" a="1"/>
  <c r="B262" i="9" a="1"/>
  <c r="F261" i="9" a="1"/>
  <c r="E275" i="9" a="1"/>
  <c r="G273" i="4" a="1"/>
  <c r="H261" i="4" a="1"/>
  <c r="C269" i="7" a="1"/>
  <c r="D270" i="7" a="1"/>
  <c r="C276" i="9" a="1"/>
  <c r="H259" i="9" a="1"/>
  <c r="B267" i="9" a="1"/>
  <c r="F274" i="9" a="1"/>
  <c r="E274" i="9" a="1"/>
  <c r="G272" i="4" a="1"/>
  <c r="H277" i="4" a="1"/>
  <c r="H270" i="9" a="1"/>
  <c r="C270" i="7" a="1"/>
  <c r="C269" i="9" a="1"/>
  <c r="H269" i="9" a="1"/>
  <c r="F269" i="4" a="1"/>
  <c r="G272" i="9" a="1"/>
  <c r="D257" i="9" a="1"/>
  <c r="H257" i="9" a="1"/>
  <c r="F265" i="9" a="1"/>
  <c r="G277" i="4" a="1"/>
  <c r="H284" i="7" a="1"/>
  <c r="H292" i="7" a="1"/>
  <c r="H282" i="7" a="1"/>
  <c r="H294" i="7" a="1"/>
  <c r="H297" i="7" a="1"/>
  <c r="H288" i="7" a="1"/>
  <c r="H289" i="7" a="1"/>
  <c r="H280" i="7" a="1"/>
  <c r="H285" i="7" a="1"/>
  <c r="H290" i="7" a="1"/>
  <c r="H295" i="7" a="1"/>
  <c r="H278" i="7" a="1"/>
  <c r="H296" i="7" a="1"/>
  <c r="H279" i="7" a="1"/>
  <c r="H283" i="7" a="1"/>
  <c r="H286" i="7" a="1"/>
  <c r="H287" i="7" a="1"/>
  <c r="H281" i="7" a="1"/>
  <c r="H291" i="7" a="1"/>
  <c r="H293" i="7" a="1"/>
  <c r="H272" i="4" a="1"/>
  <c r="F264" i="9" a="1"/>
  <c r="H258" i="7" a="1"/>
  <c r="H263" i="9" a="1"/>
  <c r="H293" i="7" l="1"/>
  <c r="H291" i="7"/>
  <c r="H281" i="7"/>
  <c r="H287" i="7"/>
  <c r="H286" i="7"/>
  <c r="H283" i="7"/>
  <c r="H279" i="7"/>
  <c r="H296" i="7"/>
  <c r="H278" i="7"/>
  <c r="H295" i="7"/>
  <c r="H290" i="7"/>
  <c r="H285" i="7"/>
  <c r="H280" i="7"/>
  <c r="H289" i="7"/>
  <c r="H288" i="7"/>
  <c r="H297" i="7"/>
  <c r="H294" i="7"/>
  <c r="H282" i="7"/>
  <c r="H292" i="7"/>
  <c r="H284" i="7"/>
  <c r="C293" i="7"/>
  <c r="C294" i="7"/>
  <c r="C287" i="7"/>
  <c r="C284" i="7"/>
  <c r="C296" i="7"/>
  <c r="C292" i="7"/>
  <c r="C279" i="7"/>
  <c r="C288" i="7"/>
  <c r="C283" i="7"/>
  <c r="C290" i="7"/>
  <c r="C297" i="7"/>
  <c r="C289" i="7"/>
  <c r="C286" i="7"/>
  <c r="C281" i="7"/>
  <c r="C282" i="7"/>
  <c r="C280" i="7"/>
  <c r="C278" i="7"/>
  <c r="C291" i="7"/>
  <c r="C295" i="7"/>
  <c r="C285" i="7"/>
  <c r="D297" i="7"/>
  <c r="D289" i="7"/>
  <c r="D278" i="7"/>
  <c r="D283" i="7"/>
  <c r="D279" i="7"/>
  <c r="D290" i="7"/>
  <c r="D282" i="7"/>
  <c r="D296" i="7"/>
  <c r="D286" i="7"/>
  <c r="D293" i="7"/>
  <c r="D285" i="7"/>
  <c r="D294" i="7"/>
  <c r="D295" i="7"/>
  <c r="D284" i="7"/>
  <c r="D292" i="7"/>
  <c r="D288" i="7"/>
  <c r="D291" i="7"/>
  <c r="D280" i="7"/>
  <c r="D287" i="7"/>
  <c r="D281" i="7"/>
  <c r="D17" i="9"/>
  <c r="E17" i="9" s="1"/>
  <c r="D16" i="9"/>
  <c r="D16" i="4"/>
  <c r="D17" i="4"/>
  <c r="E17" i="4" s="1"/>
  <c r="D17" i="7"/>
  <c r="E17" i="7" s="1"/>
  <c r="D16" i="7"/>
  <c r="D277" i="7"/>
  <c r="D261" i="7"/>
  <c r="D271" i="7"/>
  <c r="D269" i="7"/>
  <c r="D268" i="7"/>
  <c r="D267" i="7"/>
  <c r="D265" i="7"/>
  <c r="D276" i="7"/>
  <c r="D260" i="7"/>
  <c r="D275" i="7"/>
  <c r="D259" i="7"/>
  <c r="D274" i="7"/>
  <c r="D258" i="7"/>
  <c r="D273" i="7"/>
  <c r="D272" i="7"/>
  <c r="D270" i="7"/>
  <c r="D266" i="7"/>
  <c r="D264" i="7"/>
  <c r="D263" i="7"/>
  <c r="D262" i="7"/>
  <c r="H257" i="7"/>
  <c r="H276" i="7"/>
  <c r="H268" i="7"/>
  <c r="H260" i="7"/>
  <c r="H271" i="7"/>
  <c r="H266" i="7"/>
  <c r="H262" i="7"/>
  <c r="H277" i="7"/>
  <c r="H273" i="7"/>
  <c r="H269" i="7"/>
  <c r="H265" i="7"/>
  <c r="H261" i="7"/>
  <c r="H272" i="7"/>
  <c r="H264" i="7"/>
  <c r="H275" i="7"/>
  <c r="H267" i="7"/>
  <c r="H263" i="7"/>
  <c r="H259" i="7"/>
  <c r="H270" i="7"/>
  <c r="H274" i="7"/>
  <c r="H258" i="7"/>
  <c r="C276" i="7"/>
  <c r="C259" i="7"/>
  <c r="C274" i="7"/>
  <c r="C263" i="7"/>
  <c r="C270" i="7"/>
  <c r="C277" i="7"/>
  <c r="C269" i="7"/>
  <c r="C261" i="7"/>
  <c r="C260" i="7"/>
  <c r="C266" i="7"/>
  <c r="C273" i="7"/>
  <c r="C268" i="7"/>
  <c r="C258" i="7"/>
  <c r="C257" i="7"/>
  <c r="C275" i="7"/>
  <c r="C265" i="7"/>
  <c r="C267" i="7"/>
  <c r="C272" i="7"/>
  <c r="C264" i="7"/>
  <c r="C262" i="7"/>
  <c r="C271" i="7"/>
  <c r="E266" i="9"/>
  <c r="E272" i="9"/>
  <c r="E274" i="9"/>
  <c r="E275" i="9"/>
  <c r="E259" i="9"/>
  <c r="E261" i="9"/>
  <c r="E263" i="9"/>
  <c r="E271" i="9"/>
  <c r="E273" i="9"/>
  <c r="E257" i="9"/>
  <c r="E265" i="9"/>
  <c r="E258" i="9"/>
  <c r="E262" i="9"/>
  <c r="E268" i="9"/>
  <c r="E270" i="9"/>
  <c r="E267" i="9"/>
  <c r="E269" i="9"/>
  <c r="E277" i="9"/>
  <c r="E276" i="9"/>
  <c r="E264" i="9"/>
  <c r="E260" i="9"/>
  <c r="F266" i="9"/>
  <c r="F257" i="9"/>
  <c r="F260" i="9"/>
  <c r="F271" i="9"/>
  <c r="F267" i="9"/>
  <c r="F269" i="9"/>
  <c r="F265" i="9"/>
  <c r="F263" i="9"/>
  <c r="F277" i="9"/>
  <c r="F264" i="9"/>
  <c r="F276" i="9"/>
  <c r="F270" i="9"/>
  <c r="F273" i="9"/>
  <c r="F274" i="9"/>
  <c r="F261" i="9"/>
  <c r="F268" i="9"/>
  <c r="F262" i="9"/>
  <c r="F258" i="9"/>
  <c r="F272" i="9"/>
  <c r="F259" i="9"/>
  <c r="F275" i="9"/>
  <c r="G275" i="9"/>
  <c r="G273" i="9"/>
  <c r="G270" i="9"/>
  <c r="G259" i="9"/>
  <c r="G266" i="9"/>
  <c r="G271" i="9"/>
  <c r="G276" i="9"/>
  <c r="G258" i="9"/>
  <c r="G274" i="9"/>
  <c r="G264" i="9"/>
  <c r="G269" i="9"/>
  <c r="G261" i="9"/>
  <c r="G277" i="9"/>
  <c r="G257" i="9"/>
  <c r="G262" i="9"/>
  <c r="G260" i="9"/>
  <c r="G267" i="9"/>
  <c r="G265" i="9"/>
  <c r="G263" i="9"/>
  <c r="G272" i="9"/>
  <c r="G268" i="9"/>
  <c r="B260" i="9"/>
  <c r="B274" i="9"/>
  <c r="B276" i="9"/>
  <c r="B267" i="9"/>
  <c r="B262" i="9"/>
  <c r="B269" i="9"/>
  <c r="B258" i="9"/>
  <c r="B270" i="9"/>
  <c r="B261" i="9"/>
  <c r="B268" i="9"/>
  <c r="B273" i="9"/>
  <c r="B275" i="9"/>
  <c r="B257" i="9"/>
  <c r="B265" i="9"/>
  <c r="B263" i="9"/>
  <c r="B277" i="9"/>
  <c r="B259" i="9"/>
  <c r="B266" i="9"/>
  <c r="B264" i="9"/>
  <c r="B272" i="9"/>
  <c r="B271" i="9"/>
  <c r="H275" i="9"/>
  <c r="H266" i="9"/>
  <c r="H273" i="9"/>
  <c r="H260" i="9"/>
  <c r="H267" i="9"/>
  <c r="H258" i="9"/>
  <c r="H263" i="9"/>
  <c r="H257" i="9"/>
  <c r="H271" i="9"/>
  <c r="H276" i="9"/>
  <c r="H269" i="9"/>
  <c r="H274" i="9"/>
  <c r="H265" i="9"/>
  <c r="H270" i="9"/>
  <c r="H259" i="9"/>
  <c r="H264" i="9"/>
  <c r="H262" i="9"/>
  <c r="H272" i="9"/>
  <c r="H268" i="9"/>
  <c r="H261" i="9"/>
  <c r="H277" i="9"/>
  <c r="D260" i="9"/>
  <c r="D271" i="9"/>
  <c r="D262" i="9"/>
  <c r="D276" i="9"/>
  <c r="D274" i="9"/>
  <c r="D264" i="9"/>
  <c r="D267" i="9"/>
  <c r="D258" i="9"/>
  <c r="D265" i="9"/>
  <c r="D261" i="9"/>
  <c r="D275" i="9"/>
  <c r="D266" i="9"/>
  <c r="D270" i="9"/>
  <c r="D277" i="9"/>
  <c r="D259" i="9"/>
  <c r="D269" i="9"/>
  <c r="D272" i="9"/>
  <c r="D263" i="9"/>
  <c r="D268" i="9"/>
  <c r="D257" i="9"/>
  <c r="D273" i="9"/>
  <c r="C265" i="9"/>
  <c r="C269" i="9"/>
  <c r="C268" i="9"/>
  <c r="C271" i="9"/>
  <c r="C276" i="9"/>
  <c r="C272" i="9"/>
  <c r="C262" i="9"/>
  <c r="C275" i="9"/>
  <c r="C277" i="9"/>
  <c r="C267" i="9"/>
  <c r="C263" i="9"/>
  <c r="C260" i="9"/>
  <c r="C270" i="9"/>
  <c r="C266" i="9"/>
  <c r="C257" i="9"/>
  <c r="C273" i="9"/>
  <c r="C258" i="9"/>
  <c r="C274" i="9"/>
  <c r="C261" i="9"/>
  <c r="C259" i="9"/>
  <c r="C264" i="9"/>
  <c r="H272" i="4"/>
  <c r="H277" i="4"/>
  <c r="H261" i="4"/>
  <c r="H258" i="4"/>
  <c r="H267" i="4"/>
  <c r="H262" i="4"/>
  <c r="H270" i="4"/>
  <c r="H263" i="4"/>
  <c r="H269" i="4"/>
  <c r="H265" i="4"/>
  <c r="H274" i="4"/>
  <c r="H276" i="4"/>
  <c r="H260" i="4"/>
  <c r="H266" i="4"/>
  <c r="H275" i="4"/>
  <c r="H259" i="4"/>
  <c r="H273" i="4"/>
  <c r="H257" i="4"/>
  <c r="H271" i="4"/>
  <c r="H264" i="4"/>
  <c r="H268" i="4"/>
  <c r="G268" i="4"/>
  <c r="G265" i="4"/>
  <c r="G274" i="4"/>
  <c r="G258" i="4"/>
  <c r="G276" i="4"/>
  <c r="G277" i="4"/>
  <c r="G261" i="4"/>
  <c r="G275" i="4"/>
  <c r="G270" i="4"/>
  <c r="G263" i="4"/>
  <c r="G257" i="4"/>
  <c r="G269" i="4"/>
  <c r="G272" i="4"/>
  <c r="G273" i="4"/>
  <c r="G267" i="4"/>
  <c r="G260" i="4"/>
  <c r="G266" i="4"/>
  <c r="G264" i="4"/>
  <c r="G262" i="4"/>
  <c r="G271" i="4"/>
  <c r="G259" i="4"/>
  <c r="F275" i="4"/>
  <c r="F259" i="4"/>
  <c r="F270" i="4"/>
  <c r="F272" i="4"/>
  <c r="F265" i="4"/>
  <c r="F268" i="4"/>
  <c r="F277" i="4"/>
  <c r="F261" i="4"/>
  <c r="F260" i="4"/>
  <c r="F264" i="4"/>
  <c r="F257" i="4"/>
  <c r="F266" i="4"/>
  <c r="F263" i="4"/>
  <c r="F273" i="4"/>
  <c r="F267" i="4"/>
  <c r="F276" i="4"/>
  <c r="F274" i="4"/>
  <c r="F258" i="4"/>
  <c r="F271" i="4"/>
  <c r="F269" i="4"/>
  <c r="F262" i="4"/>
  <c r="D257" i="7"/>
  <c r="E19" i="7" a="1"/>
  <c r="E19" i="9" a="1"/>
  <c r="B266" i="4" a="1"/>
  <c r="D257" i="4" a="1"/>
  <c r="E265" i="7" a="1"/>
  <c r="B260" i="7" a="1"/>
  <c r="F276" i="7" a="1"/>
  <c r="B273" i="4" a="1"/>
  <c r="D273" i="4" a="1"/>
  <c r="E268" i="7" a="1"/>
  <c r="F261" i="7" a="1"/>
  <c r="B269" i="4" a="1"/>
  <c r="G268" i="7" a="1"/>
  <c r="C257" i="4" a="1"/>
  <c r="E259" i="7" a="1"/>
  <c r="F274" i="7" a="1"/>
  <c r="B260" i="4" a="1"/>
  <c r="E261" i="4" a="1"/>
  <c r="G275" i="7" a="1"/>
  <c r="C265" i="4" a="1"/>
  <c r="B270" i="4" a="1"/>
  <c r="E270" i="7" a="1"/>
  <c r="B262" i="4" a="1"/>
  <c r="G287" i="7" a="1"/>
  <c r="G286" i="7" a="1"/>
  <c r="G280" i="7" a="1"/>
  <c r="G278" i="7" a="1"/>
  <c r="G290" i="7" a="1"/>
  <c r="G293" i="7" a="1"/>
  <c r="G288" i="7" a="1"/>
  <c r="G285" i="7" a="1"/>
  <c r="G282" i="7" a="1"/>
  <c r="G295" i="7" a="1"/>
  <c r="G291" i="7" a="1"/>
  <c r="G279" i="7" a="1"/>
  <c r="G283" i="7" a="1"/>
  <c r="G281" i="7" a="1"/>
  <c r="G294" i="7" a="1"/>
  <c r="G296" i="7" a="1"/>
  <c r="G297" i="7" a="1"/>
  <c r="G284" i="7" a="1"/>
  <c r="G289" i="7" a="1"/>
  <c r="G292" i="7" a="1"/>
  <c r="G273" i="7" a="1"/>
  <c r="C266" i="4" a="1"/>
  <c r="B258" i="4" a="1"/>
  <c r="E272" i="4" a="1"/>
  <c r="E262" i="7" a="1"/>
  <c r="G269" i="7" a="1"/>
  <c r="B267" i="4" a="1"/>
  <c r="C268" i="4" a="1"/>
  <c r="D260" i="4" a="1"/>
  <c r="E273" i="4" a="1"/>
  <c r="B270" i="7" a="1"/>
  <c r="F279" i="7" a="1"/>
  <c r="F281" i="7" a="1"/>
  <c r="F288" i="7" a="1"/>
  <c r="F282" i="7" a="1"/>
  <c r="F285" i="7" a="1"/>
  <c r="F294" i="7" a="1"/>
  <c r="F287" i="7" a="1"/>
  <c r="F283" i="7" a="1"/>
  <c r="F291" i="7" a="1"/>
  <c r="F289" i="7" a="1"/>
  <c r="F280" i="7" a="1"/>
  <c r="F293" i="7" a="1"/>
  <c r="F296" i="7" a="1"/>
  <c r="F295" i="7" a="1"/>
  <c r="F286" i="7" a="1"/>
  <c r="F292" i="7" a="1"/>
  <c r="F297" i="7" a="1"/>
  <c r="F278" i="7" a="1"/>
  <c r="F284" i="7" a="1"/>
  <c r="F290" i="7" a="1"/>
  <c r="E258" i="4" a="1"/>
  <c r="B274" i="7" a="1"/>
  <c r="E267" i="7" a="1"/>
  <c r="B277" i="4" a="1"/>
  <c r="C261" i="4" a="1"/>
  <c r="F259" i="7" a="1"/>
  <c r="E275" i="4" a="1"/>
  <c r="G259" i="7" a="1"/>
  <c r="C275" i="4" a="1"/>
  <c r="E257" i="4" a="1"/>
  <c r="E258" i="7" a="1"/>
  <c r="G274" i="7" a="1"/>
  <c r="F272" i="7" a="1"/>
  <c r="C259" i="4" a="1"/>
  <c r="B265" i="4" a="1"/>
  <c r="E268" i="4" a="1"/>
  <c r="E264" i="7" a="1"/>
  <c r="G258" i="7" a="1"/>
  <c r="C272" i="4" a="1"/>
  <c r="E271" i="4" a="1"/>
  <c r="B272" i="7" a="1"/>
  <c r="G265" i="7" a="1"/>
  <c r="G260" i="7" a="1"/>
  <c r="B257" i="7" a="1"/>
  <c r="B262" i="7" a="1"/>
  <c r="C260" i="4" a="1"/>
  <c r="B257" i="4" a="1"/>
  <c r="D274" i="4" a="1"/>
  <c r="E271" i="7" a="1"/>
  <c r="G257" i="7" a="1"/>
  <c r="F265" i="7" a="1"/>
  <c r="B275" i="4" a="1"/>
  <c r="E259" i="4" a="1"/>
  <c r="E274" i="7" a="1"/>
  <c r="G277" i="7" a="1"/>
  <c r="F269" i="7" a="1"/>
  <c r="C270" i="4" a="1"/>
  <c r="B259" i="4" a="1"/>
  <c r="E266" i="4" a="1"/>
  <c r="E276" i="7" a="1"/>
  <c r="G276" i="7" a="1"/>
  <c r="F273" i="7" a="1"/>
  <c r="C264" i="4" a="1"/>
  <c r="E263" i="4" a="1"/>
  <c r="F258" i="7" a="1"/>
  <c r="E267" i="4" a="1"/>
  <c r="G264" i="7" a="1"/>
  <c r="E266" i="7" a="1"/>
  <c r="F260" i="7" a="1"/>
  <c r="E286" i="7" a="1"/>
  <c r="E280" i="7" a="1"/>
  <c r="E288" i="7" a="1"/>
  <c r="E292" i="7" a="1"/>
  <c r="E278" i="7" a="1"/>
  <c r="E296" i="7" a="1"/>
  <c r="E282" i="7" a="1"/>
  <c r="E295" i="7" a="1"/>
  <c r="E293" i="7" a="1"/>
  <c r="E289" i="7" a="1"/>
  <c r="E290" i="7" a="1"/>
  <c r="E285" i="7" a="1"/>
  <c r="E284" i="7" a="1"/>
  <c r="E297" i="7" a="1"/>
  <c r="E279" i="7" a="1"/>
  <c r="E291" i="7" a="1"/>
  <c r="E287" i="7" a="1"/>
  <c r="E283" i="7" a="1"/>
  <c r="E281" i="7" a="1"/>
  <c r="E294" i="7" a="1"/>
  <c r="F277" i="7" a="1"/>
  <c r="C273" i="4" a="1"/>
  <c r="B274" i="4" a="1"/>
  <c r="E277" i="4" a="1"/>
  <c r="E275" i="7" a="1"/>
  <c r="F257" i="7" a="1"/>
  <c r="G261" i="7" a="1"/>
  <c r="C262" i="4" a="1"/>
  <c r="D276" i="4" a="1"/>
  <c r="E270" i="4" a="1"/>
  <c r="B263" i="7" a="1"/>
  <c r="B286" i="7" a="1"/>
  <c r="B296" i="7" a="1"/>
  <c r="B278" i="7" a="1"/>
  <c r="B283" i="7" a="1"/>
  <c r="B297" i="7" a="1"/>
  <c r="B285" i="7" a="1"/>
  <c r="B287" i="7" a="1"/>
  <c r="B281" i="7" a="1"/>
  <c r="B290" i="7" a="1"/>
  <c r="B291" i="7" a="1"/>
  <c r="B282" i="7" a="1"/>
  <c r="B288" i="7" a="1"/>
  <c r="B289" i="7" a="1"/>
  <c r="B280" i="7" a="1"/>
  <c r="B293" i="7" a="1"/>
  <c r="B292" i="7" a="1"/>
  <c r="B279" i="7" a="1"/>
  <c r="B284" i="7" a="1"/>
  <c r="B295" i="7" a="1"/>
  <c r="B294" i="7" a="1"/>
  <c r="C276" i="4" a="1"/>
  <c r="E262" i="4" a="1"/>
  <c r="C271" i="4" a="1"/>
  <c r="D265" i="4" a="1"/>
  <c r="G266" i="7" a="1"/>
  <c r="G272" i="7" a="1"/>
  <c r="D267" i="4" a="1"/>
  <c r="E264" i="4" a="1"/>
  <c r="B271" i="7" a="1"/>
  <c r="E274" i="4" a="1"/>
  <c r="G271" i="7" a="1"/>
  <c r="D272" i="4" a="1"/>
  <c r="B264" i="7" a="1"/>
  <c r="C277" i="4" a="1"/>
  <c r="G263" i="7" a="1"/>
  <c r="E265" i="4" a="1"/>
  <c r="C263" i="4" a="1"/>
  <c r="D269" i="4" a="1"/>
  <c r="G270" i="7" a="1"/>
  <c r="C274" i="4" a="1"/>
  <c r="D261" i="4" a="1"/>
  <c r="E276" i="4" a="1"/>
  <c r="B276" i="7" a="1"/>
  <c r="G267" i="7" a="1"/>
  <c r="C258" i="4" a="1"/>
  <c r="D277" i="4" a="1"/>
  <c r="E260" i="4" a="1"/>
  <c r="B266" i="7" a="1"/>
  <c r="G262" i="7" a="1"/>
  <c r="C269" i="4" a="1"/>
  <c r="E257" i="7" a="1"/>
  <c r="B264" i="4" a="1"/>
  <c r="D264" i="4" a="1"/>
  <c r="E277" i="7" a="1"/>
  <c r="B261" i="7" a="1"/>
  <c r="F263" i="7" a="1"/>
  <c r="B261" i="4" a="1"/>
  <c r="D271" i="4" a="1"/>
  <c r="E269" i="7" a="1"/>
  <c r="F270" i="7" a="1"/>
  <c r="B271" i="4" a="1"/>
  <c r="D262" i="4" a="1"/>
  <c r="B277" i="7" a="1"/>
  <c r="F267" i="7" a="1"/>
  <c r="B268" i="4" a="1"/>
  <c r="D268" i="4" a="1"/>
  <c r="E272" i="7" a="1"/>
  <c r="B265" i="7" a="1"/>
  <c r="F262" i="7" a="1"/>
  <c r="B263" i="4" a="1"/>
  <c r="D258" i="4" a="1"/>
  <c r="E260" i="7" a="1"/>
  <c r="F271" i="7" a="1"/>
  <c r="B272" i="4" a="1"/>
  <c r="D263" i="4" a="1"/>
  <c r="E263" i="7" a="1"/>
  <c r="B273" i="7" a="1"/>
  <c r="F264" i="7" a="1"/>
  <c r="B276" i="4" a="1"/>
  <c r="D266" i="4" a="1"/>
  <c r="E273" i="7" a="1"/>
  <c r="B258" i="7" a="1"/>
  <c r="F268" i="7" a="1"/>
  <c r="D270" i="4" a="1"/>
  <c r="B267" i="7" a="1"/>
  <c r="C267" i="4" a="1"/>
  <c r="D259" i="4" a="1"/>
  <c r="E269" i="4" a="1"/>
  <c r="B275" i="7" a="1"/>
  <c r="F275" i="7" a="1"/>
  <c r="D275" i="4" a="1"/>
  <c r="B268" i="7" a="1"/>
  <c r="F266" i="7" a="1"/>
  <c r="B269" i="7" a="1"/>
  <c r="E261" i="7" a="1"/>
  <c r="B259" i="7" a="1"/>
  <c r="E16" i="4" l="1"/>
  <c r="E19" i="7"/>
  <c r="E16" i="7"/>
  <c r="E19" i="9"/>
  <c r="E16" i="9"/>
  <c r="B294" i="7"/>
  <c r="B295" i="7"/>
  <c r="B284" i="7"/>
  <c r="B279" i="7"/>
  <c r="B292" i="7"/>
  <c r="B293" i="7"/>
  <c r="B280" i="7"/>
  <c r="B289" i="7"/>
  <c r="B288" i="7"/>
  <c r="B282" i="7"/>
  <c r="B291" i="7"/>
  <c r="B290" i="7"/>
  <c r="B281" i="7"/>
  <c r="B287" i="7"/>
  <c r="B285" i="7"/>
  <c r="B297" i="7"/>
  <c r="B283" i="7"/>
  <c r="B278" i="7"/>
  <c r="B296" i="7"/>
  <c r="B286" i="7"/>
  <c r="E294" i="7"/>
  <c r="E281" i="7"/>
  <c r="E283" i="7"/>
  <c r="E287" i="7"/>
  <c r="E291" i="7"/>
  <c r="E279" i="7"/>
  <c r="E297" i="7"/>
  <c r="E284" i="7"/>
  <c r="E285" i="7"/>
  <c r="E290" i="7"/>
  <c r="E289" i="7"/>
  <c r="E293" i="7"/>
  <c r="E295" i="7"/>
  <c r="E282" i="7"/>
  <c r="E296" i="7"/>
  <c r="E278" i="7"/>
  <c r="E292" i="7"/>
  <c r="E288" i="7"/>
  <c r="E280" i="7"/>
  <c r="E286" i="7"/>
  <c r="F290" i="7"/>
  <c r="F284" i="7"/>
  <c r="F278" i="7"/>
  <c r="F297" i="7"/>
  <c r="F292" i="7"/>
  <c r="F286" i="7"/>
  <c r="F295" i="7"/>
  <c r="F296" i="7"/>
  <c r="F293" i="7"/>
  <c r="F280" i="7"/>
  <c r="F289" i="7"/>
  <c r="F291" i="7"/>
  <c r="F283" i="7"/>
  <c r="F287" i="7"/>
  <c r="F294" i="7"/>
  <c r="F285" i="7"/>
  <c r="F282" i="7"/>
  <c r="F288" i="7"/>
  <c r="F281" i="7"/>
  <c r="F279" i="7"/>
  <c r="G292" i="7"/>
  <c r="G289" i="7"/>
  <c r="G284" i="7"/>
  <c r="G297" i="7"/>
  <c r="G296" i="7"/>
  <c r="G294" i="7"/>
  <c r="G281" i="7"/>
  <c r="G283" i="7"/>
  <c r="G279" i="7"/>
  <c r="G291" i="7"/>
  <c r="G295" i="7"/>
  <c r="G282" i="7"/>
  <c r="G285" i="7"/>
  <c r="G288" i="7"/>
  <c r="G293" i="7"/>
  <c r="G290" i="7"/>
  <c r="G278" i="7"/>
  <c r="G280" i="7"/>
  <c r="G286" i="7"/>
  <c r="G287" i="7"/>
  <c r="E269" i="4"/>
  <c r="E260" i="4"/>
  <c r="E276" i="4"/>
  <c r="E262" i="4"/>
  <c r="E265" i="4"/>
  <c r="E258" i="4"/>
  <c r="E274" i="4"/>
  <c r="E264" i="4"/>
  <c r="E270" i="4"/>
  <c r="E273" i="4"/>
  <c r="E271" i="4"/>
  <c r="E272" i="4"/>
  <c r="E277" i="4"/>
  <c r="E268" i="4"/>
  <c r="E257" i="4"/>
  <c r="E275" i="4"/>
  <c r="E261" i="4"/>
  <c r="E267" i="4"/>
  <c r="E263" i="4"/>
  <c r="E266" i="4"/>
  <c r="E259" i="4"/>
  <c r="D274" i="4"/>
  <c r="D273" i="4"/>
  <c r="D257" i="4"/>
  <c r="D266" i="4"/>
  <c r="D263" i="4"/>
  <c r="D258" i="4"/>
  <c r="D268" i="4"/>
  <c r="D262" i="4"/>
  <c r="D271" i="4"/>
  <c r="D264" i="4"/>
  <c r="D275" i="4"/>
  <c r="D259" i="4"/>
  <c r="D277" i="4"/>
  <c r="D261" i="4"/>
  <c r="D270" i="4"/>
  <c r="D265" i="4"/>
  <c r="D272" i="4"/>
  <c r="D269" i="4"/>
  <c r="D267" i="4"/>
  <c r="D276" i="4"/>
  <c r="D260" i="4"/>
  <c r="B267" i="4"/>
  <c r="B258" i="4"/>
  <c r="B274" i="4"/>
  <c r="B265" i="4"/>
  <c r="B262" i="4"/>
  <c r="B270" i="4"/>
  <c r="B260" i="4"/>
  <c r="B277" i="4"/>
  <c r="B269" i="4"/>
  <c r="B259" i="4"/>
  <c r="B275" i="4"/>
  <c r="B257" i="4"/>
  <c r="B273" i="4"/>
  <c r="B266" i="4"/>
  <c r="B276" i="4"/>
  <c r="B272" i="4"/>
  <c r="B263" i="4"/>
  <c r="B268" i="4"/>
  <c r="B271" i="4"/>
  <c r="B261" i="4"/>
  <c r="B264" i="4"/>
  <c r="C269" i="4"/>
  <c r="C267" i="4"/>
  <c r="C258" i="4"/>
  <c r="C274" i="4"/>
  <c r="C260" i="4"/>
  <c r="C276" i="4"/>
  <c r="C271" i="4"/>
  <c r="C263" i="4"/>
  <c r="C277" i="4"/>
  <c r="C262" i="4"/>
  <c r="C268" i="4"/>
  <c r="C272" i="4"/>
  <c r="C266" i="4"/>
  <c r="C273" i="4"/>
  <c r="C259" i="4"/>
  <c r="C275" i="4"/>
  <c r="C265" i="4"/>
  <c r="C261" i="4"/>
  <c r="C257" i="4"/>
  <c r="C264" i="4"/>
  <c r="C270" i="4"/>
  <c r="E262" i="7"/>
  <c r="E275" i="7"/>
  <c r="E264" i="7"/>
  <c r="E258" i="7"/>
  <c r="E270" i="7"/>
  <c r="E266" i="7"/>
  <c r="E259" i="7"/>
  <c r="E267" i="7"/>
  <c r="E276" i="7"/>
  <c r="E274" i="7"/>
  <c r="E271" i="7"/>
  <c r="E268" i="7"/>
  <c r="E265" i="7"/>
  <c r="E273" i="7"/>
  <c r="E263" i="7"/>
  <c r="E260" i="7"/>
  <c r="E272" i="7"/>
  <c r="E261" i="7"/>
  <c r="E269" i="7"/>
  <c r="E277" i="7"/>
  <c r="E257" i="7"/>
  <c r="F257" i="7"/>
  <c r="F277" i="7"/>
  <c r="F272" i="7"/>
  <c r="F260" i="7"/>
  <c r="F259" i="7"/>
  <c r="F274" i="7"/>
  <c r="F258" i="7"/>
  <c r="F273" i="7"/>
  <c r="F269" i="7"/>
  <c r="F265" i="7"/>
  <c r="F261" i="7"/>
  <c r="F276" i="7"/>
  <c r="F268" i="7"/>
  <c r="F264" i="7"/>
  <c r="F271" i="7"/>
  <c r="F262" i="7"/>
  <c r="F267" i="7"/>
  <c r="F270" i="7"/>
  <c r="F263" i="7"/>
  <c r="F266" i="7"/>
  <c r="F275" i="7"/>
  <c r="G262" i="7"/>
  <c r="G267" i="7"/>
  <c r="G266" i="7"/>
  <c r="G270" i="7"/>
  <c r="G263" i="7"/>
  <c r="G271" i="7"/>
  <c r="G260" i="7"/>
  <c r="G272" i="7"/>
  <c r="G261" i="7"/>
  <c r="G265" i="7"/>
  <c r="G269" i="7"/>
  <c r="G273" i="7"/>
  <c r="G258" i="7"/>
  <c r="G274" i="7"/>
  <c r="G259" i="7"/>
  <c r="G275" i="7"/>
  <c r="G264" i="7"/>
  <c r="G268" i="7"/>
  <c r="G276" i="7"/>
  <c r="G277" i="7"/>
  <c r="G257" i="7"/>
  <c r="B274" i="7"/>
  <c r="B260" i="7"/>
  <c r="B258" i="7"/>
  <c r="B273" i="7"/>
  <c r="B259" i="7"/>
  <c r="B265" i="7"/>
  <c r="B277" i="7"/>
  <c r="B269" i="7"/>
  <c r="B261" i="7"/>
  <c r="B268" i="7"/>
  <c r="B275" i="7"/>
  <c r="B266" i="7"/>
  <c r="B276" i="7"/>
  <c r="B267" i="7"/>
  <c r="B262" i="7"/>
  <c r="B264" i="7"/>
  <c r="B257" i="7"/>
  <c r="B271" i="7"/>
  <c r="B263" i="7"/>
  <c r="B270" i="7"/>
  <c r="B272" i="7"/>
  <c r="Q23" i="9" a="1"/>
  <c r="Q25" i="9" a="1"/>
  <c r="Q28" i="9" a="1"/>
  <c r="Q24" i="9" a="1"/>
  <c r="Q27" i="9" a="1"/>
  <c r="Q30" i="9" a="1"/>
  <c r="Q26" i="9" a="1"/>
  <c r="Q29" i="9" a="1"/>
  <c r="Q31" i="9" a="1"/>
  <c r="Q26" i="7" a="1"/>
  <c r="Q27" i="7" a="1"/>
  <c r="Q30" i="7" a="1"/>
  <c r="Q23" i="7" a="1"/>
  <c r="Q32" i="7" a="1"/>
  <c r="Q28" i="7" a="1"/>
  <c r="Q25" i="7" a="1"/>
  <c r="Q33" i="7" a="1"/>
  <c r="Q24" i="7" a="1"/>
  <c r="Q31" i="7" a="1"/>
  <c r="Q34" i="7" a="1"/>
  <c r="Q29" i="7" a="1"/>
  <c r="Q29" i="4" a="1"/>
  <c r="Q26" i="4" a="1"/>
  <c r="Q28" i="4" a="1"/>
  <c r="Q23" i="4" a="1"/>
  <c r="Q24" i="4" a="1"/>
  <c r="Q34" i="4" a="1"/>
  <c r="Q30" i="4" a="1"/>
  <c r="Q27" i="4" a="1"/>
  <c r="Q33" i="4" a="1"/>
  <c r="Q25" i="4" a="1"/>
  <c r="Q32" i="4" a="1"/>
  <c r="Q31" i="4" a="1"/>
  <c r="Q23" i="4" l="1"/>
  <c r="Q25" i="4"/>
  <c r="Q27" i="4"/>
  <c r="Q28" i="4"/>
  <c r="Q33" i="4"/>
  <c r="Q26" i="4"/>
  <c r="Q30" i="4"/>
  <c r="Q34" i="4"/>
  <c r="Q29" i="4"/>
  <c r="Q32" i="4"/>
  <c r="Q24" i="4"/>
  <c r="Q31" i="4"/>
  <c r="Q29" i="7"/>
  <c r="Q34" i="7"/>
  <c r="Q31" i="7"/>
  <c r="Q24" i="7"/>
  <c r="Q33" i="7"/>
  <c r="Q25" i="7"/>
  <c r="Q28" i="7"/>
  <c r="Q32" i="7"/>
  <c r="Q23" i="7"/>
  <c r="Q30" i="7"/>
  <c r="Q27" i="7"/>
  <c r="Q26" i="7"/>
  <c r="Q31" i="9"/>
  <c r="Q29" i="9"/>
  <c r="Q26" i="9"/>
  <c r="Q30" i="9"/>
  <c r="Q27" i="9"/>
  <c r="Q24" i="9"/>
  <c r="Q28" i="9"/>
  <c r="Q25" i="9"/>
  <c r="Q23" i="9"/>
  <c r="F19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<sst xmlns="http://schemas.openxmlformats.org/spreadsheetml/2006/main" count="598" uniqueCount="111">
  <si>
    <t>Caliber</t>
  </si>
  <si>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</si>
  <si>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</si>
  <si>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</si>
  <si>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</si>
  <si>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</si>
  <si>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</si>
  <si>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</si>
  <si>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</si>
  <si>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</si>
  <si>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</si>
  <si>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</si>
  <si>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</si>
  <si>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</si>
  <si>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</si>
  <si>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</si>
  <si>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</si>
  <si>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</si>
  <si>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</si>
  <si>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Computed Muzzle Velocity(m/s)</t>
  </si>
  <si>
    <t>Bullet Weight(gr)</t>
  </si>
  <si>
    <t>BC: G1</t>
  </si>
  <si>
    <t>Measured Muzzle Energy(J)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</si>
  <si>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</si>
  <si>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</si>
  <si>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</si>
  <si>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</si>
  <si>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</si>
  <si>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Soft Point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</si>
  <si>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</si>
  <si>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</si>
  <si>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</si>
  <si>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</si>
  <si>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</si>
  <si>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</si>
  <si>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</si>
  <si>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Hollow Point</t>
  </si>
  <si>
    <t>Federal Barnes TSX</t>
  </si>
  <si>
    <t>Range (m)</t>
  </si>
  <si>
    <t>Drop (cm)</t>
  </si>
  <si>
    <t>Drop (MOA)</t>
  </si>
  <si>
    <t>Drop (MIL)</t>
  </si>
  <si>
    <t>Wind Drift (cm)</t>
  </si>
  <si>
    <t>Wind Drift (MIL)</t>
  </si>
  <si>
    <t>Velocity (m/s)</t>
  </si>
  <si>
    <t>Energy (j)</t>
  </si>
  <si>
    <t>-</t>
  </si>
  <si>
    <t>Federal(50m Zero)</t>
  </si>
  <si>
    <t>Federal(100m Zero)</t>
  </si>
  <si>
    <t>Federal(150m Zero)</t>
  </si>
  <si>
    <t>Federal(200m Zero)</t>
  </si>
  <si>
    <t>Federal(300m Zero)</t>
  </si>
  <si>
    <t>Federal(400m Zero)</t>
  </si>
  <si>
    <t>Federal(500m Zero)</t>
  </si>
  <si>
    <t>Hornady 50m zero(G1 BC)</t>
  </si>
  <si>
    <t>Hornady 100m zero</t>
  </si>
  <si>
    <t>Hornady(150m zero)</t>
  </si>
  <si>
    <t>Hornady(200m zero)</t>
  </si>
  <si>
    <t>Hornady(300m zero)</t>
  </si>
  <si>
    <t>Hornday(400m zero)</t>
  </si>
  <si>
    <t>Hornady(500m Zero)</t>
  </si>
  <si>
    <t>Hornady 150m zero</t>
  </si>
  <si>
    <t>Polymer-Tipped Hollow Point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</si>
  <si>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</si>
  <si>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</si>
  <si>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</si>
  <si>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</si>
  <si>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</si>
  <si>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</si>
  <si>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</si>
  <si>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</si>
  <si>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Trajectory Drop Polynomial Coefficients</t>
  </si>
  <si>
    <t>Energy Polynomial Coefficients</t>
  </si>
  <si>
    <t>Bushnell Elite Tactical FFP @21x</t>
  </si>
  <si>
    <t>Rifle Precision(MOA)</t>
  </si>
  <si>
    <t>Rifle Precision(MILS), Error(MILS)</t>
  </si>
  <si>
    <t>HunterSense POI Diameter</t>
  </si>
  <si>
    <t>Wind (m/s),(km/hr)</t>
  </si>
  <si>
    <t>Angular Resolution Scale Factor(su to mils)</t>
  </si>
  <si>
    <t>Outer Circle(scope units),(MILS)</t>
  </si>
  <si>
    <t>Inner Circle(scope units),(MILS)</t>
  </si>
  <si>
    <t>Error(SU)</t>
  </si>
  <si>
    <t>MILS</t>
  </si>
  <si>
    <t>Error(MILS)</t>
  </si>
  <si>
    <t>SU</t>
  </si>
  <si>
    <t>Probable Error</t>
  </si>
  <si>
    <t>223 Remington</t>
  </si>
  <si>
    <t>Measured Muzzle Energy(J),(flb)</t>
  </si>
  <si>
    <t>Computed Muzzle Velocity(m/s),(ft/s)</t>
  </si>
  <si>
    <t>Manufacturer's Data Sheet</t>
  </si>
  <si>
    <t>Bullet Weight(gr),(g)</t>
  </si>
  <si>
    <t>Caliber(in),(mm)</t>
  </si>
  <si>
    <t>Muzzle Energy(flb),(J)</t>
  </si>
  <si>
    <t>Muzzle Velocity(fps),(m/s)</t>
  </si>
  <si>
    <t>Federal Trophy-Bonded Copper</t>
  </si>
  <si>
    <t>Terminal Performance Minimum Velocity</t>
  </si>
  <si>
    <t>Remington Core-Lokt</t>
  </si>
  <si>
    <t>50m zero(G1 BC = 0.234)</t>
  </si>
  <si>
    <t>50m Zero(G1 BC=0.309)</t>
  </si>
  <si>
    <t>100m Zero(G1 BC=0.309)</t>
  </si>
  <si>
    <t>100m zero(G1 BC=0.234)</t>
  </si>
  <si>
    <t>150m Zero(G1 BC=0.309)</t>
  </si>
  <si>
    <t>150m zero(B1 GC=0.234)</t>
  </si>
  <si>
    <t>200m Zero(G1 BC=0.309)</t>
  </si>
  <si>
    <t>200m zero(G1 BC=0.234)</t>
  </si>
  <si>
    <t>300m Zero(G1 BC=0.309)</t>
  </si>
  <si>
    <t>300m zero(G1 BC=0.234)</t>
  </si>
  <si>
    <t>400m Zero(G1 BC=0.309)</t>
  </si>
  <si>
    <t>400m zero(G1 BC=0.234)</t>
  </si>
  <si>
    <t>500m Zero(G1 BC=0.309)</t>
  </si>
  <si>
    <t>500m zero(G1 BC=0.234)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</si>
</sst>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E+00"/>
    <numFmt numFmtId="166" formatCode="0.000000E+00"/>
    <numFmt numFmtId="167" formatCode="0.000000"/>
    <numFmt numFmtId="168" formatCode="0.0000"/>
    <numFmt numFmtId="169" formatCode="#,##0.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lightDown">
        <bgColor theme="0" tint="-4.9989318521683403E-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51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1" fillId="5" borderId="0" xfId="0" applyFont="1" applyFill="1"/>
    <xf numFmtId="164" fontId="1" fillId="5" borderId="0" xfId="0" applyNumberFormat="1" applyFont="1" applyFill="1"/>
    <xf numFmtId="0" fontId="0" fillId="0" borderId="0" xfId="0" applyAlignment="1">
      <alignment horizontal="center"/>
    </xf>
    <xf numFmtId="164" fontId="0" fillId="0" borderId="2" xfId="0" applyNumberFormat="1" applyBorder="1"/>
    <xf numFmtId="164" fontId="0" fillId="3" borderId="2" xfId="0" applyNumberFormat="1" applyFill="1" applyBorder="1"/>
    <xf numFmtId="0" fontId="0" fillId="0" borderId="1" xfId="0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165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166" fontId="0" fillId="0" borderId="0" xfId="0" applyNumberFormat="1"/>
    <xf numFmtId="166" fontId="0" fillId="0" borderId="0" xfId="0" applyNumberFormat="1" applyAlignment="1">
      <alignment horizontal="right"/>
    </xf>
    <xf numFmtId="164" fontId="0" fillId="3" borderId="0" xfId="0" applyNumberFormat="1" applyFill="1"/>
    <xf numFmtId="164" fontId="0" fillId="0" borderId="0" xfId="0" applyNumberFormat="1" applyAlignment="1">
      <alignment horizontal="right"/>
    </xf>
    <xf numFmtId="167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 wrapText="1"/>
    </xf>
    <xf numFmtId="168" fontId="0" fillId="0" borderId="0" xfId="0" applyNumberFormat="1"/>
    <xf numFmtId="0" fontId="0" fillId="4" borderId="0" xfId="0" applyFill="1"/>
    <xf numFmtId="0" fontId="0" fillId="0" borderId="2" xfId="0" applyBorder="1"/>
    <xf numFmtId="2" fontId="0" fillId="4" borderId="2" xfId="0" applyNumberFormat="1" applyFill="1" applyBorder="1"/>
    <xf numFmtId="2" fontId="0" fillId="0" borderId="2" xfId="0" applyNumberFormat="1" applyBorder="1"/>
    <xf numFmtId="0" fontId="0" fillId="4" borderId="1" xfId="0" applyFill="1" applyBorder="1"/>
    <xf numFmtId="2" fontId="1" fillId="4" borderId="1" xfId="0" applyNumberFormat="1" applyFont="1" applyFill="1" applyBorder="1"/>
    <xf numFmtId="2" fontId="1" fillId="4" borderId="2" xfId="0" applyNumberFormat="1" applyFont="1" applyFill="1" applyBorder="1"/>
    <xf numFmtId="0" fontId="0" fillId="0" borderId="6" xfId="0" applyBorder="1"/>
    <xf numFmtId="2" fontId="0" fillId="6" borderId="6" xfId="0" applyNumberFormat="1" applyFill="1" applyBorder="1"/>
    <xf numFmtId="0" fontId="1" fillId="6" borderId="0" xfId="0" applyFont="1" applyFill="1"/>
    <xf numFmtId="164" fontId="1" fillId="6" borderId="0" xfId="0" applyNumberFormat="1" applyFont="1" applyFill="1"/>
    <xf numFmtId="169" fontId="0" fillId="0" borderId="0" xfId="0" applyNumberFormat="1"/>
    <xf numFmtId="49" fontId="0" fillId="0" borderId="0" xfId="0" applyNumberFormat="1" applyAlignment="1">
      <alignment horizontal="left" wrapText="1"/>
    </xf>
    <xf numFmtId="164" fontId="0" fillId="7" borderId="1" xfId="0" applyNumberFormat="1" applyFill="1" applyBorder="1"/>
    <xf numFmtId="164" fontId="0" fillId="7" borderId="2" xfId="0" applyNumberFormat="1" applyFill="1" applyBorder="1"/>
    <xf numFmtId="2" fontId="0" fillId="7" borderId="1" xfId="0" applyNumberFormat="1" applyFill="1" applyBorder="1"/>
    <xf numFmtId="2" fontId="0" fillId="7" borderId="2" xfId="0" applyNumberFormat="1" applyFill="1" applyBorder="1"/>
    <xf numFmtId="2" fontId="1" fillId="7" borderId="1" xfId="0" applyNumberFormat="1" applyFon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6" borderId="6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42227584455168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5276151468969604"/>
                  <c:y val="-0.3756199721371332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PHP'!$B$22:$B$35</c:f>
              <c:numCache>
                <c:formatCode>0.00</c:formatCode>
                <c:ptCount val="14"/>
                <c:pt idx="0">
                  <c:v>1633.9</c:v>
                </c:pt>
                <c:pt idx="1">
                  <c:v>1554.6</c:v>
                </c:pt>
                <c:pt idx="2">
                  <c:v>1472.4</c:v>
                </c:pt>
                <c:pt idx="3">
                  <c:v>1381.7</c:v>
                </c:pt>
                <c:pt idx="4">
                  <c:v>1298.2</c:v>
                </c:pt>
                <c:pt idx="5">
                  <c:v>1220.7</c:v>
                </c:pt>
                <c:pt idx="6">
                  <c:v>1150</c:v>
                </c:pt>
                <c:pt idx="7">
                  <c:v>1012.5</c:v>
                </c:pt>
                <c:pt idx="8">
                  <c:v>895.2</c:v>
                </c:pt>
                <c:pt idx="9">
                  <c:v>779.7</c:v>
                </c:pt>
                <c:pt idx="10">
                  <c:v>677</c:v>
                </c:pt>
                <c:pt idx="11">
                  <c:v>591.6</c:v>
                </c:pt>
                <c:pt idx="12">
                  <c:v>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0F-48FA-B84C-E6FD606F265E}"/>
            </c:ext>
          </c:extLst>
        </c:ser>
        <c:ser>
          <c:idx val="1"/>
          <c:order val="1"/>
          <c:tx>
            <c:strRef>
              <c:f>'Federal TrophyBonded PHP'!$A$78</c:f>
              <c:strCache>
                <c:ptCount val="1"/>
                <c:pt idx="0">
                  <c:v>Hornady 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1089323511980355"/>
                  <c:y val="-0.1258195833647126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PHP'!$C$80:$C$100</c:f>
              <c:numCache>
                <c:formatCode>0.00</c:formatCode>
                <c:ptCount val="21"/>
                <c:pt idx="0">
                  <c:v>1634</c:v>
                </c:pt>
                <c:pt idx="1">
                  <c:v>1542</c:v>
                </c:pt>
                <c:pt idx="2">
                  <c:v>1455</c:v>
                </c:pt>
                <c:pt idx="3">
                  <c:v>1372</c:v>
                </c:pt>
                <c:pt idx="4">
                  <c:v>1293</c:v>
                </c:pt>
                <c:pt idx="5">
                  <c:v>1218</c:v>
                </c:pt>
                <c:pt idx="6">
                  <c:v>1146</c:v>
                </c:pt>
                <c:pt idx="7">
                  <c:v>1078</c:v>
                </c:pt>
                <c:pt idx="8">
                  <c:v>1013</c:v>
                </c:pt>
                <c:pt idx="9">
                  <c:v>951</c:v>
                </c:pt>
                <c:pt idx="10">
                  <c:v>892</c:v>
                </c:pt>
                <c:pt idx="11">
                  <c:v>836</c:v>
                </c:pt>
                <c:pt idx="12">
                  <c:v>782</c:v>
                </c:pt>
                <c:pt idx="13">
                  <c:v>732</c:v>
                </c:pt>
                <c:pt idx="14">
                  <c:v>684</c:v>
                </c:pt>
                <c:pt idx="15">
                  <c:v>638</c:v>
                </c:pt>
                <c:pt idx="16">
                  <c:v>595</c:v>
                </c:pt>
                <c:pt idx="17">
                  <c:v>555</c:v>
                </c:pt>
                <c:pt idx="18">
                  <c:v>517</c:v>
                </c:pt>
                <c:pt idx="19">
                  <c:v>481</c:v>
                </c:pt>
                <c:pt idx="20">
                  <c:v>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0F-48FA-B84C-E6FD606F265E}"/>
            </c:ext>
          </c:extLst>
        </c:ser>
        <c:ser>
          <c:idx val="2"/>
          <c:order val="2"/>
          <c:tx>
            <c:strRef>
              <c:f>'Federal TrophyBonded PHP'!$K$78</c:f>
              <c:strCache>
                <c:ptCount val="1"/>
                <c:pt idx="0">
                  <c:v>Federal(50m Zero)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0921979510625687"/>
                  <c:y val="5.5249935830560766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PHP'!$S$80:$S$100</c:f>
              <c:numCache>
                <c:formatCode>0.00</c:formatCode>
                <c:ptCount val="21"/>
                <c:pt idx="0">
                  <c:v>1635</c:v>
                </c:pt>
                <c:pt idx="1">
                  <c:v>1544</c:v>
                </c:pt>
                <c:pt idx="2">
                  <c:v>1455</c:v>
                </c:pt>
                <c:pt idx="3">
                  <c:v>1373</c:v>
                </c:pt>
                <c:pt idx="4">
                  <c:v>1295</c:v>
                </c:pt>
                <c:pt idx="5">
                  <c:v>1218</c:v>
                </c:pt>
                <c:pt idx="6">
                  <c:v>1147</c:v>
                </c:pt>
                <c:pt idx="7">
                  <c:v>1081</c:v>
                </c:pt>
                <c:pt idx="8">
                  <c:v>1013</c:v>
                </c:pt>
                <c:pt idx="9">
                  <c:v>952</c:v>
                </c:pt>
                <c:pt idx="10">
                  <c:v>893</c:v>
                </c:pt>
                <c:pt idx="11">
                  <c:v>837</c:v>
                </c:pt>
                <c:pt idx="12">
                  <c:v>784</c:v>
                </c:pt>
                <c:pt idx="13">
                  <c:v>735</c:v>
                </c:pt>
                <c:pt idx="14">
                  <c:v>685</c:v>
                </c:pt>
                <c:pt idx="15">
                  <c:v>640</c:v>
                </c:pt>
                <c:pt idx="16">
                  <c:v>597</c:v>
                </c:pt>
                <c:pt idx="17">
                  <c:v>556</c:v>
                </c:pt>
                <c:pt idx="18">
                  <c:v>518</c:v>
                </c:pt>
                <c:pt idx="19">
                  <c:v>483</c:v>
                </c:pt>
                <c:pt idx="20">
                  <c:v>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3D-4C1A-B07D-55DFB94D6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762107683510532E-2"/>
          <c:y val="9.1242312423124236E-2"/>
          <c:w val="0.79369939194398886"/>
          <c:h val="0.88169741697416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9059755355131992"/>
                  <c:y val="-0.38251891022847234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-3.1562516769232696</c:v>
                </c:pt>
                <c:pt idx="2">
                  <c:v>0</c:v>
                </c:pt>
                <c:pt idx="3">
                  <c:v>3.1436251840977376</c:v>
                </c:pt>
                <c:pt idx="4">
                  <c:v>4.1915002454636499</c:v>
                </c:pt>
                <c:pt idx="5">
                  <c:v>5.2393753068295625</c:v>
                </c:pt>
                <c:pt idx="6">
                  <c:v>6.2872503681954752</c:v>
                </c:pt>
                <c:pt idx="7">
                  <c:v>0</c:v>
                </c:pt>
                <c:pt idx="8">
                  <c:v>-12.625001073230321</c:v>
                </c:pt>
                <c:pt idx="9">
                  <c:v>-25.300505998237693</c:v>
                </c:pt>
                <c:pt idx="10">
                  <c:v>-53.025040568139111</c:v>
                </c:pt>
                <c:pt idx="11">
                  <c:v>-95.950184032573532</c:v>
                </c:pt>
                <c:pt idx="12">
                  <c:v>-136.35041727343736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1A-49DF-9E05-061F28355714}"/>
            </c:ext>
          </c:extLst>
        </c:ser>
        <c:ser>
          <c:idx val="1"/>
          <c:order val="1"/>
          <c:tx>
            <c:strRef>
              <c:f>'Federal TrophyBonded PHP'!$K$21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5531159026710435"/>
                  <c:y val="-0.2499725910644933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-10.000000833333415</c:v>
                </c:pt>
                <c:pt idx="8">
                  <c:v>-12.500001041666769</c:v>
                </c:pt>
                <c:pt idx="9">
                  <c:v>-39.960023632680461</c:v>
                </c:pt>
                <c:pt idx="10">
                  <c:v>-52.500039375035435</c:v>
                </c:pt>
                <c:pt idx="11">
                  <c:v>-91.200158031688588</c:v>
                </c:pt>
                <c:pt idx="12">
                  <c:v>-120.0602848721356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1A-49DF-9E05-061F28355714}"/>
            </c:ext>
          </c:extLst>
        </c:ser>
        <c:ser>
          <c:idx val="2"/>
          <c:order val="2"/>
          <c:tx>
            <c:strRef>
              <c:f>'Federal TrophyBonded PHP'!$L$21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6130140701266994"/>
                  <c:y val="-0.1383422920843381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-1.250000026041667</c:v>
                </c:pt>
                <c:pt idx="3">
                  <c:v>1.8750000390625008</c:v>
                </c:pt>
                <c:pt idx="4">
                  <c:v>2.5000000520833341</c:v>
                </c:pt>
                <c:pt idx="5">
                  <c:v>3.1250000651041678</c:v>
                </c:pt>
                <c:pt idx="6">
                  <c:v>0</c:v>
                </c:pt>
                <c:pt idx="7">
                  <c:v>-6.6400002439624641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-112.50023437558593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01A-49DF-9E05-061F28355714}"/>
            </c:ext>
          </c:extLst>
        </c:ser>
        <c:ser>
          <c:idx val="3"/>
          <c:order val="3"/>
          <c:tx>
            <c:strRef>
              <c:f>'Federal TrophyBonded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6796208323373886"/>
                  <c:y val="-8.4212259445429101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-2.0000004266667757</c:v>
                </c:pt>
                <c:pt idx="2">
                  <c:v>1.250000026041667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-42.000020160011601</c:v>
                </c:pt>
                <c:pt idx="11">
                  <c:v>-66.720061876730625</c:v>
                </c:pt>
                <c:pt idx="12">
                  <c:v>-104.94019022948933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01A-49DF-9E05-061F28355714}"/>
            </c:ext>
          </c:extLst>
        </c:ser>
        <c:ser>
          <c:idx val="4"/>
          <c:order val="4"/>
          <c:tx>
            <c:strRef>
              <c:f>'Federal TrophyBonded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6010344366355679"/>
                  <c:y val="0.1692754549592740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-0.83000003049530802</c:v>
                </c:pt>
                <c:pt idx="2">
                  <c:v>3.3400004967961423</c:v>
                </c:pt>
                <c:pt idx="3">
                  <c:v>9.3750048828155528</c:v>
                </c:pt>
                <c:pt idx="4">
                  <c:v>12.500006510420736</c:v>
                </c:pt>
                <c:pt idx="5">
                  <c:v>15.625008138025919</c:v>
                </c:pt>
                <c:pt idx="6">
                  <c:v>15.000005000002</c:v>
                </c:pt>
                <c:pt idx="7">
                  <c:v>13.360001987184569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-72.000061440062922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01A-49DF-9E05-061F28355714}"/>
            </c:ext>
          </c:extLst>
        </c:ser>
        <c:ser>
          <c:idx val="5"/>
          <c:order val="5"/>
          <c:tx>
            <c:strRef>
              <c:f>'Federal TrophyBonded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703580099319651"/>
                  <c:y val="0.40686889231097034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1.5656252046736991</c:v>
                </c:pt>
                <c:pt idx="2">
                  <c:v>7.8187563731060106</c:v>
                </c:pt>
                <c:pt idx="3">
                  <c:v>14.062516479515361</c:v>
                </c:pt>
                <c:pt idx="4">
                  <c:v>18.750021972687147</c:v>
                </c:pt>
                <c:pt idx="5">
                  <c:v>23.437527465858935</c:v>
                </c:pt>
                <c:pt idx="6">
                  <c:v>28.125032959030722</c:v>
                </c:pt>
                <c:pt idx="7">
                  <c:v>31.275025492424042</c:v>
                </c:pt>
                <c:pt idx="8">
                  <c:v>35.156273174304218</c:v>
                </c:pt>
                <c:pt idx="9">
                  <c:v>28.12500823974899</c:v>
                </c:pt>
                <c:pt idx="10">
                  <c:v>16.406251201629747</c:v>
                </c:pt>
                <c:pt idx="11">
                  <c:v>0</c:v>
                </c:pt>
                <c:pt idx="12">
                  <c:v>-21.093751544952529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01A-49DF-9E05-061F28355714}"/>
            </c:ext>
          </c:extLst>
        </c:ser>
        <c:ser>
          <c:idx val="6"/>
          <c:order val="6"/>
          <c:tx>
            <c:strRef>
              <c:f>'Federal TrophyBonded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6130140701266994"/>
                  <c:y val="0.6193530329004077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5.3125079964337152</c:v>
                </c:pt>
                <c:pt idx="2">
                  <c:v>15.937553976049438</c:v>
                </c:pt>
                <c:pt idx="3">
                  <c:v>26.551985928714533</c:v>
                </c:pt>
                <c:pt idx="4">
                  <c:v>35.062643684366243</c:v>
                </c:pt>
                <c:pt idx="5">
                  <c:v>44.253309881190887</c:v>
                </c:pt>
                <c:pt idx="6">
                  <c:v>51.797080877542179</c:v>
                </c:pt>
                <c:pt idx="7">
                  <c:v>63.750215904197752</c:v>
                </c:pt>
                <c:pt idx="8">
                  <c:v>66.406406180504661</c:v>
                </c:pt>
                <c:pt idx="9">
                  <c:v>65.343853335423447</c:v>
                </c:pt>
                <c:pt idx="10">
                  <c:v>59.500057318399598</c:v>
                </c:pt>
                <c:pt idx="11">
                  <c:v>42.500015992845761</c:v>
                </c:pt>
                <c:pt idx="12">
                  <c:v>23.906252248993177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01A-49DF-9E05-061F2835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000740619126841E-2"/>
          <c:y val="8.8309523809523824E-2"/>
          <c:w val="0.77271724809929465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3.2921876076193818E-2"/>
                  <c:y val="-0.6567240344956880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 PHP'!$C$23:$C$35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</c:v>
                </c:pt>
                <c:pt idx="8">
                  <c:v>-0.16700000000000001</c:v>
                </c:pt>
                <c:pt idx="9">
                  <c:v>-0.3</c:v>
                </c:pt>
                <c:pt idx="10">
                  <c:v>-0.47499999999999998</c:v>
                </c:pt>
                <c:pt idx="11">
                  <c:v>-0.6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E1-46CD-A99D-303BAE36DD8A}"/>
            </c:ext>
          </c:extLst>
        </c:ser>
        <c:ser>
          <c:idx val="1"/>
          <c:order val="1"/>
          <c:tx>
            <c:strRef>
              <c:f>'Federal TrophyBonded PHP'!$D$21</c:f>
              <c:strCache>
                <c:ptCount val="1"/>
                <c:pt idx="0">
                  <c:v>100m zero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9220509323764357"/>
                  <c:y val="-0.6165453693288338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-0.125</c:v>
                </c:pt>
                <c:pt idx="7">
                  <c:v>-0.125</c:v>
                </c:pt>
                <c:pt idx="8">
                  <c:v>-0.33300000000000002</c:v>
                </c:pt>
                <c:pt idx="9">
                  <c:v>-0.375</c:v>
                </c:pt>
                <c:pt idx="10">
                  <c:v>-0.56999999999999995</c:v>
                </c:pt>
                <c:pt idx="11">
                  <c:v>-0.66700000000000004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4E1-46CD-A99D-303BAE36DD8A}"/>
            </c:ext>
          </c:extLst>
        </c:ser>
        <c:ser>
          <c:idx val="2"/>
          <c:order val="2"/>
          <c:tx>
            <c:strRef>
              <c:f>'Federal TrophyBonded PHP'!$E$21</c:f>
              <c:strCache>
                <c:ptCount val="1"/>
                <c:pt idx="0">
                  <c:v>150m zero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2450972594402741"/>
                  <c:y val="-0.509240719910011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PHP'!$E$23:$E$35</c:f>
              <c:numCache>
                <c:formatCode>0.000</c:formatCode>
                <c:ptCount val="13"/>
                <c:pt idx="0">
                  <c:v>-0.3125</c:v>
                </c:pt>
                <c:pt idx="1">
                  <c:v>-6.25E-2</c:v>
                </c:pt>
                <c:pt idx="2">
                  <c:v>6.25E-2</c:v>
                </c:pt>
                <c:pt idx="3">
                  <c:v>6.25E-2</c:v>
                </c:pt>
                <c:pt idx="4">
                  <c:v>6.25E-2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-0.125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-0.625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4E1-46CD-A99D-303BAE36DD8A}"/>
            </c:ext>
          </c:extLst>
        </c:ser>
        <c:ser>
          <c:idx val="3"/>
          <c:order val="3"/>
          <c:tx>
            <c:strRef>
              <c:f>'Federal TrophyBonded PHP'!$F$21</c:f>
              <c:strCache>
                <c:ptCount val="1"/>
                <c:pt idx="0">
                  <c:v>200m zero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2029705253229187"/>
                  <c:y val="-0.3934323209598800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PHP'!$F$23:$F$35</c:f>
              <c:numCache>
                <c:formatCode>0.000</c:formatCode>
                <c:ptCount val="13"/>
                <c:pt idx="0">
                  <c:v>-0.2</c:v>
                </c:pt>
                <c:pt idx="1">
                  <c:v>6.25E-2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-0.3</c:v>
                </c:pt>
                <c:pt idx="10">
                  <c:v>-0.41699999999999998</c:v>
                </c:pt>
                <c:pt idx="11">
                  <c:v>-0.58299999999999996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4E1-46CD-A99D-303BAE36DD8A}"/>
            </c:ext>
          </c:extLst>
        </c:ser>
        <c:ser>
          <c:idx val="4"/>
          <c:order val="4"/>
          <c:tx>
            <c:strRef>
              <c:f>'Federal TrophyBonded PHP'!$G$21</c:f>
              <c:strCache>
                <c:ptCount val="1"/>
                <c:pt idx="0">
                  <c:v>300m zero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0.11839718022718344"/>
                  <c:y val="8.5466254218222806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PHP'!$G$23:$G$35</c:f>
              <c:numCache>
                <c:formatCode>0.000</c:formatCode>
                <c:ptCount val="13"/>
                <c:pt idx="0">
                  <c:v>-8.3000000000000004E-2</c:v>
                </c:pt>
                <c:pt idx="1">
                  <c:v>0.16700000000000001</c:v>
                </c:pt>
                <c:pt idx="2">
                  <c:v>0.3125</c:v>
                </c:pt>
                <c:pt idx="3">
                  <c:v>0.3125</c:v>
                </c:pt>
                <c:pt idx="4">
                  <c:v>0.3125</c:v>
                </c:pt>
                <c:pt idx="5">
                  <c:v>0.25</c:v>
                </c:pt>
                <c:pt idx="6">
                  <c:v>0.16700000000000001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-0.25</c:v>
                </c:pt>
                <c:pt idx="11">
                  <c:v>-0.4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4E1-46CD-A99D-303BAE36DD8A}"/>
            </c:ext>
          </c:extLst>
        </c:ser>
        <c:ser>
          <c:idx val="5"/>
          <c:order val="5"/>
          <c:tx>
            <c:strRef>
              <c:f>'Federal TrophyBonded PHP'!$H$21</c:f>
              <c:strCache>
                <c:ptCount val="1"/>
                <c:pt idx="0">
                  <c:v>400m zero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4.8305875617157143E-2"/>
                  <c:y val="0.24369141357330334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PHP'!$H$23:$H$35</c:f>
              <c:numCache>
                <c:formatCode>0.000</c:formatCode>
                <c:ptCount val="13"/>
                <c:pt idx="0">
                  <c:v>0.16700000000000001</c:v>
                </c:pt>
                <c:pt idx="1">
                  <c:v>0.41699999999999998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0.41699999999999998</c:v>
                </c:pt>
                <c:pt idx="7">
                  <c:v>0.375</c:v>
                </c:pt>
                <c:pt idx="8">
                  <c:v>0.25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4E1-46CD-A99D-303BAE36DD8A}"/>
            </c:ext>
          </c:extLst>
        </c:ser>
        <c:ser>
          <c:idx val="6"/>
          <c:order val="6"/>
          <c:tx>
            <c:strRef>
              <c:f>'Federal TrophyBonded PHP'!$I$21</c:f>
              <c:strCache>
                <c:ptCount val="1"/>
                <c:pt idx="0">
                  <c:v>500m zero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3.3704914044024252E-2"/>
                  <c:y val="0.4005866141732283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PHP'!$I$23:$I$35</c:f>
              <c:numCache>
                <c:formatCode>0.000</c:formatCode>
                <c:ptCount val="13"/>
                <c:pt idx="0">
                  <c:v>0.5</c:v>
                </c:pt>
                <c:pt idx="1">
                  <c:v>0.75</c:v>
                </c:pt>
                <c:pt idx="2">
                  <c:v>0.83299999999999996</c:v>
                </c:pt>
                <c:pt idx="3">
                  <c:v>0.82499999999999996</c:v>
                </c:pt>
                <c:pt idx="4">
                  <c:v>0.83299999999999996</c:v>
                </c:pt>
                <c:pt idx="5">
                  <c:v>0.8125</c:v>
                </c:pt>
                <c:pt idx="6">
                  <c:v>0.75</c:v>
                </c:pt>
                <c:pt idx="7">
                  <c:v>0.625</c:v>
                </c:pt>
                <c:pt idx="8">
                  <c:v>0.51249999999999996</c:v>
                </c:pt>
                <c:pt idx="9">
                  <c:v>0.4</c:v>
                </c:pt>
                <c:pt idx="10">
                  <c:v>0.25</c:v>
                </c:pt>
                <c:pt idx="11">
                  <c:v>0.125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4E1-46CD-A99D-303BAE36D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  <c:extLst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687084677035259"/>
                  <c:y val="-0.4585711822518535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-3.1562516769232696</c:v>
                </c:pt>
                <c:pt idx="2">
                  <c:v>0</c:v>
                </c:pt>
                <c:pt idx="3">
                  <c:v>3.1436251840977376</c:v>
                </c:pt>
                <c:pt idx="4">
                  <c:v>4.1915002454636499</c:v>
                </c:pt>
                <c:pt idx="5">
                  <c:v>5.2393753068295625</c:v>
                </c:pt>
                <c:pt idx="6">
                  <c:v>6.2872503681954752</c:v>
                </c:pt>
                <c:pt idx="7">
                  <c:v>0</c:v>
                </c:pt>
                <c:pt idx="8">
                  <c:v>-12.625001073230321</c:v>
                </c:pt>
                <c:pt idx="9">
                  <c:v>-25.300505998237693</c:v>
                </c:pt>
                <c:pt idx="10">
                  <c:v>-53.025040568139111</c:v>
                </c:pt>
                <c:pt idx="11">
                  <c:v>-95.950184032573532</c:v>
                </c:pt>
                <c:pt idx="12">
                  <c:v>-136.35041727343736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0-4F76-B979-F476DADACA5E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352653775759186"/>
                  <c:y val="-0.2633152607748849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0.7</c:v>
                </c:pt>
                <c:pt idx="5">
                  <c:v>-0.2</c:v>
                </c:pt>
                <c:pt idx="6">
                  <c:v>-2</c:v>
                </c:pt>
                <c:pt idx="7">
                  <c:v>-4.7</c:v>
                </c:pt>
                <c:pt idx="8">
                  <c:v>-8.6999999999999993</c:v>
                </c:pt>
                <c:pt idx="9">
                  <c:v>-13.6</c:v>
                </c:pt>
                <c:pt idx="10">
                  <c:v>-19.8</c:v>
                </c:pt>
                <c:pt idx="11">
                  <c:v>-27.5</c:v>
                </c:pt>
                <c:pt idx="12">
                  <c:v>-36.299999999999997</c:v>
                </c:pt>
                <c:pt idx="13">
                  <c:v>-46.5</c:v>
                </c:pt>
                <c:pt idx="14">
                  <c:v>-58.9</c:v>
                </c:pt>
                <c:pt idx="15">
                  <c:v>-72.5</c:v>
                </c:pt>
                <c:pt idx="16">
                  <c:v>-88</c:v>
                </c:pt>
                <c:pt idx="17">
                  <c:v>-106.1</c:v>
                </c:pt>
                <c:pt idx="18">
                  <c:v>-125.8</c:v>
                </c:pt>
                <c:pt idx="19">
                  <c:v>-147.80000000000001</c:v>
                </c:pt>
                <c:pt idx="20">
                  <c:v>-172.4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30-4F76-B979-F476DADACA5E}"/>
            </c:ext>
          </c:extLst>
        </c:ser>
        <c:ser>
          <c:idx val="2"/>
          <c:order val="2"/>
          <c:tx>
            <c:strRef>
              <c:f>'Federal TrophyBonded PHP'!$K$78</c:f>
              <c:strCache>
                <c:ptCount val="1"/>
                <c:pt idx="0">
                  <c:v>Federal(50m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TrophyBonded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PHP'!$L$80:$L$100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0.8</c:v>
                </c:pt>
                <c:pt idx="5">
                  <c:v>-0.1</c:v>
                </c:pt>
                <c:pt idx="6">
                  <c:v>-1.8</c:v>
                </c:pt>
                <c:pt idx="7">
                  <c:v>-4.5</c:v>
                </c:pt>
                <c:pt idx="8">
                  <c:v>-8.3000000000000007</c:v>
                </c:pt>
                <c:pt idx="9">
                  <c:v>-12.9</c:v>
                </c:pt>
                <c:pt idx="10">
                  <c:v>-18.8</c:v>
                </c:pt>
                <c:pt idx="11">
                  <c:v>-26.1</c:v>
                </c:pt>
                <c:pt idx="12">
                  <c:v>-34.6</c:v>
                </c:pt>
                <c:pt idx="13">
                  <c:v>-44.3</c:v>
                </c:pt>
                <c:pt idx="14">
                  <c:v>-55.9</c:v>
                </c:pt>
                <c:pt idx="15">
                  <c:v>-68.599999999999994</c:v>
                </c:pt>
                <c:pt idx="16">
                  <c:v>-82.8</c:v>
                </c:pt>
                <c:pt idx="17">
                  <c:v>-99.7</c:v>
                </c:pt>
                <c:pt idx="18">
                  <c:v>-118.2</c:v>
                </c:pt>
                <c:pt idx="19">
                  <c:v>-138.80000000000001</c:v>
                </c:pt>
                <c:pt idx="20">
                  <c:v>-162.6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B6-4C0D-A8EA-C134232AA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041717629994098"/>
                  <c:y val="-0.390685087975114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-10.000000833333415</c:v>
                </c:pt>
                <c:pt idx="8">
                  <c:v>-12.500001041666769</c:v>
                </c:pt>
                <c:pt idx="9">
                  <c:v>-39.960023632680461</c:v>
                </c:pt>
                <c:pt idx="10">
                  <c:v>-52.500039375035435</c:v>
                </c:pt>
                <c:pt idx="11">
                  <c:v>-91.200158031688588</c:v>
                </c:pt>
                <c:pt idx="12">
                  <c:v>-120.0602848721356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D5-48BC-BA0D-D37C8846C012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197782418623982"/>
                  <c:y val="-0.1493768834451249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-1.1000000000000001</c:v>
                </c:pt>
                <c:pt idx="6">
                  <c:v>-3.1</c:v>
                </c:pt>
                <c:pt idx="7">
                  <c:v>-6</c:v>
                </c:pt>
                <c:pt idx="8">
                  <c:v>-10.199999999999999</c:v>
                </c:pt>
                <c:pt idx="9">
                  <c:v>-15.3</c:v>
                </c:pt>
                <c:pt idx="10">
                  <c:v>-21.6</c:v>
                </c:pt>
                <c:pt idx="11">
                  <c:v>-29.5</c:v>
                </c:pt>
                <c:pt idx="12">
                  <c:v>-38.5</c:v>
                </c:pt>
                <c:pt idx="13">
                  <c:v>-49</c:v>
                </c:pt>
                <c:pt idx="14">
                  <c:v>-61.5</c:v>
                </c:pt>
                <c:pt idx="15">
                  <c:v>-75.3</c:v>
                </c:pt>
                <c:pt idx="16">
                  <c:v>-90.9</c:v>
                </c:pt>
                <c:pt idx="17">
                  <c:v>-109.3</c:v>
                </c:pt>
                <c:pt idx="18">
                  <c:v>-129.19999999999999</c:v>
                </c:pt>
                <c:pt idx="19">
                  <c:v>-151.4</c:v>
                </c:pt>
                <c:pt idx="20">
                  <c:v>-176.1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D5-48BC-BA0D-D37C8846C012}"/>
            </c:ext>
          </c:extLst>
        </c:ser>
        <c:ser>
          <c:idx val="2"/>
          <c:order val="2"/>
          <c:tx>
            <c:strRef>
              <c:f>'Federal TrophyBonded PHP'!$K$102</c:f>
              <c:strCache>
                <c:ptCount val="1"/>
                <c:pt idx="0">
                  <c:v>Federal(100m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TrophyBonded PHP'!$K$104:$K$124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PHP'!$L$104:$L$124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-1.1000000000000001</c:v>
                </c:pt>
                <c:pt idx="6">
                  <c:v>-3</c:v>
                </c:pt>
                <c:pt idx="7">
                  <c:v>-5.9</c:v>
                </c:pt>
                <c:pt idx="8">
                  <c:v>-9.8000000000000007</c:v>
                </c:pt>
                <c:pt idx="9">
                  <c:v>-14.7</c:v>
                </c:pt>
                <c:pt idx="10">
                  <c:v>-20.8</c:v>
                </c:pt>
                <c:pt idx="11">
                  <c:v>-28.3</c:v>
                </c:pt>
                <c:pt idx="12">
                  <c:v>-36.9</c:v>
                </c:pt>
                <c:pt idx="13">
                  <c:v>-46.9</c:v>
                </c:pt>
                <c:pt idx="14">
                  <c:v>-58.6</c:v>
                </c:pt>
                <c:pt idx="15">
                  <c:v>-71.5</c:v>
                </c:pt>
                <c:pt idx="16">
                  <c:v>-86</c:v>
                </c:pt>
                <c:pt idx="17">
                  <c:v>-103.1</c:v>
                </c:pt>
                <c:pt idx="18">
                  <c:v>-121.7</c:v>
                </c:pt>
                <c:pt idx="19">
                  <c:v>-142.6</c:v>
                </c:pt>
                <c:pt idx="20">
                  <c:v>-166.5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01-460A-B92B-D259394E3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67337966461067"/>
                  <c:y val="-0.4428849518810149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-1.250000026041667</c:v>
                </c:pt>
                <c:pt idx="3">
                  <c:v>1.8750000390625008</c:v>
                </c:pt>
                <c:pt idx="4">
                  <c:v>2.5000000520833341</c:v>
                </c:pt>
                <c:pt idx="5">
                  <c:v>3.1250000651041678</c:v>
                </c:pt>
                <c:pt idx="6">
                  <c:v>0</c:v>
                </c:pt>
                <c:pt idx="7">
                  <c:v>-6.6400002439624641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-112.50023437558593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2-4319-B86A-11D7CA45D520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567172822483984"/>
                  <c:y val="-0.24960557013706619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-1.2</c:v>
                </c:pt>
                <c:pt idx="2">
                  <c:v>0.7</c:v>
                </c:pt>
                <c:pt idx="3">
                  <c:v>1.8</c:v>
                </c:pt>
                <c:pt idx="4">
                  <c:v>2.1</c:v>
                </c:pt>
                <c:pt idx="5">
                  <c:v>1.5</c:v>
                </c:pt>
                <c:pt idx="6">
                  <c:v>0</c:v>
                </c:pt>
                <c:pt idx="7">
                  <c:v>-2.4</c:v>
                </c:pt>
                <c:pt idx="8">
                  <c:v>-6</c:v>
                </c:pt>
                <c:pt idx="9">
                  <c:v>-10.6</c:v>
                </c:pt>
                <c:pt idx="10">
                  <c:v>-16.399999999999999</c:v>
                </c:pt>
                <c:pt idx="11">
                  <c:v>-23.8</c:v>
                </c:pt>
                <c:pt idx="12">
                  <c:v>-32.200000000000003</c:v>
                </c:pt>
                <c:pt idx="13">
                  <c:v>-42.2</c:v>
                </c:pt>
                <c:pt idx="14">
                  <c:v>-54.2</c:v>
                </c:pt>
                <c:pt idx="15">
                  <c:v>-67.5</c:v>
                </c:pt>
                <c:pt idx="16">
                  <c:v>-82.6</c:v>
                </c:pt>
                <c:pt idx="17">
                  <c:v>-100.4</c:v>
                </c:pt>
                <c:pt idx="18">
                  <c:v>-119.8</c:v>
                </c:pt>
                <c:pt idx="19">
                  <c:v>-141.5</c:v>
                </c:pt>
                <c:pt idx="20">
                  <c:v>-165.7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2-4319-B86A-11D7CA45D520}"/>
            </c:ext>
          </c:extLst>
        </c:ser>
        <c:ser>
          <c:idx val="2"/>
          <c:order val="2"/>
          <c:tx>
            <c:strRef>
              <c:f>'Federal TrophyBonded PHP'!$K$126</c:f>
              <c:strCache>
                <c:ptCount val="1"/>
                <c:pt idx="0">
                  <c:v>Federal(150m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TrophyBonded PHP'!$K$128:$K$148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PHP'!$L$128:$L$148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0.6</c:v>
                </c:pt>
                <c:pt idx="3">
                  <c:v>1.7</c:v>
                </c:pt>
                <c:pt idx="4">
                  <c:v>2</c:v>
                </c:pt>
                <c:pt idx="5">
                  <c:v>1.4</c:v>
                </c:pt>
                <c:pt idx="6">
                  <c:v>0</c:v>
                </c:pt>
                <c:pt idx="7">
                  <c:v>-2.2999999999999998</c:v>
                </c:pt>
                <c:pt idx="8">
                  <c:v>-5.8</c:v>
                </c:pt>
                <c:pt idx="9">
                  <c:v>-10.199999999999999</c:v>
                </c:pt>
                <c:pt idx="10">
                  <c:v>-15.7</c:v>
                </c:pt>
                <c:pt idx="11">
                  <c:v>-22.8</c:v>
                </c:pt>
                <c:pt idx="12">
                  <c:v>-30.9</c:v>
                </c:pt>
                <c:pt idx="13">
                  <c:v>-40.299999999999997</c:v>
                </c:pt>
                <c:pt idx="14">
                  <c:v>-51.6</c:v>
                </c:pt>
                <c:pt idx="15">
                  <c:v>-64</c:v>
                </c:pt>
                <c:pt idx="16">
                  <c:v>-77.900000000000006</c:v>
                </c:pt>
                <c:pt idx="17">
                  <c:v>-94.5</c:v>
                </c:pt>
                <c:pt idx="18">
                  <c:v>-112.7</c:v>
                </c:pt>
                <c:pt idx="19">
                  <c:v>-133</c:v>
                </c:pt>
                <c:pt idx="20">
                  <c:v>-156.4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0F-418E-A3F3-0B60D5F0A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183711660496089E-2"/>
          <c:y val="0.11447530864197532"/>
          <c:w val="0.77541064786720559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1660294867365092E-2"/>
                  <c:y val="-0.3029610187615436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-2.0000004266667757</c:v>
                </c:pt>
                <c:pt idx="2">
                  <c:v>1.250000026041667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-42.000020160011601</c:v>
                </c:pt>
                <c:pt idx="11">
                  <c:v>-66.720061876730625</c:v>
                </c:pt>
                <c:pt idx="12">
                  <c:v>-104.94019022948933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F8-47D5-89E2-DF4D4D339874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04096782805279"/>
                  <c:y val="-0.1520946340040828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-0.5</c:v>
                </c:pt>
                <c:pt idx="2">
                  <c:v>2.2000000000000002</c:v>
                </c:pt>
                <c:pt idx="3">
                  <c:v>4</c:v>
                </c:pt>
                <c:pt idx="4">
                  <c:v>5.0999999999999996</c:v>
                </c:pt>
                <c:pt idx="5">
                  <c:v>5.2</c:v>
                </c:pt>
                <c:pt idx="6">
                  <c:v>4.5</c:v>
                </c:pt>
                <c:pt idx="7">
                  <c:v>2.8</c:v>
                </c:pt>
                <c:pt idx="8">
                  <c:v>0</c:v>
                </c:pt>
                <c:pt idx="9">
                  <c:v>-3.9</c:v>
                </c:pt>
                <c:pt idx="10">
                  <c:v>-9</c:v>
                </c:pt>
                <c:pt idx="11">
                  <c:v>-15.5</c:v>
                </c:pt>
                <c:pt idx="12">
                  <c:v>-23.3</c:v>
                </c:pt>
                <c:pt idx="13">
                  <c:v>-32.5</c:v>
                </c:pt>
                <c:pt idx="14">
                  <c:v>-43.7</c:v>
                </c:pt>
                <c:pt idx="15">
                  <c:v>-56.3</c:v>
                </c:pt>
                <c:pt idx="16">
                  <c:v>-70.7</c:v>
                </c:pt>
                <c:pt idx="17">
                  <c:v>-87.7</c:v>
                </c:pt>
                <c:pt idx="18">
                  <c:v>-106.3</c:v>
                </c:pt>
                <c:pt idx="19">
                  <c:v>-127.3</c:v>
                </c:pt>
                <c:pt idx="20">
                  <c:v>-150.80000000000001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F8-47D5-89E2-DF4D4D339874}"/>
            </c:ext>
          </c:extLst>
        </c:ser>
        <c:ser>
          <c:idx val="2"/>
          <c:order val="2"/>
          <c:tx>
            <c:strRef>
              <c:f>'Federal TrophyBonded PHP'!$K$150</c:f>
              <c:strCache>
                <c:ptCount val="1"/>
                <c:pt idx="0">
                  <c:v>Federal(200m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TrophyBonded PHP'!$K$152:$K$172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PHP'!$L$152:$L$172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2.1</c:v>
                </c:pt>
                <c:pt idx="3">
                  <c:v>3.9</c:v>
                </c:pt>
                <c:pt idx="4">
                  <c:v>4.9000000000000004</c:v>
                </c:pt>
                <c:pt idx="5">
                  <c:v>5.0999999999999996</c:v>
                </c:pt>
                <c:pt idx="6">
                  <c:v>4.4000000000000004</c:v>
                </c:pt>
                <c:pt idx="7">
                  <c:v>2.7</c:v>
                </c:pt>
                <c:pt idx="8">
                  <c:v>0</c:v>
                </c:pt>
                <c:pt idx="9">
                  <c:v>-3.7</c:v>
                </c:pt>
                <c:pt idx="10">
                  <c:v>-8.5</c:v>
                </c:pt>
                <c:pt idx="11">
                  <c:v>-14.8</c:v>
                </c:pt>
                <c:pt idx="12">
                  <c:v>-22.2</c:v>
                </c:pt>
                <c:pt idx="13">
                  <c:v>-30.9</c:v>
                </c:pt>
                <c:pt idx="14">
                  <c:v>-41.4</c:v>
                </c:pt>
                <c:pt idx="15">
                  <c:v>-53.1</c:v>
                </c:pt>
                <c:pt idx="16">
                  <c:v>-66.3</c:v>
                </c:pt>
                <c:pt idx="17">
                  <c:v>-82.2</c:v>
                </c:pt>
                <c:pt idx="18">
                  <c:v>-99.6</c:v>
                </c:pt>
                <c:pt idx="19">
                  <c:v>-119.2</c:v>
                </c:pt>
                <c:pt idx="20">
                  <c:v>-141.9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32-4D75-9BE9-9B8513E10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-0.83000003049530802</c:v>
                </c:pt>
                <c:pt idx="2">
                  <c:v>3.3400004967961423</c:v>
                </c:pt>
                <c:pt idx="3">
                  <c:v>9.3750048828155528</c:v>
                </c:pt>
                <c:pt idx="4">
                  <c:v>12.500006510420736</c:v>
                </c:pt>
                <c:pt idx="5">
                  <c:v>15.625008138025919</c:v>
                </c:pt>
                <c:pt idx="6">
                  <c:v>15.000005000002</c:v>
                </c:pt>
                <c:pt idx="7">
                  <c:v>13.360001987184569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-72.000061440062922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70-43D0-A9AA-3F45FE58E044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5945577756477376E-2"/>
                  <c:y val="-0.383048264800233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/>
                      <a:t>y = -7.411784E-07x</a:t>
                    </a:r>
                    <a:r>
                      <a:rPr lang="en-US" baseline="30000"/>
                      <a:t>3</a:t>
                    </a:r>
                    <a:r>
                      <a:rPr lang="en-US" baseline="0"/>
                      <a:t> - 5.611420E-04x</a:t>
                    </a:r>
                    <a:r>
                      <a:rPr lang="en-US" baseline="30000"/>
                      <a:t>2</a:t>
                    </a:r>
                    <a:r>
                      <a:rPr lang="en-US" baseline="0"/>
                      <a:t> + 2.473580E-01x - </a:t>
                    </a:r>
                    <a:r>
                      <a:rPr lang="en-US" sz="1000" baseline="0"/>
                      <a:t>3.5696</a:t>
                    </a:r>
                    <a:r>
                      <a:rPr lang="en-US" baseline="0"/>
                      <a:t>50E+00</a:t>
                    </a:r>
                    <a:br>
                      <a:rPr lang="en-US" baseline="0"/>
                    </a:br>
                    <a:r>
                      <a:rPr lang="en-US" baseline="0"/>
                      <a:t>R² = 9.999858E-01</a:t>
                    </a:r>
                    <a:endParaRPr lang="en-US"/>
                  </a:p>
                </c:rich>
              </c:tx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1.4</c:v>
                </c:pt>
                <c:pt idx="2">
                  <c:v>6.1</c:v>
                </c:pt>
                <c:pt idx="3">
                  <c:v>9.9</c:v>
                </c:pt>
                <c:pt idx="4">
                  <c:v>12.8</c:v>
                </c:pt>
                <c:pt idx="5">
                  <c:v>15</c:v>
                </c:pt>
                <c:pt idx="6">
                  <c:v>16.2</c:v>
                </c:pt>
                <c:pt idx="7">
                  <c:v>16.399999999999999</c:v>
                </c:pt>
                <c:pt idx="8">
                  <c:v>15.6</c:v>
                </c:pt>
                <c:pt idx="9">
                  <c:v>13.6</c:v>
                </c:pt>
                <c:pt idx="10">
                  <c:v>10.5</c:v>
                </c:pt>
                <c:pt idx="11">
                  <c:v>5.9</c:v>
                </c:pt>
                <c:pt idx="12">
                  <c:v>0.1</c:v>
                </c:pt>
                <c:pt idx="13">
                  <c:v>-7.2</c:v>
                </c:pt>
                <c:pt idx="14">
                  <c:v>-16.399999999999999</c:v>
                </c:pt>
                <c:pt idx="15">
                  <c:v>-27.1</c:v>
                </c:pt>
                <c:pt idx="16">
                  <c:v>-39.5</c:v>
                </c:pt>
                <c:pt idx="17">
                  <c:v>-54.6</c:v>
                </c:pt>
                <c:pt idx="18">
                  <c:v>-71.3</c:v>
                </c:pt>
                <c:pt idx="19">
                  <c:v>-90.3</c:v>
                </c:pt>
                <c:pt idx="20">
                  <c:v>-111.9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70-43D0-A9AA-3F45FE58E044}"/>
            </c:ext>
          </c:extLst>
        </c:ser>
        <c:ser>
          <c:idx val="2"/>
          <c:order val="2"/>
          <c:tx>
            <c:strRef>
              <c:f>'Federal TrophyBonded PHP'!$K$174</c:f>
              <c:strCache>
                <c:ptCount val="1"/>
                <c:pt idx="0">
                  <c:v>Federal(300m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TrophyBonded PHP'!$K$176:$K$196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PHP'!$L$176:$L$196</c:f>
              <c:numCache>
                <c:formatCode>0.00</c:formatCode>
                <c:ptCount val="21"/>
                <c:pt idx="0">
                  <c:v>-3.8</c:v>
                </c:pt>
                <c:pt idx="1">
                  <c:v>1.3</c:v>
                </c:pt>
                <c:pt idx="2">
                  <c:v>5.8</c:v>
                </c:pt>
                <c:pt idx="3">
                  <c:v>9.4</c:v>
                </c:pt>
                <c:pt idx="4">
                  <c:v>12.3</c:v>
                </c:pt>
                <c:pt idx="5">
                  <c:v>14.3</c:v>
                </c:pt>
                <c:pt idx="6">
                  <c:v>15.4</c:v>
                </c:pt>
                <c:pt idx="7">
                  <c:v>15.6</c:v>
                </c:pt>
                <c:pt idx="8">
                  <c:v>14.8</c:v>
                </c:pt>
                <c:pt idx="9">
                  <c:v>13</c:v>
                </c:pt>
                <c:pt idx="10">
                  <c:v>10</c:v>
                </c:pt>
                <c:pt idx="11">
                  <c:v>5.6</c:v>
                </c:pt>
                <c:pt idx="12">
                  <c:v>0</c:v>
                </c:pt>
                <c:pt idx="13">
                  <c:v>-6.9</c:v>
                </c:pt>
                <c:pt idx="14">
                  <c:v>-15.5</c:v>
                </c:pt>
                <c:pt idx="15">
                  <c:v>-25.4</c:v>
                </c:pt>
                <c:pt idx="16">
                  <c:v>-36.799999999999997</c:v>
                </c:pt>
                <c:pt idx="17">
                  <c:v>-50.7</c:v>
                </c:pt>
                <c:pt idx="18">
                  <c:v>-66.3</c:v>
                </c:pt>
                <c:pt idx="19">
                  <c:v>-84.1</c:v>
                </c:pt>
                <c:pt idx="20">
                  <c:v>-104.9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AF-47BE-995F-9639643A7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4.594031556409451E-2"/>
                  <c:y val="-0.5575070477301448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1.5656252046736991</c:v>
                </c:pt>
                <c:pt idx="2">
                  <c:v>7.8187563731060106</c:v>
                </c:pt>
                <c:pt idx="3">
                  <c:v>14.062516479515361</c:v>
                </c:pt>
                <c:pt idx="4">
                  <c:v>18.750021972687147</c:v>
                </c:pt>
                <c:pt idx="5">
                  <c:v>23.437527465858935</c:v>
                </c:pt>
                <c:pt idx="6">
                  <c:v>28.125032959030722</c:v>
                </c:pt>
                <c:pt idx="7">
                  <c:v>31.275025492424042</c:v>
                </c:pt>
                <c:pt idx="8">
                  <c:v>35.156273174304218</c:v>
                </c:pt>
                <c:pt idx="9">
                  <c:v>28.12500823974899</c:v>
                </c:pt>
                <c:pt idx="10">
                  <c:v>16.406251201629747</c:v>
                </c:pt>
                <c:pt idx="11">
                  <c:v>0</c:v>
                </c:pt>
                <c:pt idx="12">
                  <c:v>-21.093751544952529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7F-4B73-8A03-A1503FADBFF0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777726834022842"/>
                  <c:y val="-0.15662535238650724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3.9</c:v>
                </c:pt>
                <c:pt idx="2">
                  <c:v>11.1</c:v>
                </c:pt>
                <c:pt idx="3">
                  <c:v>17.399999999999999</c:v>
                </c:pt>
                <c:pt idx="4">
                  <c:v>22.8</c:v>
                </c:pt>
                <c:pt idx="5">
                  <c:v>27.5</c:v>
                </c:pt>
                <c:pt idx="6">
                  <c:v>31.2</c:v>
                </c:pt>
                <c:pt idx="7">
                  <c:v>33.799999999999997</c:v>
                </c:pt>
                <c:pt idx="8">
                  <c:v>35.5</c:v>
                </c:pt>
                <c:pt idx="9">
                  <c:v>36</c:v>
                </c:pt>
                <c:pt idx="10">
                  <c:v>35.4</c:v>
                </c:pt>
                <c:pt idx="11">
                  <c:v>33.299999999999997</c:v>
                </c:pt>
                <c:pt idx="12">
                  <c:v>30</c:v>
                </c:pt>
                <c:pt idx="13">
                  <c:v>25.1</c:v>
                </c:pt>
                <c:pt idx="14">
                  <c:v>18.5</c:v>
                </c:pt>
                <c:pt idx="15">
                  <c:v>10.3</c:v>
                </c:pt>
                <c:pt idx="16">
                  <c:v>0.3</c:v>
                </c:pt>
                <c:pt idx="17">
                  <c:v>-12.2</c:v>
                </c:pt>
                <c:pt idx="18">
                  <c:v>-26.5</c:v>
                </c:pt>
                <c:pt idx="19">
                  <c:v>-43.1</c:v>
                </c:pt>
                <c:pt idx="20">
                  <c:v>-62.1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7F-4B73-8A03-A1503FADBFF0}"/>
            </c:ext>
          </c:extLst>
        </c:ser>
        <c:ser>
          <c:idx val="2"/>
          <c:order val="2"/>
          <c:tx>
            <c:strRef>
              <c:f>'Federal TrophyBonded PHP'!$K$198</c:f>
              <c:strCache>
                <c:ptCount val="1"/>
                <c:pt idx="0">
                  <c:v>Federal(400m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TrophyBonded PHP'!$K$200:$K$220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PHP'!$L$200:$L$220</c:f>
              <c:numCache>
                <c:formatCode>0.00</c:formatCode>
                <c:ptCount val="21"/>
                <c:pt idx="0">
                  <c:v>-3.8</c:v>
                </c:pt>
                <c:pt idx="1">
                  <c:v>3.5</c:v>
                </c:pt>
                <c:pt idx="2">
                  <c:v>10.4</c:v>
                </c:pt>
                <c:pt idx="3">
                  <c:v>16.3</c:v>
                </c:pt>
                <c:pt idx="4">
                  <c:v>21.4</c:v>
                </c:pt>
                <c:pt idx="5">
                  <c:v>25.9</c:v>
                </c:pt>
                <c:pt idx="6">
                  <c:v>29.2</c:v>
                </c:pt>
                <c:pt idx="7">
                  <c:v>31.7</c:v>
                </c:pt>
                <c:pt idx="8">
                  <c:v>33.200000000000003</c:v>
                </c:pt>
                <c:pt idx="9">
                  <c:v>33.700000000000003</c:v>
                </c:pt>
                <c:pt idx="10">
                  <c:v>32.9</c:v>
                </c:pt>
                <c:pt idx="11">
                  <c:v>30.9</c:v>
                </c:pt>
                <c:pt idx="12">
                  <c:v>27.6</c:v>
                </c:pt>
                <c:pt idx="13">
                  <c:v>23</c:v>
                </c:pt>
                <c:pt idx="14">
                  <c:v>16.7</c:v>
                </c:pt>
                <c:pt idx="15">
                  <c:v>9.1</c:v>
                </c:pt>
                <c:pt idx="16">
                  <c:v>0</c:v>
                </c:pt>
                <c:pt idx="17">
                  <c:v>-11.6</c:v>
                </c:pt>
                <c:pt idx="18">
                  <c:v>-25</c:v>
                </c:pt>
                <c:pt idx="19">
                  <c:v>-40.5</c:v>
                </c:pt>
                <c:pt idx="20">
                  <c:v>-58.9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D4-4EF2-A380-2904394EF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987491516704265"/>
                  <c:y val="-0.29093783415961894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5.3125079964337152</c:v>
                </c:pt>
                <c:pt idx="2">
                  <c:v>15.937553976049438</c:v>
                </c:pt>
                <c:pt idx="3">
                  <c:v>26.551985928714533</c:v>
                </c:pt>
                <c:pt idx="4">
                  <c:v>35.062643684366243</c:v>
                </c:pt>
                <c:pt idx="5">
                  <c:v>44.253309881190887</c:v>
                </c:pt>
                <c:pt idx="6">
                  <c:v>51.797080877542179</c:v>
                </c:pt>
                <c:pt idx="7">
                  <c:v>63.750215904197752</c:v>
                </c:pt>
                <c:pt idx="8">
                  <c:v>66.406406180504661</c:v>
                </c:pt>
                <c:pt idx="9">
                  <c:v>65.343853335423447</c:v>
                </c:pt>
                <c:pt idx="10">
                  <c:v>59.500057318399598</c:v>
                </c:pt>
                <c:pt idx="11">
                  <c:v>42.500015992845761</c:v>
                </c:pt>
                <c:pt idx="12">
                  <c:v>23.906252248993177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42-46B8-8175-822AAE95CE77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7461566639557148E-2"/>
                  <c:y val="-0.5187134247108000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7</c:v>
                </c:pt>
                <c:pt idx="2">
                  <c:v>17.5</c:v>
                </c:pt>
                <c:pt idx="3">
                  <c:v>26.8</c:v>
                </c:pt>
                <c:pt idx="4">
                  <c:v>35.299999999999997</c:v>
                </c:pt>
                <c:pt idx="5">
                  <c:v>43.3</c:v>
                </c:pt>
                <c:pt idx="6">
                  <c:v>50</c:v>
                </c:pt>
                <c:pt idx="7">
                  <c:v>55.8</c:v>
                </c:pt>
                <c:pt idx="8">
                  <c:v>60.7</c:v>
                </c:pt>
                <c:pt idx="9">
                  <c:v>64.3</c:v>
                </c:pt>
                <c:pt idx="10">
                  <c:v>66.7</c:v>
                </c:pt>
                <c:pt idx="11">
                  <c:v>67.900000000000006</c:v>
                </c:pt>
                <c:pt idx="12">
                  <c:v>67.7</c:v>
                </c:pt>
                <c:pt idx="13">
                  <c:v>65.900000000000006</c:v>
                </c:pt>
                <c:pt idx="14">
                  <c:v>62.5</c:v>
                </c:pt>
                <c:pt idx="15">
                  <c:v>57.4</c:v>
                </c:pt>
                <c:pt idx="16">
                  <c:v>50.5</c:v>
                </c:pt>
                <c:pt idx="17">
                  <c:v>41.2</c:v>
                </c:pt>
                <c:pt idx="18">
                  <c:v>30.1</c:v>
                </c:pt>
                <c:pt idx="19">
                  <c:v>16.600000000000001</c:v>
                </c:pt>
                <c:pt idx="20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42-46B8-8175-822AAE95CE77}"/>
            </c:ext>
          </c:extLst>
        </c:ser>
        <c:ser>
          <c:idx val="2"/>
          <c:order val="2"/>
          <c:tx>
            <c:strRef>
              <c:f>'Federal TrophyBonded PHP'!$K$222</c:f>
              <c:strCache>
                <c:ptCount val="1"/>
                <c:pt idx="0">
                  <c:v>Federal(500m Zero)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TrophyBonded PHP'!$K$224:$K$244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PHP'!$L$224:$L$244</c:f>
              <c:numCache>
                <c:formatCode>0.00</c:formatCode>
                <c:ptCount val="21"/>
                <c:pt idx="0">
                  <c:v>-3.8</c:v>
                </c:pt>
                <c:pt idx="1">
                  <c:v>6.4</c:v>
                </c:pt>
                <c:pt idx="2">
                  <c:v>16.3</c:v>
                </c:pt>
                <c:pt idx="3">
                  <c:v>25.2</c:v>
                </c:pt>
                <c:pt idx="4">
                  <c:v>33.200000000000003</c:v>
                </c:pt>
                <c:pt idx="5">
                  <c:v>40.6</c:v>
                </c:pt>
                <c:pt idx="6">
                  <c:v>46.9</c:v>
                </c:pt>
                <c:pt idx="7">
                  <c:v>52.3</c:v>
                </c:pt>
                <c:pt idx="8">
                  <c:v>56.8</c:v>
                </c:pt>
                <c:pt idx="9">
                  <c:v>60.2</c:v>
                </c:pt>
                <c:pt idx="10">
                  <c:v>62.3</c:v>
                </c:pt>
                <c:pt idx="11">
                  <c:v>63.3</c:v>
                </c:pt>
                <c:pt idx="12">
                  <c:v>62.9</c:v>
                </c:pt>
                <c:pt idx="13">
                  <c:v>61.2</c:v>
                </c:pt>
                <c:pt idx="14">
                  <c:v>58</c:v>
                </c:pt>
                <c:pt idx="15">
                  <c:v>53.3</c:v>
                </c:pt>
                <c:pt idx="16">
                  <c:v>47.1</c:v>
                </c:pt>
                <c:pt idx="17">
                  <c:v>38.5</c:v>
                </c:pt>
                <c:pt idx="18">
                  <c:v>28</c:v>
                </c:pt>
                <c:pt idx="19">
                  <c:v>15.4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25-4462-83B5-5353FECFB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SP'!$B$22:$B$35</c:f>
              <c:numCache>
                <c:formatCode>0.00</c:formatCode>
                <c:ptCount val="14"/>
                <c:pt idx="0">
                  <c:v>1679.8</c:v>
                </c:pt>
                <c:pt idx="1">
                  <c:v>1603.5</c:v>
                </c:pt>
                <c:pt idx="2">
                  <c:v>1508.1</c:v>
                </c:pt>
                <c:pt idx="3">
                  <c:v>1419.7</c:v>
                </c:pt>
                <c:pt idx="4">
                  <c:v>1337.4</c:v>
                </c:pt>
                <c:pt idx="5">
                  <c:v>1261.0999999999999</c:v>
                </c:pt>
                <c:pt idx="6">
                  <c:v>1190.9000000000001</c:v>
                </c:pt>
                <c:pt idx="7">
                  <c:v>1044.0999999999999</c:v>
                </c:pt>
                <c:pt idx="8">
                  <c:v>919.4</c:v>
                </c:pt>
                <c:pt idx="9">
                  <c:v>805.8</c:v>
                </c:pt>
                <c:pt idx="10">
                  <c:v>696.7</c:v>
                </c:pt>
                <c:pt idx="11">
                  <c:v>601.4</c:v>
                </c:pt>
                <c:pt idx="12">
                  <c:v>519.6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291-4E02-8044-6DF73C2964C1}"/>
            </c:ext>
          </c:extLst>
        </c:ser>
        <c:ser>
          <c:idx val="1"/>
          <c:order val="1"/>
          <c:tx>
            <c:strRef>
              <c:f>'Remington Core-Lokt SP'!$A$78</c:f>
              <c:strCache>
                <c:ptCount val="1"/>
                <c:pt idx="0">
                  <c:v>50m zero(G1 BC = 0.234)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SP'!$C$80:$C$100</c:f>
              <c:numCache>
                <c:formatCode>0.00</c:formatCode>
                <c:ptCount val="21"/>
                <c:pt idx="0">
                  <c:v>1680</c:v>
                </c:pt>
                <c:pt idx="1">
                  <c:v>1556</c:v>
                </c:pt>
                <c:pt idx="2">
                  <c:v>1440</c:v>
                </c:pt>
                <c:pt idx="3">
                  <c:v>1331</c:v>
                </c:pt>
                <c:pt idx="4">
                  <c:v>1229</c:v>
                </c:pt>
                <c:pt idx="5">
                  <c:v>1134</c:v>
                </c:pt>
                <c:pt idx="6">
                  <c:v>1044</c:v>
                </c:pt>
                <c:pt idx="7">
                  <c:v>960</c:v>
                </c:pt>
                <c:pt idx="8">
                  <c:v>881</c:v>
                </c:pt>
                <c:pt idx="9">
                  <c:v>807</c:v>
                </c:pt>
                <c:pt idx="10">
                  <c:v>738</c:v>
                </c:pt>
                <c:pt idx="11">
                  <c:v>674</c:v>
                </c:pt>
                <c:pt idx="12">
                  <c:v>615</c:v>
                </c:pt>
                <c:pt idx="13">
                  <c:v>560</c:v>
                </c:pt>
                <c:pt idx="14">
                  <c:v>510</c:v>
                </c:pt>
                <c:pt idx="15">
                  <c:v>464</c:v>
                </c:pt>
                <c:pt idx="16">
                  <c:v>421</c:v>
                </c:pt>
                <c:pt idx="17">
                  <c:v>383</c:v>
                </c:pt>
                <c:pt idx="18">
                  <c:v>349</c:v>
                </c:pt>
                <c:pt idx="19">
                  <c:v>318</c:v>
                </c:pt>
                <c:pt idx="20">
                  <c:v>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291-4E02-8044-6DF73C2964C1}"/>
            </c:ext>
          </c:extLst>
        </c:ser>
        <c:ser>
          <c:idx val="2"/>
          <c:order val="2"/>
          <c:tx>
            <c:strRef>
              <c:f>'Remington Core-Lokt SP'!$K$78</c:f>
              <c:strCache>
                <c:ptCount val="1"/>
                <c:pt idx="0">
                  <c:v>50m Zero(G1 BC=0.309)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SP'!$M$80:$M$100</c:f>
              <c:numCache>
                <c:formatCode>0.00</c:formatCode>
                <c:ptCount val="21"/>
                <c:pt idx="0">
                  <c:v>1680</c:v>
                </c:pt>
                <c:pt idx="1">
                  <c:v>1585</c:v>
                </c:pt>
                <c:pt idx="2">
                  <c:v>1495</c:v>
                </c:pt>
                <c:pt idx="3">
                  <c:v>1410</c:v>
                </c:pt>
                <c:pt idx="4">
                  <c:v>1329</c:v>
                </c:pt>
                <c:pt idx="5">
                  <c:v>1251</c:v>
                </c:pt>
                <c:pt idx="6">
                  <c:v>1177</c:v>
                </c:pt>
                <c:pt idx="7">
                  <c:v>1106</c:v>
                </c:pt>
                <c:pt idx="8">
                  <c:v>1039</c:v>
                </c:pt>
                <c:pt idx="9">
                  <c:v>975</c:v>
                </c:pt>
                <c:pt idx="10">
                  <c:v>914</c:v>
                </c:pt>
                <c:pt idx="11">
                  <c:v>856</c:v>
                </c:pt>
                <c:pt idx="12">
                  <c:v>801</c:v>
                </c:pt>
                <c:pt idx="13">
                  <c:v>749</c:v>
                </c:pt>
                <c:pt idx="14">
                  <c:v>699</c:v>
                </c:pt>
                <c:pt idx="15">
                  <c:v>653</c:v>
                </c:pt>
                <c:pt idx="16">
                  <c:v>609</c:v>
                </c:pt>
                <c:pt idx="17">
                  <c:v>567</c:v>
                </c:pt>
                <c:pt idx="18">
                  <c:v>528</c:v>
                </c:pt>
                <c:pt idx="19">
                  <c:v>491</c:v>
                </c:pt>
                <c:pt idx="20">
                  <c:v>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4C-426D-BDB3-778E45D53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3.3750002278125182</c:v>
                </c:pt>
                <c:pt idx="4">
                  <c:v>4.5000003037500242</c:v>
                </c:pt>
                <c:pt idx="5">
                  <c:v>5.6250003796875303</c:v>
                </c:pt>
                <c:pt idx="6">
                  <c:v>3.3750000569531267</c:v>
                </c:pt>
                <c:pt idx="7">
                  <c:v>-4.5000000759375016</c:v>
                </c:pt>
                <c:pt idx="8">
                  <c:v>-14.062501483154483</c:v>
                </c:pt>
                <c:pt idx="9">
                  <c:v>-33.750014238288458</c:v>
                </c:pt>
                <c:pt idx="10">
                  <c:v>-59.062556063296277</c:v>
                </c:pt>
                <c:pt idx="11">
                  <c:v>-90.000151875307537</c:v>
                </c:pt>
                <c:pt idx="12">
                  <c:v>-135.06790560926547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5-4627-8C5C-9C6B06E55221}"/>
            </c:ext>
          </c:extLst>
        </c:ser>
        <c:ser>
          <c:idx val="1"/>
          <c:order val="1"/>
          <c:tx>
            <c:strRef>
              <c:f>'Remington Core-Lokt SP'!$K$21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-5.2912502194679423</c:v>
                </c:pt>
                <c:pt idx="7">
                  <c:v>-10.625000999552523</c:v>
                </c:pt>
                <c:pt idx="8">
                  <c:v>-19.921879216862795</c:v>
                </c:pt>
                <c:pt idx="9">
                  <c:v>-44.625032913290845</c:v>
                </c:pt>
                <c:pt idx="10">
                  <c:v>-66.937581611574487</c:v>
                </c:pt>
                <c:pt idx="11">
                  <c:v>-105.4002439393158</c:v>
                </c:pt>
                <c:pt idx="12">
                  <c:v>-143.43798578444495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5-4627-8C5C-9C6B06E55221}"/>
            </c:ext>
          </c:extLst>
        </c:ser>
        <c:ser>
          <c:idx val="2"/>
          <c:order val="2"/>
          <c:tx>
            <c:strRef>
              <c:f>'Remington Core-Lokt SP'!$L$21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-3.3203144522521759</c:v>
                </c:pt>
                <c:pt idx="2">
                  <c:v>0</c:v>
                </c:pt>
                <c:pt idx="3">
                  <c:v>1.9921875468540204</c:v>
                </c:pt>
                <c:pt idx="4">
                  <c:v>2.6562500624720276</c:v>
                </c:pt>
                <c:pt idx="5">
                  <c:v>1.8593750137138592</c:v>
                </c:pt>
                <c:pt idx="6">
                  <c:v>0</c:v>
                </c:pt>
                <c:pt idx="7">
                  <c:v>-7.0550002926239239</c:v>
                </c:pt>
                <c:pt idx="8">
                  <c:v>-13.281251249440654</c:v>
                </c:pt>
                <c:pt idx="9">
                  <c:v>-42.457528346525805</c:v>
                </c:pt>
                <c:pt idx="10">
                  <c:v>-62.028814941496222</c:v>
                </c:pt>
                <c:pt idx="11">
                  <c:v>-99.110202820690802</c:v>
                </c:pt>
                <c:pt idx="12">
                  <c:v>-127.56409169368061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5-4627-8C5C-9C6B06E55221}"/>
            </c:ext>
          </c:extLst>
        </c:ser>
        <c:ser>
          <c:idx val="3"/>
          <c:order val="3"/>
          <c:tx>
            <c:strRef>
              <c:f>'Remington Core-Lokt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-1.7743752979442751</c:v>
                </c:pt>
                <c:pt idx="2">
                  <c:v>1.763750073155981</c:v>
                </c:pt>
                <c:pt idx="3">
                  <c:v>3.9843753748321964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6.3750003838281524</c:v>
                </c:pt>
                <c:pt idx="7">
                  <c:v>0</c:v>
                </c:pt>
                <c:pt idx="8">
                  <c:v>-10.625000639713587</c:v>
                </c:pt>
                <c:pt idx="9">
                  <c:v>-23.906255060235353</c:v>
                </c:pt>
                <c:pt idx="10">
                  <c:v>-49.533783070946775</c:v>
                </c:pt>
                <c:pt idx="11">
                  <c:v>-85.000127942939443</c:v>
                </c:pt>
                <c:pt idx="12">
                  <c:v>-119.5315311249084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5-4627-8C5C-9C6B06E55221}"/>
            </c:ext>
          </c:extLst>
        </c:ser>
        <c:ser>
          <c:idx val="4"/>
          <c:order val="4"/>
          <c:tx>
            <c:strRef>
              <c:f>'Remington Core-Lokt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5.3125019991057201</c:v>
                </c:pt>
                <c:pt idx="3">
                  <c:v>11.156258228322711</c:v>
                </c:pt>
                <c:pt idx="4">
                  <c:v>14.87501097109695</c:v>
                </c:pt>
                <c:pt idx="5">
                  <c:v>17.690636811052418</c:v>
                </c:pt>
                <c:pt idx="6">
                  <c:v>20.240637284805921</c:v>
                </c:pt>
                <c:pt idx="7">
                  <c:v>17.000004094167849</c:v>
                </c:pt>
                <c:pt idx="8">
                  <c:v>13.281251249440654</c:v>
                </c:pt>
                <c:pt idx="9">
                  <c:v>0</c:v>
                </c:pt>
                <c:pt idx="10">
                  <c:v>-18.593751749216914</c:v>
                </c:pt>
                <c:pt idx="11">
                  <c:v>-42.500015992845761</c:v>
                </c:pt>
                <c:pt idx="12">
                  <c:v>-79.751333496209426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95-4627-8C5C-9C6B06E55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'Remington Core-Lokt SP'!$O$21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'Remington Core-Lokt SP'!$A$22:$A$35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'Remington Core-Lokt SP'!$O$22:$O$35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3.3203144522521759</c:v>
                      </c:pt>
                      <c:pt idx="2">
                        <c:v>10.890642222570575</c:v>
                      </c:pt>
                      <c:pt idx="3">
                        <c:v>19.9219218541514</c:v>
                      </c:pt>
                      <c:pt idx="4">
                        <c:v>26.562562472201869</c:v>
                      </c:pt>
                      <c:pt idx="5">
                        <c:v>31.875069089242196</c:v>
                      </c:pt>
                      <c:pt idx="6">
                        <c:v>37.166326057759051</c:v>
                      </c:pt>
                      <c:pt idx="7">
                        <c:v>42.500063971469721</c:v>
                      </c:pt>
                      <c:pt idx="8">
                        <c:v>39.843783734928067</c:v>
                      </c:pt>
                      <c:pt idx="9">
                        <c:v>31.875011994634324</c:v>
                      </c:pt>
                      <c:pt idx="10">
                        <c:v>18.593751749216914</c:v>
                      </c:pt>
                      <c:pt idx="11">
                        <c:v>0</c:v>
                      </c:pt>
                      <c:pt idx="12">
                        <c:v>-23.906252248993177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6C58-4D06-8D06-CB901B32B0F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'Remington Core-Lokt SP'!$P$21</c15:sqref>
                        </c15:formulaRef>
                      </c:ext>
                    </c:extLst>
                    <c:strCache>
                      <c:ptCount val="1"/>
                      <c:pt idx="0">
                        <c:v>500m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'Remington Core-Lokt SP'!$A$22:$A$35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'Remington Core-Lokt SP'!$P$22:$P$35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6.6406406180504671</c:v>
                      </c:pt>
                      <c:pt idx="2">
                        <c:v>18.593835712093188</c:v>
                      </c:pt>
                      <c:pt idx="3">
                        <c:v>29.882970633318845</c:v>
                      </c:pt>
                      <c:pt idx="4">
                        <c:v>39.843960844425126</c:v>
                      </c:pt>
                      <c:pt idx="5">
                        <c:v>46.48458928023296</c:v>
                      </c:pt>
                      <c:pt idx="6">
                        <c:v>55.781507136279565</c:v>
                      </c:pt>
                      <c:pt idx="7">
                        <c:v>70.805295809905417</c:v>
                      </c:pt>
                      <c:pt idx="8">
                        <c:v>74.375219422521596</c:v>
                      </c:pt>
                      <c:pt idx="9">
                        <c:v>76.500165814181273</c:v>
                      </c:pt>
                      <c:pt idx="10">
                        <c:v>70.656345983176067</c:v>
                      </c:pt>
                      <c:pt idx="11">
                        <c:v>63.75005397588491</c:v>
                      </c:pt>
                      <c:pt idx="12">
                        <c:v>23.906252248993177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C58-4D06-8D06-CB901B32B0F2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042806742711284"/>
                  <c:y val="-0.675410948631421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0.05</c:v>
                </c:pt>
                <c:pt idx="6">
                  <c:v>-0.05</c:v>
                </c:pt>
                <c:pt idx="7">
                  <c:v>-0.125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-0.66700000000000004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D-4691-AF01-1B4BD43451D7}"/>
            </c:ext>
          </c:extLst>
        </c:ser>
        <c:ser>
          <c:idx val="1"/>
          <c:order val="1"/>
          <c:tx>
            <c:strRef>
              <c:f>'Remington Core-Lokt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157934514862182"/>
                  <c:y val="-0.666135358080239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-8.3000000000000004E-2</c:v>
                </c:pt>
                <c:pt idx="6">
                  <c:v>-0.125</c:v>
                </c:pt>
                <c:pt idx="7">
                  <c:v>-0.1875</c:v>
                </c:pt>
                <c:pt idx="8">
                  <c:v>-0.35</c:v>
                </c:pt>
                <c:pt idx="9">
                  <c:v>-0.45</c:v>
                </c:pt>
                <c:pt idx="10">
                  <c:v>-0.62</c:v>
                </c:pt>
                <c:pt idx="11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D-4691-AF01-1B4BD43451D7}"/>
            </c:ext>
          </c:extLst>
        </c:ser>
        <c:ser>
          <c:idx val="2"/>
          <c:order val="2"/>
          <c:tx>
            <c:strRef>
              <c:f>'Remington Core-Lokt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598416754899404"/>
                  <c:y val="-0.442339332583427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SP'!$E$23:$E$35</c:f>
              <c:numCache>
                <c:formatCode>0.000</c:formatCode>
                <c:ptCount val="13"/>
                <c:pt idx="0">
                  <c:v>-0.3125</c:v>
                </c:pt>
                <c:pt idx="1">
                  <c:v>0</c:v>
                </c:pt>
                <c:pt idx="2">
                  <c:v>6.25E-2</c:v>
                </c:pt>
                <c:pt idx="3">
                  <c:v>6.25E-2</c:v>
                </c:pt>
                <c:pt idx="4">
                  <c:v>3.5000000000000003E-2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-0.125</c:v>
                </c:pt>
                <c:pt idx="8">
                  <c:v>-0.33300000000000002</c:v>
                </c:pt>
                <c:pt idx="9">
                  <c:v>-0.41699999999999998</c:v>
                </c:pt>
                <c:pt idx="10">
                  <c:v>-0.58299999999999996</c:v>
                </c:pt>
                <c:pt idx="11">
                  <c:v>-0.66700000000000004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D-4691-AF01-1B4BD43451D7}"/>
            </c:ext>
          </c:extLst>
        </c:ser>
        <c:ser>
          <c:idx val="3"/>
          <c:order val="3"/>
          <c:tx>
            <c:strRef>
              <c:f>'Remington Core-Lokt SP'!$F$21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54875032285899"/>
                  <c:y val="-0.52450112485939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SP'!$F$23:$F$35</c:f>
              <c:numCache>
                <c:formatCode>0.000</c:formatCode>
                <c:ptCount val="13"/>
                <c:pt idx="0">
                  <c:v>-0.16700000000000001</c:v>
                </c:pt>
                <c:pt idx="1">
                  <c:v>8.3000000000000004E-2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</c:v>
                </c:pt>
                <c:pt idx="6">
                  <c:v>0</c:v>
                </c:pt>
                <c:pt idx="7">
                  <c:v>-0.1</c:v>
                </c:pt>
                <c:pt idx="8">
                  <c:v>-0.1875</c:v>
                </c:pt>
                <c:pt idx="9">
                  <c:v>-0.33300000000000002</c:v>
                </c:pt>
                <c:pt idx="10">
                  <c:v>-0.5</c:v>
                </c:pt>
                <c:pt idx="11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D-4691-AF01-1B4BD43451D7}"/>
            </c:ext>
          </c:extLst>
        </c:ser>
        <c:ser>
          <c:idx val="4"/>
          <c:order val="4"/>
          <c:tx>
            <c:strRef>
              <c:f>'Remington Core-Lokt SP'!$G$21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SP'!$G$23:$G$35</c:f>
              <c:numCache>
                <c:formatCode>0.000</c:formatCode>
                <c:ptCount val="13"/>
                <c:pt idx="0">
                  <c:v>0</c:v>
                </c:pt>
                <c:pt idx="1">
                  <c:v>0.25</c:v>
                </c:pt>
                <c:pt idx="2">
                  <c:v>0.35</c:v>
                </c:pt>
                <c:pt idx="3">
                  <c:v>0.35</c:v>
                </c:pt>
                <c:pt idx="4">
                  <c:v>0.33300000000000002</c:v>
                </c:pt>
                <c:pt idx="5">
                  <c:v>0.3175</c:v>
                </c:pt>
                <c:pt idx="6">
                  <c:v>0.2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-0.25</c:v>
                </c:pt>
                <c:pt idx="11">
                  <c:v>-0.41699999999999998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D-4691-AF01-1B4BD43451D7}"/>
            </c:ext>
          </c:extLst>
        </c:ser>
        <c:ser>
          <c:idx val="5"/>
          <c:order val="5"/>
          <c:tx>
            <c:strRef>
              <c:f>'Remington Core-Lokt SP'!$H$21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8512116008082194"/>
                  <c:y val="0.27143832020997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SP'!$H$23:$H$35</c:f>
              <c:numCache>
                <c:formatCode>0.000</c:formatCode>
                <c:ptCount val="13"/>
                <c:pt idx="0">
                  <c:v>0.3125</c:v>
                </c:pt>
                <c:pt idx="1">
                  <c:v>0.51249999999999996</c:v>
                </c:pt>
                <c:pt idx="2">
                  <c:v>0.625</c:v>
                </c:pt>
                <c:pt idx="3">
                  <c:v>0.625</c:v>
                </c:pt>
                <c:pt idx="4">
                  <c:v>0.6</c:v>
                </c:pt>
                <c:pt idx="5">
                  <c:v>0.58299999999999996</c:v>
                </c:pt>
                <c:pt idx="6">
                  <c:v>0.5</c:v>
                </c:pt>
                <c:pt idx="7">
                  <c:v>0.375</c:v>
                </c:pt>
                <c:pt idx="8">
                  <c:v>0.25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300-4A5E-B679-7EAF33ADFE6E}"/>
            </c:ext>
          </c:extLst>
        </c:ser>
        <c:ser>
          <c:idx val="6"/>
          <c:order val="6"/>
          <c:tx>
            <c:strRef>
              <c:f>'Remington Core-Lokt SP'!$I$21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30075379240069444"/>
                  <c:y val="0.419986689163854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SP'!$I$23:$I$35</c:f>
              <c:numCache>
                <c:formatCode>0.000</c:formatCode>
                <c:ptCount val="13"/>
                <c:pt idx="0">
                  <c:v>0.625</c:v>
                </c:pt>
                <c:pt idx="1">
                  <c:v>0.875</c:v>
                </c:pt>
                <c:pt idx="2">
                  <c:v>0.9375</c:v>
                </c:pt>
                <c:pt idx="3">
                  <c:v>0.9375</c:v>
                </c:pt>
                <c:pt idx="4">
                  <c:v>0.875</c:v>
                </c:pt>
                <c:pt idx="5">
                  <c:v>0.875</c:v>
                </c:pt>
                <c:pt idx="6">
                  <c:v>0.83299999999999996</c:v>
                </c:pt>
                <c:pt idx="7">
                  <c:v>0.7</c:v>
                </c:pt>
                <c:pt idx="8">
                  <c:v>0.6</c:v>
                </c:pt>
                <c:pt idx="9">
                  <c:v>0.47499999999999998</c:v>
                </c:pt>
                <c:pt idx="10">
                  <c:v>0.375</c:v>
                </c:pt>
                <c:pt idx="11">
                  <c:v>0.125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300-4A5E-B679-7EAF33AD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'Remington Core-Lokt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93772105009507"/>
                  <c:y val="-0.20418465939932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3.3750002278125182</c:v>
                </c:pt>
                <c:pt idx="4">
                  <c:v>4.5000003037500242</c:v>
                </c:pt>
                <c:pt idx="5">
                  <c:v>5.6250003796875303</c:v>
                </c:pt>
                <c:pt idx="6">
                  <c:v>3.3750000569531267</c:v>
                </c:pt>
                <c:pt idx="7">
                  <c:v>-4.5000000759375016</c:v>
                </c:pt>
                <c:pt idx="8">
                  <c:v>-14.062501483154483</c:v>
                </c:pt>
                <c:pt idx="9">
                  <c:v>-33.750014238288458</c:v>
                </c:pt>
                <c:pt idx="10">
                  <c:v>-59.062556063296277</c:v>
                </c:pt>
                <c:pt idx="11">
                  <c:v>-90.000151875307537</c:v>
                </c:pt>
                <c:pt idx="12">
                  <c:v>-135.06790560926547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FCC-91C1-AC5F927A710A}"/>
            </c:ext>
          </c:extLst>
        </c:ser>
        <c:ser>
          <c:idx val="1"/>
          <c:order val="1"/>
          <c:tx>
            <c:strRef>
              <c:f>'Remington Core-Lokt SP'!$A$78</c:f>
              <c:strCache>
                <c:ptCount val="1"/>
                <c:pt idx="0">
                  <c:v>50m zero(G1 BC = 0.234)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0.6</c:v>
                </c:pt>
                <c:pt idx="4">
                  <c:v>0.3</c:v>
                </c:pt>
                <c:pt idx="5">
                  <c:v>-1.1000000000000001</c:v>
                </c:pt>
                <c:pt idx="6">
                  <c:v>-3.5</c:v>
                </c:pt>
                <c:pt idx="7">
                  <c:v>-7.2</c:v>
                </c:pt>
                <c:pt idx="8">
                  <c:v>-12.4</c:v>
                </c:pt>
                <c:pt idx="9">
                  <c:v>-18.899999999999999</c:v>
                </c:pt>
                <c:pt idx="10">
                  <c:v>-27</c:v>
                </c:pt>
                <c:pt idx="11">
                  <c:v>-37.200000000000003</c:v>
                </c:pt>
                <c:pt idx="12">
                  <c:v>-49.1</c:v>
                </c:pt>
                <c:pt idx="13">
                  <c:v>-63.2</c:v>
                </c:pt>
                <c:pt idx="14">
                  <c:v>-80.3</c:v>
                </c:pt>
                <c:pt idx="15">
                  <c:v>-99.6</c:v>
                </c:pt>
                <c:pt idx="16">
                  <c:v>-121.8</c:v>
                </c:pt>
                <c:pt idx="17">
                  <c:v>-148.30000000000001</c:v>
                </c:pt>
                <c:pt idx="18">
                  <c:v>-177.6</c:v>
                </c:pt>
                <c:pt idx="19">
                  <c:v>-210.8</c:v>
                </c:pt>
                <c:pt idx="20">
                  <c:v>-248.5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FCC-91C1-AC5F927A710A}"/>
            </c:ext>
          </c:extLst>
        </c:ser>
        <c:ser>
          <c:idx val="2"/>
          <c:order val="2"/>
          <c:tx>
            <c:strRef>
              <c:f>'Remington Core-Lokt SP'!$K$78</c:f>
              <c:strCache>
                <c:ptCount val="1"/>
                <c:pt idx="0">
                  <c:v>50m Zero(G1 BC=0.309)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0.7</c:v>
                </c:pt>
                <c:pt idx="4">
                  <c:v>0.4</c:v>
                </c:pt>
                <c:pt idx="5">
                  <c:v>-0.8</c:v>
                </c:pt>
                <c:pt idx="6">
                  <c:v>-2.9</c:v>
                </c:pt>
                <c:pt idx="7">
                  <c:v>-6.1</c:v>
                </c:pt>
                <c:pt idx="8">
                  <c:v>-10.7</c:v>
                </c:pt>
                <c:pt idx="9">
                  <c:v>-16.3</c:v>
                </c:pt>
                <c:pt idx="10">
                  <c:v>-23.2</c:v>
                </c:pt>
                <c:pt idx="11">
                  <c:v>-31.8</c:v>
                </c:pt>
                <c:pt idx="12">
                  <c:v>-41.7</c:v>
                </c:pt>
                <c:pt idx="13">
                  <c:v>-53.2</c:v>
                </c:pt>
                <c:pt idx="14">
                  <c:v>-66.900000000000006</c:v>
                </c:pt>
                <c:pt idx="15">
                  <c:v>-82.1</c:v>
                </c:pt>
                <c:pt idx="16">
                  <c:v>-99.3</c:v>
                </c:pt>
                <c:pt idx="17">
                  <c:v>-119.5</c:v>
                </c:pt>
                <c:pt idx="18">
                  <c:v>-141.30000000000001</c:v>
                </c:pt>
                <c:pt idx="19">
                  <c:v>-165.8</c:v>
                </c:pt>
                <c:pt idx="20">
                  <c:v>-193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B6-4A12-BCDD-D78FEA341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-5.2912502194679423</c:v>
                </c:pt>
                <c:pt idx="7">
                  <c:v>-10.625000999552523</c:v>
                </c:pt>
                <c:pt idx="8">
                  <c:v>-19.921879216862795</c:v>
                </c:pt>
                <c:pt idx="9">
                  <c:v>-44.625032913290845</c:v>
                </c:pt>
                <c:pt idx="10">
                  <c:v>-66.937581611574487</c:v>
                </c:pt>
                <c:pt idx="11">
                  <c:v>-105.4002439393158</c:v>
                </c:pt>
                <c:pt idx="12">
                  <c:v>-143.43798578444495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E-4026-973D-6592106A5735}"/>
            </c:ext>
          </c:extLst>
        </c:ser>
        <c:ser>
          <c:idx val="1"/>
          <c:order val="1"/>
          <c:tx>
            <c:strRef>
              <c:f>'Remington Core-Lokt SP'!$A$102</c:f>
              <c:strCache>
                <c:ptCount val="1"/>
                <c:pt idx="0">
                  <c:v>100m zero(G1 BC=0.234)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-0.1</c:v>
                </c:pt>
                <c:pt idx="3">
                  <c:v>0.4</c:v>
                </c:pt>
                <c:pt idx="4">
                  <c:v>0</c:v>
                </c:pt>
                <c:pt idx="5">
                  <c:v>-1.4</c:v>
                </c:pt>
                <c:pt idx="6">
                  <c:v>-4</c:v>
                </c:pt>
                <c:pt idx="7">
                  <c:v>-7.7</c:v>
                </c:pt>
                <c:pt idx="8">
                  <c:v>-13</c:v>
                </c:pt>
                <c:pt idx="9">
                  <c:v>-19.5</c:v>
                </c:pt>
                <c:pt idx="10">
                  <c:v>-27.7</c:v>
                </c:pt>
                <c:pt idx="11">
                  <c:v>-38.1</c:v>
                </c:pt>
                <c:pt idx="12">
                  <c:v>-50</c:v>
                </c:pt>
                <c:pt idx="13">
                  <c:v>-64.2</c:v>
                </c:pt>
                <c:pt idx="14">
                  <c:v>-81.400000000000006</c:v>
                </c:pt>
                <c:pt idx="15">
                  <c:v>-100.7</c:v>
                </c:pt>
                <c:pt idx="16">
                  <c:v>-123</c:v>
                </c:pt>
                <c:pt idx="17">
                  <c:v>-149.6</c:v>
                </c:pt>
                <c:pt idx="18">
                  <c:v>-178.9</c:v>
                </c:pt>
                <c:pt idx="19">
                  <c:v>-212.3</c:v>
                </c:pt>
                <c:pt idx="20">
                  <c:v>-250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E-4026-973D-6592106A5735}"/>
            </c:ext>
          </c:extLst>
        </c:ser>
        <c:ser>
          <c:idx val="2"/>
          <c:order val="2"/>
          <c:tx>
            <c:strRef>
              <c:f>'Remington Core-Lokt SP'!$K$102</c:f>
              <c:strCache>
                <c:ptCount val="1"/>
                <c:pt idx="0">
                  <c:v>100m Zero(G1 BC=0.309)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-0.2</c:v>
                </c:pt>
                <c:pt idx="3">
                  <c:v>0.3</c:v>
                </c:pt>
                <c:pt idx="4">
                  <c:v>0</c:v>
                </c:pt>
                <c:pt idx="5">
                  <c:v>-1.3</c:v>
                </c:pt>
                <c:pt idx="6">
                  <c:v>-3.5</c:v>
                </c:pt>
                <c:pt idx="7">
                  <c:v>-6.9</c:v>
                </c:pt>
                <c:pt idx="8">
                  <c:v>-11.5</c:v>
                </c:pt>
                <c:pt idx="9">
                  <c:v>-17.2</c:v>
                </c:pt>
                <c:pt idx="10">
                  <c:v>-24.2</c:v>
                </c:pt>
                <c:pt idx="11">
                  <c:v>-33</c:v>
                </c:pt>
                <c:pt idx="12">
                  <c:v>-42.9</c:v>
                </c:pt>
                <c:pt idx="13">
                  <c:v>-54.5</c:v>
                </c:pt>
                <c:pt idx="14">
                  <c:v>-68.400000000000006</c:v>
                </c:pt>
                <c:pt idx="15">
                  <c:v>-83.6</c:v>
                </c:pt>
                <c:pt idx="16">
                  <c:v>-101</c:v>
                </c:pt>
                <c:pt idx="17">
                  <c:v>-121.2</c:v>
                </c:pt>
                <c:pt idx="18">
                  <c:v>-143.19999999999999</c:v>
                </c:pt>
                <c:pt idx="19">
                  <c:v>-167.7</c:v>
                </c:pt>
                <c:pt idx="20">
                  <c:v>-195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D5-4BDB-916D-2E6D14AF5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-3.3203144522521759</c:v>
                </c:pt>
                <c:pt idx="2">
                  <c:v>0</c:v>
                </c:pt>
                <c:pt idx="3">
                  <c:v>1.9921875468540204</c:v>
                </c:pt>
                <c:pt idx="4">
                  <c:v>2.6562500624720276</c:v>
                </c:pt>
                <c:pt idx="5">
                  <c:v>1.8593750137138592</c:v>
                </c:pt>
                <c:pt idx="6">
                  <c:v>0</c:v>
                </c:pt>
                <c:pt idx="7">
                  <c:v>-7.0550002926239239</c:v>
                </c:pt>
                <c:pt idx="8">
                  <c:v>-13.281251249440654</c:v>
                </c:pt>
                <c:pt idx="9">
                  <c:v>-42.457528346525805</c:v>
                </c:pt>
                <c:pt idx="10">
                  <c:v>-62.028814941496222</c:v>
                </c:pt>
                <c:pt idx="11">
                  <c:v>-99.110202820690802</c:v>
                </c:pt>
                <c:pt idx="12">
                  <c:v>-127.56409169368061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ED-41C7-99BF-C03A7C9712B7}"/>
            </c:ext>
          </c:extLst>
        </c:ser>
        <c:ser>
          <c:idx val="1"/>
          <c:order val="1"/>
          <c:tx>
            <c:strRef>
              <c:f>'Remington Core-Lokt SP'!$A$126</c:f>
              <c:strCache>
                <c:ptCount val="1"/>
                <c:pt idx="0">
                  <c:v>150m zero(B1 GC=0.234)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-0.9</c:v>
                </c:pt>
                <c:pt idx="2">
                  <c:v>1.2</c:v>
                </c:pt>
                <c:pt idx="3">
                  <c:v>2.4</c:v>
                </c:pt>
                <c:pt idx="4">
                  <c:v>2.7</c:v>
                </c:pt>
                <c:pt idx="5">
                  <c:v>1.9</c:v>
                </c:pt>
                <c:pt idx="6">
                  <c:v>0</c:v>
                </c:pt>
                <c:pt idx="7">
                  <c:v>-3.1</c:v>
                </c:pt>
                <c:pt idx="8">
                  <c:v>-7.7</c:v>
                </c:pt>
                <c:pt idx="9">
                  <c:v>-13.6</c:v>
                </c:pt>
                <c:pt idx="10">
                  <c:v>-21.1</c:v>
                </c:pt>
                <c:pt idx="11">
                  <c:v>-30.8</c:v>
                </c:pt>
                <c:pt idx="12">
                  <c:v>-42.1</c:v>
                </c:pt>
                <c:pt idx="13">
                  <c:v>-55.6</c:v>
                </c:pt>
                <c:pt idx="14">
                  <c:v>-72.099999999999994</c:v>
                </c:pt>
                <c:pt idx="15">
                  <c:v>-90.8</c:v>
                </c:pt>
                <c:pt idx="16">
                  <c:v>-112.4</c:v>
                </c:pt>
                <c:pt idx="17">
                  <c:v>-138.30000000000001</c:v>
                </c:pt>
                <c:pt idx="18">
                  <c:v>-167</c:v>
                </c:pt>
                <c:pt idx="19">
                  <c:v>-199.7</c:v>
                </c:pt>
                <c:pt idx="20">
                  <c:v>-236.8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ED-41C7-99BF-C03A7C9712B7}"/>
            </c:ext>
          </c:extLst>
        </c:ser>
        <c:ser>
          <c:idx val="2"/>
          <c:order val="2"/>
          <c:tx>
            <c:strRef>
              <c:f>'Remington Core-Lokt SP'!$K$126</c:f>
              <c:strCache>
                <c:ptCount val="1"/>
                <c:pt idx="0">
                  <c:v>150m Zero(G1 BC=0.309)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-1.1000000000000001</c:v>
                </c:pt>
                <c:pt idx="2">
                  <c:v>1</c:v>
                </c:pt>
                <c:pt idx="3">
                  <c:v>2.1</c:v>
                </c:pt>
                <c:pt idx="4">
                  <c:v>2.4</c:v>
                </c:pt>
                <c:pt idx="5">
                  <c:v>1.7</c:v>
                </c:pt>
                <c:pt idx="6">
                  <c:v>0</c:v>
                </c:pt>
                <c:pt idx="7">
                  <c:v>-2.7</c:v>
                </c:pt>
                <c:pt idx="8">
                  <c:v>-6.8</c:v>
                </c:pt>
                <c:pt idx="9">
                  <c:v>-11.9</c:v>
                </c:pt>
                <c:pt idx="10">
                  <c:v>-18.3</c:v>
                </c:pt>
                <c:pt idx="11">
                  <c:v>-26.5</c:v>
                </c:pt>
                <c:pt idx="12">
                  <c:v>-35.9</c:v>
                </c:pt>
                <c:pt idx="13">
                  <c:v>-46.9</c:v>
                </c:pt>
                <c:pt idx="14">
                  <c:v>-60.1</c:v>
                </c:pt>
                <c:pt idx="15">
                  <c:v>-74.8</c:v>
                </c:pt>
                <c:pt idx="16">
                  <c:v>-91.6</c:v>
                </c:pt>
                <c:pt idx="17">
                  <c:v>-111.2</c:v>
                </c:pt>
                <c:pt idx="18">
                  <c:v>-132.6</c:v>
                </c:pt>
                <c:pt idx="19">
                  <c:v>-156.6</c:v>
                </c:pt>
                <c:pt idx="20">
                  <c:v>-183.3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68-40E8-AAD0-AAEF4160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-1.7743752979442751</c:v>
                </c:pt>
                <c:pt idx="2">
                  <c:v>1.763750073155981</c:v>
                </c:pt>
                <c:pt idx="3">
                  <c:v>3.9843753748321964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6.3750003838281524</c:v>
                </c:pt>
                <c:pt idx="7">
                  <c:v>0</c:v>
                </c:pt>
                <c:pt idx="8">
                  <c:v>-10.625000639713587</c:v>
                </c:pt>
                <c:pt idx="9">
                  <c:v>-23.906255060235353</c:v>
                </c:pt>
                <c:pt idx="10">
                  <c:v>-49.533783070946775</c:v>
                </c:pt>
                <c:pt idx="11">
                  <c:v>-85.000127942939443</c:v>
                </c:pt>
                <c:pt idx="12">
                  <c:v>-119.5315311249084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E-4AA7-8DD9-A184D6F6F05E}"/>
            </c:ext>
          </c:extLst>
        </c:ser>
        <c:ser>
          <c:idx val="1"/>
          <c:order val="1"/>
          <c:tx>
            <c:strRef>
              <c:f>'Remington Core-Lokt SP'!$A$150</c:f>
              <c:strCache>
                <c:ptCount val="1"/>
                <c:pt idx="0">
                  <c:v>200m zero(G1 BC=0.234)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</c:v>
                </c:pt>
                <c:pt idx="2">
                  <c:v>3.1</c:v>
                </c:pt>
                <c:pt idx="3">
                  <c:v>5.3</c:v>
                </c:pt>
                <c:pt idx="4">
                  <c:v>6.5</c:v>
                </c:pt>
                <c:pt idx="5">
                  <c:v>6.7</c:v>
                </c:pt>
                <c:pt idx="6">
                  <c:v>5.7</c:v>
                </c:pt>
                <c:pt idx="7">
                  <c:v>3.6</c:v>
                </c:pt>
                <c:pt idx="8">
                  <c:v>0</c:v>
                </c:pt>
                <c:pt idx="9">
                  <c:v>-5</c:v>
                </c:pt>
                <c:pt idx="10">
                  <c:v>-11.6</c:v>
                </c:pt>
                <c:pt idx="11">
                  <c:v>-20.3</c:v>
                </c:pt>
                <c:pt idx="12">
                  <c:v>-30.7</c:v>
                </c:pt>
                <c:pt idx="13">
                  <c:v>-43.2</c:v>
                </c:pt>
                <c:pt idx="14">
                  <c:v>-58.8</c:v>
                </c:pt>
                <c:pt idx="15">
                  <c:v>-76.5</c:v>
                </c:pt>
                <c:pt idx="16">
                  <c:v>-97.2</c:v>
                </c:pt>
                <c:pt idx="17">
                  <c:v>-122.1</c:v>
                </c:pt>
                <c:pt idx="18">
                  <c:v>-149.9</c:v>
                </c:pt>
                <c:pt idx="19">
                  <c:v>-181.6</c:v>
                </c:pt>
                <c:pt idx="20">
                  <c:v>-217.8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BE-4AA7-8DD9-A184D6F6F05E}"/>
            </c:ext>
          </c:extLst>
        </c:ser>
        <c:ser>
          <c:idx val="2"/>
          <c:order val="2"/>
          <c:tx>
            <c:strRef>
              <c:f>'Remington Core-Lokt SP'!$K$150</c:f>
              <c:strCache>
                <c:ptCount val="1"/>
                <c:pt idx="0">
                  <c:v>200m Zero(G1 BC=0.309)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-0.2</c:v>
                </c:pt>
                <c:pt idx="2">
                  <c:v>2.7</c:v>
                </c:pt>
                <c:pt idx="3">
                  <c:v>4.7</c:v>
                </c:pt>
                <c:pt idx="4">
                  <c:v>5.8</c:v>
                </c:pt>
                <c:pt idx="5">
                  <c:v>5.9</c:v>
                </c:pt>
                <c:pt idx="6">
                  <c:v>5.0999999999999996</c:v>
                </c:pt>
                <c:pt idx="7">
                  <c:v>3.2</c:v>
                </c:pt>
                <c:pt idx="8">
                  <c:v>0</c:v>
                </c:pt>
                <c:pt idx="9">
                  <c:v>-4.3</c:v>
                </c:pt>
                <c:pt idx="10">
                  <c:v>-9.9</c:v>
                </c:pt>
                <c:pt idx="11">
                  <c:v>-17.100000000000001</c:v>
                </c:pt>
                <c:pt idx="12">
                  <c:v>-25.7</c:v>
                </c:pt>
                <c:pt idx="13">
                  <c:v>-35.9</c:v>
                </c:pt>
                <c:pt idx="14">
                  <c:v>-48.3</c:v>
                </c:pt>
                <c:pt idx="15">
                  <c:v>-62.1</c:v>
                </c:pt>
                <c:pt idx="16">
                  <c:v>-78</c:v>
                </c:pt>
                <c:pt idx="17">
                  <c:v>-96.8</c:v>
                </c:pt>
                <c:pt idx="18">
                  <c:v>-117.4</c:v>
                </c:pt>
                <c:pt idx="19">
                  <c:v>-140.5</c:v>
                </c:pt>
                <c:pt idx="20">
                  <c:v>-166.4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B7-43B5-828F-F65D10856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5.3125019991057201</c:v>
                </c:pt>
                <c:pt idx="3">
                  <c:v>11.156258228322711</c:v>
                </c:pt>
                <c:pt idx="4">
                  <c:v>14.87501097109695</c:v>
                </c:pt>
                <c:pt idx="5">
                  <c:v>17.690636811052418</c:v>
                </c:pt>
                <c:pt idx="6">
                  <c:v>20.240637284805921</c:v>
                </c:pt>
                <c:pt idx="7">
                  <c:v>17.000004094167849</c:v>
                </c:pt>
                <c:pt idx="8">
                  <c:v>13.281251249440654</c:v>
                </c:pt>
                <c:pt idx="9">
                  <c:v>0</c:v>
                </c:pt>
                <c:pt idx="10">
                  <c:v>-18.593751749216914</c:v>
                </c:pt>
                <c:pt idx="11">
                  <c:v>-42.500015992845761</c:v>
                </c:pt>
                <c:pt idx="12">
                  <c:v>-79.751333496209426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9-4B49-A310-17615B48A297}"/>
            </c:ext>
          </c:extLst>
        </c:ser>
        <c:ser>
          <c:idx val="1"/>
          <c:order val="1"/>
          <c:tx>
            <c:strRef>
              <c:f>'Remington Core-Lokt SP'!$A$174</c:f>
              <c:strCache>
                <c:ptCount val="1"/>
                <c:pt idx="0">
                  <c:v>300m zero(G1 BC=0.234)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2.6</c:v>
                </c:pt>
                <c:pt idx="2">
                  <c:v>8.3000000000000007</c:v>
                </c:pt>
                <c:pt idx="3">
                  <c:v>13</c:v>
                </c:pt>
                <c:pt idx="4">
                  <c:v>16.7</c:v>
                </c:pt>
                <c:pt idx="5">
                  <c:v>19.5</c:v>
                </c:pt>
                <c:pt idx="6">
                  <c:v>21.1</c:v>
                </c:pt>
                <c:pt idx="7">
                  <c:v>21.5</c:v>
                </c:pt>
                <c:pt idx="8">
                  <c:v>20.5</c:v>
                </c:pt>
                <c:pt idx="9">
                  <c:v>18.100000000000001</c:v>
                </c:pt>
                <c:pt idx="10">
                  <c:v>14</c:v>
                </c:pt>
                <c:pt idx="11">
                  <c:v>7.9</c:v>
                </c:pt>
                <c:pt idx="12">
                  <c:v>0.1</c:v>
                </c:pt>
                <c:pt idx="13">
                  <c:v>-9.9</c:v>
                </c:pt>
                <c:pt idx="14">
                  <c:v>-22.9</c:v>
                </c:pt>
                <c:pt idx="15">
                  <c:v>-38.1</c:v>
                </c:pt>
                <c:pt idx="16">
                  <c:v>-56.2</c:v>
                </c:pt>
                <c:pt idx="17">
                  <c:v>-78.5</c:v>
                </c:pt>
                <c:pt idx="18">
                  <c:v>-103.8</c:v>
                </c:pt>
                <c:pt idx="19">
                  <c:v>-133</c:v>
                </c:pt>
                <c:pt idx="20">
                  <c:v>-166.6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B9-4B49-A310-17615B48A297}"/>
            </c:ext>
          </c:extLst>
        </c:ser>
        <c:ser>
          <c:idx val="2"/>
          <c:order val="2"/>
          <c:tx>
            <c:strRef>
              <c:f>'Remington Core-Lokt SP'!$K$174</c:f>
              <c:strCache>
                <c:ptCount val="1"/>
                <c:pt idx="0">
                  <c:v>300m Zero(G1 BC=0.309)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1.9</c:v>
                </c:pt>
                <c:pt idx="2">
                  <c:v>7</c:v>
                </c:pt>
                <c:pt idx="3">
                  <c:v>11.1</c:v>
                </c:pt>
                <c:pt idx="4">
                  <c:v>14.3</c:v>
                </c:pt>
                <c:pt idx="5">
                  <c:v>16.7</c:v>
                </c:pt>
                <c:pt idx="6">
                  <c:v>18</c:v>
                </c:pt>
                <c:pt idx="7">
                  <c:v>18.2</c:v>
                </c:pt>
                <c:pt idx="8">
                  <c:v>17.2</c:v>
                </c:pt>
                <c:pt idx="9">
                  <c:v>15</c:v>
                </c:pt>
                <c:pt idx="10">
                  <c:v>11.5</c:v>
                </c:pt>
                <c:pt idx="11">
                  <c:v>6.5</c:v>
                </c:pt>
                <c:pt idx="12">
                  <c:v>0</c:v>
                </c:pt>
                <c:pt idx="13">
                  <c:v>-8</c:v>
                </c:pt>
                <c:pt idx="14">
                  <c:v>-18.2</c:v>
                </c:pt>
                <c:pt idx="15">
                  <c:v>-30</c:v>
                </c:pt>
                <c:pt idx="16">
                  <c:v>-43.7</c:v>
                </c:pt>
                <c:pt idx="17">
                  <c:v>-60.3</c:v>
                </c:pt>
                <c:pt idx="18">
                  <c:v>-78.8</c:v>
                </c:pt>
                <c:pt idx="19">
                  <c:v>-99.8</c:v>
                </c:pt>
                <c:pt idx="20">
                  <c:v>-123.5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3C3-483B-BF6C-FE69C9E2D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32589366923194E-2"/>
                  <c:y val="-0.287310440361621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3.3203144522521759</c:v>
                </c:pt>
                <c:pt idx="2">
                  <c:v>10.890642222570575</c:v>
                </c:pt>
                <c:pt idx="3">
                  <c:v>19.9219218541514</c:v>
                </c:pt>
                <c:pt idx="4">
                  <c:v>26.562562472201869</c:v>
                </c:pt>
                <c:pt idx="5">
                  <c:v>31.875069089242196</c:v>
                </c:pt>
                <c:pt idx="6">
                  <c:v>37.166326057759051</c:v>
                </c:pt>
                <c:pt idx="7">
                  <c:v>42.500063971469721</c:v>
                </c:pt>
                <c:pt idx="8">
                  <c:v>39.843783734928067</c:v>
                </c:pt>
                <c:pt idx="9">
                  <c:v>31.875011994634324</c:v>
                </c:pt>
                <c:pt idx="10">
                  <c:v>18.593751749216914</c:v>
                </c:pt>
                <c:pt idx="11">
                  <c:v>0</c:v>
                </c:pt>
                <c:pt idx="12">
                  <c:v>-23.906252248993177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A1-4001-A4D3-B20E76782219}"/>
            </c:ext>
          </c:extLst>
        </c:ser>
        <c:ser>
          <c:idx val="1"/>
          <c:order val="1"/>
          <c:tx>
            <c:strRef>
              <c:f>'Remington Core-Lokt SP'!$A$198</c:f>
              <c:strCache>
                <c:ptCount val="1"/>
                <c:pt idx="0">
                  <c:v>400m zero(G1 BC=0.234)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87775414211838"/>
                  <c:y val="-0.16135680956547099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6.1</c:v>
                </c:pt>
                <c:pt idx="2">
                  <c:v>15.4</c:v>
                </c:pt>
                <c:pt idx="3">
                  <c:v>23.6</c:v>
                </c:pt>
                <c:pt idx="4">
                  <c:v>30.8</c:v>
                </c:pt>
                <c:pt idx="5">
                  <c:v>37.200000000000003</c:v>
                </c:pt>
                <c:pt idx="6">
                  <c:v>42.3</c:v>
                </c:pt>
                <c:pt idx="7">
                  <c:v>46.2</c:v>
                </c:pt>
                <c:pt idx="8">
                  <c:v>48.8</c:v>
                </c:pt>
                <c:pt idx="9">
                  <c:v>49.9</c:v>
                </c:pt>
                <c:pt idx="10">
                  <c:v>49.3</c:v>
                </c:pt>
                <c:pt idx="11">
                  <c:v>46.8</c:v>
                </c:pt>
                <c:pt idx="12">
                  <c:v>42.5</c:v>
                </c:pt>
                <c:pt idx="13">
                  <c:v>35.9</c:v>
                </c:pt>
                <c:pt idx="14">
                  <c:v>26.6</c:v>
                </c:pt>
                <c:pt idx="15">
                  <c:v>14.9</c:v>
                </c:pt>
                <c:pt idx="16">
                  <c:v>0.2</c:v>
                </c:pt>
                <c:pt idx="17">
                  <c:v>-18.399999999999999</c:v>
                </c:pt>
                <c:pt idx="18">
                  <c:v>-40.200000000000003</c:v>
                </c:pt>
                <c:pt idx="19">
                  <c:v>-65.900000000000006</c:v>
                </c:pt>
                <c:pt idx="20">
                  <c:v>-96.1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EA1-4001-A4D3-B20E76782219}"/>
            </c:ext>
          </c:extLst>
        </c:ser>
        <c:ser>
          <c:idx val="2"/>
          <c:order val="2"/>
          <c:tx>
            <c:strRef>
              <c:f>'Remington Core-Lokt SP'!$K$198</c:f>
              <c:strCache>
                <c:ptCount val="1"/>
                <c:pt idx="0">
                  <c:v>400m Zero(G1 BC=0.309)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4.7</c:v>
                </c:pt>
                <c:pt idx="2">
                  <c:v>12.6</c:v>
                </c:pt>
                <c:pt idx="3">
                  <c:v>19.399999999999999</c:v>
                </c:pt>
                <c:pt idx="4">
                  <c:v>25.3</c:v>
                </c:pt>
                <c:pt idx="5">
                  <c:v>30.5</c:v>
                </c:pt>
                <c:pt idx="6">
                  <c:v>34.5</c:v>
                </c:pt>
                <c:pt idx="7">
                  <c:v>37.4</c:v>
                </c:pt>
                <c:pt idx="8">
                  <c:v>39.200000000000003</c:v>
                </c:pt>
                <c:pt idx="9">
                  <c:v>39.799999999999997</c:v>
                </c:pt>
                <c:pt idx="10">
                  <c:v>39</c:v>
                </c:pt>
                <c:pt idx="11">
                  <c:v>36.700000000000003</c:v>
                </c:pt>
                <c:pt idx="12">
                  <c:v>33</c:v>
                </c:pt>
                <c:pt idx="13">
                  <c:v>27.7</c:v>
                </c:pt>
                <c:pt idx="14">
                  <c:v>20.3</c:v>
                </c:pt>
                <c:pt idx="15">
                  <c:v>11.3</c:v>
                </c:pt>
                <c:pt idx="16">
                  <c:v>0.2</c:v>
                </c:pt>
                <c:pt idx="17">
                  <c:v>-13.6</c:v>
                </c:pt>
                <c:pt idx="18">
                  <c:v>-29.3</c:v>
                </c:pt>
                <c:pt idx="19">
                  <c:v>-47.6</c:v>
                </c:pt>
                <c:pt idx="20">
                  <c:v>-68.599999999999994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DB-4D1F-A81D-D1AD09DC0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6.6406406180504671</c:v>
                </c:pt>
                <c:pt idx="2">
                  <c:v>18.593835712093188</c:v>
                </c:pt>
                <c:pt idx="3">
                  <c:v>29.882970633318845</c:v>
                </c:pt>
                <c:pt idx="4">
                  <c:v>39.843960844425126</c:v>
                </c:pt>
                <c:pt idx="5">
                  <c:v>46.48458928023296</c:v>
                </c:pt>
                <c:pt idx="6">
                  <c:v>55.781507136279565</c:v>
                </c:pt>
                <c:pt idx="7">
                  <c:v>70.805295809905417</c:v>
                </c:pt>
                <c:pt idx="8">
                  <c:v>74.375219422521596</c:v>
                </c:pt>
                <c:pt idx="9">
                  <c:v>76.500165814181273</c:v>
                </c:pt>
                <c:pt idx="10">
                  <c:v>70.656345983176067</c:v>
                </c:pt>
                <c:pt idx="11">
                  <c:v>63.75005397588491</c:v>
                </c:pt>
                <c:pt idx="12">
                  <c:v>23.906252248993177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D8-49E5-9864-9116BB66C688}"/>
            </c:ext>
          </c:extLst>
        </c:ser>
        <c:ser>
          <c:idx val="1"/>
          <c:order val="1"/>
          <c:tx>
            <c:strRef>
              <c:f>'Remington Core-Lokt SP'!$A$222</c:f>
              <c:strCache>
                <c:ptCount val="1"/>
                <c:pt idx="0">
                  <c:v>500m zero(G1 BC=0.234)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10.9</c:v>
                </c:pt>
                <c:pt idx="2">
                  <c:v>25.2</c:v>
                </c:pt>
                <c:pt idx="3">
                  <c:v>38.200000000000003</c:v>
                </c:pt>
                <c:pt idx="4">
                  <c:v>50.2</c:v>
                </c:pt>
                <c:pt idx="5">
                  <c:v>61.6</c:v>
                </c:pt>
                <c:pt idx="6">
                  <c:v>71.5</c:v>
                </c:pt>
                <c:pt idx="7">
                  <c:v>80.2</c:v>
                </c:pt>
                <c:pt idx="8">
                  <c:v>87.7</c:v>
                </c:pt>
                <c:pt idx="9">
                  <c:v>93.6</c:v>
                </c:pt>
                <c:pt idx="10">
                  <c:v>97.8</c:v>
                </c:pt>
                <c:pt idx="11">
                  <c:v>100.3</c:v>
                </c:pt>
                <c:pt idx="12">
                  <c:v>100.8</c:v>
                </c:pt>
                <c:pt idx="13">
                  <c:v>99</c:v>
                </c:pt>
                <c:pt idx="14">
                  <c:v>94.7</c:v>
                </c:pt>
                <c:pt idx="15">
                  <c:v>87.8</c:v>
                </c:pt>
                <c:pt idx="16">
                  <c:v>77.900000000000006</c:v>
                </c:pt>
                <c:pt idx="17">
                  <c:v>64.2</c:v>
                </c:pt>
                <c:pt idx="18">
                  <c:v>47.2</c:v>
                </c:pt>
                <c:pt idx="19">
                  <c:v>26.3</c:v>
                </c:pt>
                <c:pt idx="20">
                  <c:v>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D8-49E5-9864-9116BB66C688}"/>
            </c:ext>
          </c:extLst>
        </c:ser>
        <c:ser>
          <c:idx val="2"/>
          <c:order val="2"/>
          <c:tx>
            <c:strRef>
              <c:f>'Remington Core-Lokt SP'!$K$222</c:f>
              <c:strCache>
                <c:ptCount val="1"/>
                <c:pt idx="0">
                  <c:v>500m Zero(G1 BC=0.309)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8.1</c:v>
                </c:pt>
                <c:pt idx="2">
                  <c:v>19.600000000000001</c:v>
                </c:pt>
                <c:pt idx="3">
                  <c:v>29.8</c:v>
                </c:pt>
                <c:pt idx="4">
                  <c:v>39.1</c:v>
                </c:pt>
                <c:pt idx="5">
                  <c:v>47.9</c:v>
                </c:pt>
                <c:pt idx="6">
                  <c:v>55.3</c:v>
                </c:pt>
                <c:pt idx="7">
                  <c:v>61.6</c:v>
                </c:pt>
                <c:pt idx="8">
                  <c:v>67</c:v>
                </c:pt>
                <c:pt idx="9">
                  <c:v>71</c:v>
                </c:pt>
                <c:pt idx="10">
                  <c:v>73.7</c:v>
                </c:pt>
                <c:pt idx="11">
                  <c:v>74.900000000000006</c:v>
                </c:pt>
                <c:pt idx="12">
                  <c:v>74.599999999999994</c:v>
                </c:pt>
                <c:pt idx="13">
                  <c:v>72.7</c:v>
                </c:pt>
                <c:pt idx="14">
                  <c:v>68.900000000000006</c:v>
                </c:pt>
                <c:pt idx="15">
                  <c:v>63.3</c:v>
                </c:pt>
                <c:pt idx="16">
                  <c:v>55.7</c:v>
                </c:pt>
                <c:pt idx="17">
                  <c:v>45.4</c:v>
                </c:pt>
                <c:pt idx="18">
                  <c:v>33.1</c:v>
                </c:pt>
                <c:pt idx="19">
                  <c:v>18.3</c:v>
                </c:pt>
                <c:pt idx="20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E8-4C84-89B5-38B78AC4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986199305732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40989331978664"/>
                  <c:y val="-0.3854574050170674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HP'!$B$22:$B$35</c:f>
              <c:numCache>
                <c:formatCode>0.00</c:formatCode>
                <c:ptCount val="14"/>
                <c:pt idx="0">
                  <c:v>1695.3</c:v>
                </c:pt>
                <c:pt idx="1">
                  <c:v>1577.5</c:v>
                </c:pt>
                <c:pt idx="2">
                  <c:v>1459.3</c:v>
                </c:pt>
                <c:pt idx="3">
                  <c:v>1332.7</c:v>
                </c:pt>
                <c:pt idx="4">
                  <c:v>1219.7</c:v>
                </c:pt>
                <c:pt idx="5">
                  <c:v>1118.7</c:v>
                </c:pt>
                <c:pt idx="6">
                  <c:v>1027.9000000000001</c:v>
                </c:pt>
                <c:pt idx="7">
                  <c:v>850.1</c:v>
                </c:pt>
                <c:pt idx="8">
                  <c:v>691.8</c:v>
                </c:pt>
                <c:pt idx="9">
                  <c:v>562.1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F-455C-85F5-DC58B028502A}"/>
            </c:ext>
          </c:extLst>
        </c:ser>
        <c:ser>
          <c:idx val="1"/>
          <c:order val="1"/>
          <c:tx>
            <c:strRef>
              <c:f>'Federal Barnes TSX HP'!$A$78</c:f>
              <c:strCache>
                <c:ptCount val="1"/>
                <c:pt idx="0">
                  <c:v>Hornady 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058504783676232E-2"/>
                  <c:y val="9.559563153528512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HP'!$C$80:$C$100</c:f>
              <c:numCache>
                <c:formatCode>0.00</c:formatCode>
                <c:ptCount val="21"/>
                <c:pt idx="0">
                  <c:v>1696</c:v>
                </c:pt>
                <c:pt idx="1">
                  <c:v>1558</c:v>
                </c:pt>
                <c:pt idx="2">
                  <c:v>1431</c:v>
                </c:pt>
                <c:pt idx="3">
                  <c:v>1313</c:v>
                </c:pt>
                <c:pt idx="4">
                  <c:v>1203</c:v>
                </c:pt>
                <c:pt idx="5">
                  <c:v>1101</c:v>
                </c:pt>
                <c:pt idx="6">
                  <c:v>1005</c:v>
                </c:pt>
                <c:pt idx="7">
                  <c:v>917</c:v>
                </c:pt>
                <c:pt idx="8">
                  <c:v>834</c:v>
                </c:pt>
                <c:pt idx="9">
                  <c:v>757</c:v>
                </c:pt>
                <c:pt idx="10">
                  <c:v>686</c:v>
                </c:pt>
                <c:pt idx="11">
                  <c:v>620</c:v>
                </c:pt>
                <c:pt idx="12">
                  <c:v>560</c:v>
                </c:pt>
                <c:pt idx="13">
                  <c:v>504</c:v>
                </c:pt>
                <c:pt idx="14">
                  <c:v>454</c:v>
                </c:pt>
                <c:pt idx="15">
                  <c:v>408</c:v>
                </c:pt>
                <c:pt idx="16">
                  <c:v>367</c:v>
                </c:pt>
                <c:pt idx="17">
                  <c:v>330</c:v>
                </c:pt>
                <c:pt idx="18">
                  <c:v>297</c:v>
                </c:pt>
                <c:pt idx="19">
                  <c:v>268</c:v>
                </c:pt>
                <c:pt idx="20">
                  <c:v>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9F-455C-85F5-DC58B0285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7.2262752791490428E-2"/>
                  <c:y val="-7.955370892291599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-3.1562516769232696</c:v>
                </c:pt>
                <c:pt idx="2">
                  <c:v>0</c:v>
                </c:pt>
                <c:pt idx="3">
                  <c:v>3.1436251840977376</c:v>
                </c:pt>
                <c:pt idx="4">
                  <c:v>6.3125008384612338</c:v>
                </c:pt>
                <c:pt idx="5">
                  <c:v>7.890626048076542</c:v>
                </c:pt>
                <c:pt idx="6">
                  <c:v>3.2572500511975897</c:v>
                </c:pt>
                <c:pt idx="7">
                  <c:v>-8.3830004909272997</c:v>
                </c:pt>
                <c:pt idx="8">
                  <c:v>-15.781252096153084</c:v>
                </c:pt>
                <c:pt idx="9">
                  <c:v>-30.300010303014208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C2-415D-9AB8-76C3A8303056}"/>
            </c:ext>
          </c:extLst>
        </c:ser>
        <c:ser>
          <c:idx val="1"/>
          <c:order val="1"/>
          <c:tx>
            <c:strRef>
              <c:f>'Federal Barnes TSX 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-2.5800000254422399</c:v>
                </c:pt>
                <c:pt idx="7">
                  <c:v>-10.000000833333415</c:v>
                </c:pt>
                <c:pt idx="8">
                  <c:v>-20.000004266667759</c:v>
                </c:pt>
                <c:pt idx="9">
                  <c:v>-45.000033750030376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C2-415D-9AB8-76C3A8303056}"/>
            </c:ext>
          </c:extLst>
        </c:ser>
        <c:ser>
          <c:idx val="2"/>
          <c:order val="2"/>
          <c:tx>
            <c:strRef>
              <c:f>'Federal Barnes TSX 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-0.30000000035999996</c:v>
                </c:pt>
                <c:pt idx="3">
                  <c:v>0.45000000053999994</c:v>
                </c:pt>
                <c:pt idx="4">
                  <c:v>3.3200001219812321</c:v>
                </c:pt>
                <c:pt idx="5">
                  <c:v>3.1250000651041678</c:v>
                </c:pt>
                <c:pt idx="6">
                  <c:v>0</c:v>
                </c:pt>
                <c:pt idx="7">
                  <c:v>-13.360001987184569</c:v>
                </c:pt>
                <c:pt idx="8">
                  <c:v>-15.000001800000257</c:v>
                </c:pt>
                <c:pt idx="9">
                  <c:v>-39.960023632680461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C2-415D-9AB8-76C3A8303056}"/>
            </c:ext>
          </c:extLst>
        </c:ser>
        <c:ser>
          <c:idx val="3"/>
          <c:order val="3"/>
          <c:tx>
            <c:strRef>
              <c:f>'Federal Barnes TSX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-1.6700002483980712</c:v>
                </c:pt>
                <c:pt idx="2">
                  <c:v>1.660000060990616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C2-415D-9AB8-76C3A8303056}"/>
            </c:ext>
          </c:extLst>
        </c:ser>
        <c:ser>
          <c:idx val="4"/>
          <c:order val="4"/>
          <c:tx>
            <c:strRef>
              <c:f>'Federal Barnes TSX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6.2500032552103679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19.98001181634023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5C2-415D-9AB8-76C3A8303056}"/>
            </c:ext>
          </c:extLst>
        </c:ser>
        <c:ser>
          <c:idx val="5"/>
          <c:order val="5"/>
          <c:tx>
            <c:strRef>
              <c:f>'Federal Barnes TSX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2.9137513193372473</c:v>
                </c:pt>
                <c:pt idx="2">
                  <c:v>10.937517445915555</c:v>
                </c:pt>
                <c:pt idx="3">
                  <c:v>18.046909830784401</c:v>
                </c:pt>
                <c:pt idx="4">
                  <c:v>23.345042409321749</c:v>
                </c:pt>
                <c:pt idx="5">
                  <c:v>29.181303011652183</c:v>
                </c:pt>
                <c:pt idx="6">
                  <c:v>32.812552337746666</c:v>
                </c:pt>
                <c:pt idx="7">
                  <c:v>39.375050872271252</c:v>
                </c:pt>
                <c:pt idx="8">
                  <c:v>38.281279919715971</c:v>
                </c:pt>
                <c:pt idx="9">
                  <c:v>36.750018382667285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5C2-415D-9AB8-76C3A8303056}"/>
            </c:ext>
          </c:extLst>
        </c:ser>
        <c:ser>
          <c:idx val="6"/>
          <c:order val="6"/>
          <c:tx>
            <c:strRef>
              <c:f>'Federal Barnes TSX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0535927298151193"/>
                  <c:y val="-0.17740806384441798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7.500022500081001</c:v>
                </c:pt>
                <c:pt idx="2">
                  <c:v>21.250127943632727</c:v>
                </c:pt>
                <c:pt idx="3">
                  <c:v>37.500312503125031</c:v>
                </c:pt>
                <c:pt idx="4">
                  <c:v>51.00044217460038</c:v>
                </c:pt>
                <c:pt idx="5">
                  <c:v>62.500520838541718</c:v>
                </c:pt>
                <c:pt idx="6">
                  <c:v>67.500455628690588</c:v>
                </c:pt>
                <c:pt idx="7">
                  <c:v>80.000426669397356</c:v>
                </c:pt>
                <c:pt idx="8">
                  <c:v>87.500357293417409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5C2-415D-9AB8-76C3A830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0.125</c:v>
                </c:pt>
                <c:pt idx="4">
                  <c:v>0.125</c:v>
                </c:pt>
                <c:pt idx="5">
                  <c:v>4.2999999999999997E-2</c:v>
                </c:pt>
                <c:pt idx="6">
                  <c:v>-8.3000000000000004E-2</c:v>
                </c:pt>
                <c:pt idx="7">
                  <c:v>-0.125</c:v>
                </c:pt>
                <c:pt idx="8">
                  <c:v>-0.2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7D-4054-BF3D-212F278022ED}"/>
            </c:ext>
          </c:extLst>
        </c:ser>
        <c:ser>
          <c:idx val="1"/>
          <c:order val="1"/>
          <c:tx>
            <c:strRef>
              <c:f>'Federal Barnes TSX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-4.2999999999999997E-2</c:v>
                </c:pt>
                <c:pt idx="6">
                  <c:v>-0.125</c:v>
                </c:pt>
                <c:pt idx="7">
                  <c:v>-0.2</c:v>
                </c:pt>
                <c:pt idx="8">
                  <c:v>-0.375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7D-4054-BF3D-212F278022ED}"/>
            </c:ext>
          </c:extLst>
        </c:ser>
        <c:ser>
          <c:idx val="2"/>
          <c:order val="2"/>
          <c:tx>
            <c:strRef>
              <c:f>'Federal Barnes TSX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HP'!$E$23:$E$35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-1.4999999999999999E-2</c:v>
                </c:pt>
                <c:pt idx="2">
                  <c:v>1.4999999999999999E-2</c:v>
                </c:pt>
                <c:pt idx="3">
                  <c:v>8.3000000000000004E-2</c:v>
                </c:pt>
                <c:pt idx="4">
                  <c:v>6.25E-2</c:v>
                </c:pt>
                <c:pt idx="5">
                  <c:v>0</c:v>
                </c:pt>
                <c:pt idx="6">
                  <c:v>-0.16700000000000001</c:v>
                </c:pt>
                <c:pt idx="7">
                  <c:v>-0.15</c:v>
                </c:pt>
                <c:pt idx="8">
                  <c:v>-0.33300000000000002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17D-4054-BF3D-212F278022ED}"/>
            </c:ext>
          </c:extLst>
        </c:ser>
        <c:ser>
          <c:idx val="3"/>
          <c:order val="3"/>
          <c:tx>
            <c:strRef>
              <c:f>'Federal Barnes TSX 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HP'!$F$23:$F$35</c:f>
              <c:numCache>
                <c:formatCode>0.000</c:formatCode>
                <c:ptCount val="13"/>
                <c:pt idx="0">
                  <c:v>-0.16700000000000001</c:v>
                </c:pt>
                <c:pt idx="1">
                  <c:v>8.3000000000000004E-2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17D-4054-BF3D-212F278022ED}"/>
            </c:ext>
          </c:extLst>
        </c:ser>
        <c:ser>
          <c:idx val="4"/>
          <c:order val="4"/>
          <c:tx>
            <c:strRef>
              <c:f>'Federal Barnes TSX 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HP'!$G$23:$G$35</c:f>
              <c:numCache>
                <c:formatCode>0.000</c:formatCode>
                <c:ptCount val="13"/>
                <c:pt idx="0">
                  <c:v>0</c:v>
                </c:pt>
                <c:pt idx="1">
                  <c:v>0.3125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0.33300000000000002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17D-4054-BF3D-212F278022ED}"/>
            </c:ext>
          </c:extLst>
        </c:ser>
        <c:ser>
          <c:idx val="5"/>
          <c:order val="5"/>
          <c:tx>
            <c:strRef>
              <c:f>'Federal Barnes TSX 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HP'!$H$23:$H$35</c:f>
              <c:numCache>
                <c:formatCode>0.000</c:formatCode>
                <c:ptCount val="13"/>
                <c:pt idx="0">
                  <c:v>0.33300000000000002</c:v>
                </c:pt>
                <c:pt idx="1">
                  <c:v>0.625</c:v>
                </c:pt>
                <c:pt idx="2">
                  <c:v>0.6875</c:v>
                </c:pt>
                <c:pt idx="3">
                  <c:v>0.66700000000000004</c:v>
                </c:pt>
                <c:pt idx="4">
                  <c:v>0.66700000000000004</c:v>
                </c:pt>
                <c:pt idx="5">
                  <c:v>0.625</c:v>
                </c:pt>
                <c:pt idx="6">
                  <c:v>0.5625</c:v>
                </c:pt>
                <c:pt idx="7">
                  <c:v>0.4375</c:v>
                </c:pt>
                <c:pt idx="8">
                  <c:v>0.35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17D-4054-BF3D-212F278022ED}"/>
            </c:ext>
          </c:extLst>
        </c:ser>
        <c:ser>
          <c:idx val="6"/>
          <c:order val="6"/>
          <c:tx>
            <c:strRef>
              <c:f>'Federal Barnes TSX 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HP'!$I$23:$I$35</c:f>
              <c:numCache>
                <c:formatCode>0.000</c:formatCode>
                <c:ptCount val="13"/>
                <c:pt idx="0">
                  <c:v>0.75</c:v>
                </c:pt>
                <c:pt idx="1">
                  <c:v>1.0625</c:v>
                </c:pt>
                <c:pt idx="2">
                  <c:v>1.25</c:v>
                </c:pt>
                <c:pt idx="3">
                  <c:v>1.2749999999999999</c:v>
                </c:pt>
                <c:pt idx="4">
                  <c:v>1.25</c:v>
                </c:pt>
                <c:pt idx="5">
                  <c:v>1.125</c:v>
                </c:pt>
                <c:pt idx="6">
                  <c:v>1</c:v>
                </c:pt>
                <c:pt idx="7">
                  <c:v>0.875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17D-4054-BF3D-212F27802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HP'!$A$78</c:f>
              <c:strCache>
                <c:ptCount val="1"/>
                <c:pt idx="0">
                  <c:v>Hornady 50m zero(G1 BC)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0.7</c:v>
                </c:pt>
                <c:pt idx="5">
                  <c:v>-0.4</c:v>
                </c:pt>
                <c:pt idx="6">
                  <c:v>-2.4</c:v>
                </c:pt>
                <c:pt idx="7">
                  <c:v>-5.6</c:v>
                </c:pt>
                <c:pt idx="8">
                  <c:v>-10.199999999999999</c:v>
                </c:pt>
                <c:pt idx="9">
                  <c:v>-16</c:v>
                </c:pt>
                <c:pt idx="10">
                  <c:v>-23.3</c:v>
                </c:pt>
                <c:pt idx="11">
                  <c:v>-32.799999999999997</c:v>
                </c:pt>
                <c:pt idx="12">
                  <c:v>-43.8</c:v>
                </c:pt>
                <c:pt idx="13">
                  <c:v>-57</c:v>
                </c:pt>
                <c:pt idx="14">
                  <c:v>-73.2</c:v>
                </c:pt>
                <c:pt idx="15">
                  <c:v>-91.6</c:v>
                </c:pt>
                <c:pt idx="16">
                  <c:v>-113</c:v>
                </c:pt>
                <c:pt idx="17">
                  <c:v>-138.80000000000001</c:v>
                </c:pt>
                <c:pt idx="18">
                  <c:v>-167.6</c:v>
                </c:pt>
                <c:pt idx="19">
                  <c:v>-200.6</c:v>
                </c:pt>
                <c:pt idx="20">
                  <c:v>-238.3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D8-4832-8EF2-D5952CF0686A}"/>
            </c:ext>
          </c:extLst>
        </c:ser>
        <c:ser>
          <c:idx val="2"/>
          <c:order val="1"/>
          <c:tx>
            <c:strRef>
              <c:f>'Federal Barnes TSX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-3.1562516769232696</c:v>
                </c:pt>
                <c:pt idx="2">
                  <c:v>0</c:v>
                </c:pt>
                <c:pt idx="3">
                  <c:v>3.1436251840977376</c:v>
                </c:pt>
                <c:pt idx="4">
                  <c:v>6.3125008384612338</c:v>
                </c:pt>
                <c:pt idx="5">
                  <c:v>7.890626048076542</c:v>
                </c:pt>
                <c:pt idx="6">
                  <c:v>3.2572500511975897</c:v>
                </c:pt>
                <c:pt idx="7">
                  <c:v>-8.3830004909272997</c:v>
                </c:pt>
                <c:pt idx="8">
                  <c:v>-15.781252096153084</c:v>
                </c:pt>
                <c:pt idx="9">
                  <c:v>-30.300010303014208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0D8-4832-8EF2-D5952CF06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31759925652882"/>
                  <c:y val="-0.243135753864100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-2.5800000254422399</c:v>
                </c:pt>
                <c:pt idx="7">
                  <c:v>-10.000000833333415</c:v>
                </c:pt>
                <c:pt idx="8">
                  <c:v>-20.000004266667759</c:v>
                </c:pt>
                <c:pt idx="9">
                  <c:v>-45.000033750030376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03-41A0-B0ED-60A4788E0721}"/>
            </c:ext>
          </c:extLst>
        </c:ser>
        <c:ser>
          <c:idx val="1"/>
          <c:order val="1"/>
          <c:tx>
            <c:strRef>
              <c:f>'Federal Barnes TSX HP'!$A$102</c:f>
              <c:strCache>
                <c:ptCount val="1"/>
                <c:pt idx="0">
                  <c:v>Hornady 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356355701325985"/>
                  <c:y val="-0.219435452512880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-1.7</c:v>
                </c:pt>
                <c:pt idx="2">
                  <c:v>-0.3</c:v>
                </c:pt>
                <c:pt idx="3">
                  <c:v>0.3</c:v>
                </c:pt>
                <c:pt idx="4">
                  <c:v>0</c:v>
                </c:pt>
                <c:pt idx="5">
                  <c:v>-1.2</c:v>
                </c:pt>
                <c:pt idx="6">
                  <c:v>-3.4</c:v>
                </c:pt>
                <c:pt idx="7">
                  <c:v>-6.7</c:v>
                </c:pt>
                <c:pt idx="8">
                  <c:v>-11.5</c:v>
                </c:pt>
                <c:pt idx="9">
                  <c:v>-17.5</c:v>
                </c:pt>
                <c:pt idx="10">
                  <c:v>-25</c:v>
                </c:pt>
                <c:pt idx="11">
                  <c:v>-34.6</c:v>
                </c:pt>
                <c:pt idx="12">
                  <c:v>-45.8</c:v>
                </c:pt>
                <c:pt idx="13">
                  <c:v>-59.2</c:v>
                </c:pt>
                <c:pt idx="14">
                  <c:v>-75.599999999999994</c:v>
                </c:pt>
                <c:pt idx="15">
                  <c:v>-94.1</c:v>
                </c:pt>
                <c:pt idx="16">
                  <c:v>-115.7</c:v>
                </c:pt>
                <c:pt idx="17">
                  <c:v>-141.69999999999999</c:v>
                </c:pt>
                <c:pt idx="18">
                  <c:v>-170.6</c:v>
                </c:pt>
                <c:pt idx="19">
                  <c:v>-203.8</c:v>
                </c:pt>
                <c:pt idx="20">
                  <c:v>-241.7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03-41A0-B0ED-60A4788E0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121205914114024"/>
                  <c:y val="-0.2402563915621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-0.30000000035999996</c:v>
                </c:pt>
                <c:pt idx="3">
                  <c:v>0.45000000053999994</c:v>
                </c:pt>
                <c:pt idx="4">
                  <c:v>3.3200001219812321</c:v>
                </c:pt>
                <c:pt idx="5">
                  <c:v>3.1250000651041678</c:v>
                </c:pt>
                <c:pt idx="6">
                  <c:v>0</c:v>
                </c:pt>
                <c:pt idx="7">
                  <c:v>-13.360001987184569</c:v>
                </c:pt>
                <c:pt idx="8">
                  <c:v>-15.000001800000257</c:v>
                </c:pt>
                <c:pt idx="9">
                  <c:v>-39.960023632680461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D-434D-A014-8E554FDD2C35}"/>
            </c:ext>
          </c:extLst>
        </c:ser>
        <c:ser>
          <c:idx val="1"/>
          <c:order val="1"/>
          <c:tx>
            <c:strRef>
              <c:f>'Federal Barnes TSX HP'!$A$126</c:f>
              <c:strCache>
                <c:ptCount val="1"/>
                <c:pt idx="0">
                  <c:v>Hornady(150m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993676582240863"/>
                  <c:y val="-0.21333017400602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-1.2</c:v>
                </c:pt>
                <c:pt idx="2">
                  <c:v>0.8</c:v>
                </c:pt>
                <c:pt idx="3">
                  <c:v>2</c:v>
                </c:pt>
                <c:pt idx="4">
                  <c:v>2.2999999999999998</c:v>
                </c:pt>
                <c:pt idx="5">
                  <c:v>1.6</c:v>
                </c:pt>
                <c:pt idx="6">
                  <c:v>0</c:v>
                </c:pt>
                <c:pt idx="7">
                  <c:v>-2.8</c:v>
                </c:pt>
                <c:pt idx="8">
                  <c:v>-6.9</c:v>
                </c:pt>
                <c:pt idx="9">
                  <c:v>-12.4</c:v>
                </c:pt>
                <c:pt idx="10">
                  <c:v>-19.3</c:v>
                </c:pt>
                <c:pt idx="11">
                  <c:v>-28.4</c:v>
                </c:pt>
                <c:pt idx="12">
                  <c:v>-39</c:v>
                </c:pt>
                <c:pt idx="13">
                  <c:v>-51.8</c:v>
                </c:pt>
                <c:pt idx="14">
                  <c:v>-67.599999999999994</c:v>
                </c:pt>
                <c:pt idx="15">
                  <c:v>-85.6</c:v>
                </c:pt>
                <c:pt idx="16">
                  <c:v>-106.6</c:v>
                </c:pt>
                <c:pt idx="17">
                  <c:v>-132</c:v>
                </c:pt>
                <c:pt idx="18">
                  <c:v>-160.4</c:v>
                </c:pt>
                <c:pt idx="19">
                  <c:v>-193</c:v>
                </c:pt>
                <c:pt idx="20">
                  <c:v>-230.3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D-434D-A014-8E554FDD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390375856451009E-2"/>
                  <c:y val="-0.28670069019150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-1.6700002483980712</c:v>
                </c:pt>
                <c:pt idx="2">
                  <c:v>1.660000060990616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6-44BC-864B-017E09325CA7}"/>
            </c:ext>
          </c:extLst>
        </c:ser>
        <c:ser>
          <c:idx val="1"/>
          <c:order val="1"/>
          <c:tx>
            <c:strRef>
              <c:f>'Federal Barnes TSX HP'!$A$150</c:f>
              <c:strCache>
                <c:ptCount val="1"/>
                <c:pt idx="0">
                  <c:v>Hornady(200m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78563561816286"/>
                  <c:y val="-0.2141593759113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-0.3</c:v>
                </c:pt>
                <c:pt idx="2">
                  <c:v>2.6</c:v>
                </c:pt>
                <c:pt idx="3">
                  <c:v>4.5999999999999996</c:v>
                </c:pt>
                <c:pt idx="4">
                  <c:v>5.7</c:v>
                </c:pt>
                <c:pt idx="5">
                  <c:v>6</c:v>
                </c:pt>
                <c:pt idx="6">
                  <c:v>5.2</c:v>
                </c:pt>
                <c:pt idx="7">
                  <c:v>3.3</c:v>
                </c:pt>
                <c:pt idx="8">
                  <c:v>0</c:v>
                </c:pt>
                <c:pt idx="9">
                  <c:v>-4.5999999999999996</c:v>
                </c:pt>
                <c:pt idx="10">
                  <c:v>-10.7</c:v>
                </c:pt>
                <c:pt idx="11">
                  <c:v>-18.8</c:v>
                </c:pt>
                <c:pt idx="12">
                  <c:v>-28.6</c:v>
                </c:pt>
                <c:pt idx="13">
                  <c:v>-40.5</c:v>
                </c:pt>
                <c:pt idx="14">
                  <c:v>-55.4</c:v>
                </c:pt>
                <c:pt idx="15">
                  <c:v>-72.599999999999994</c:v>
                </c:pt>
                <c:pt idx="16">
                  <c:v>-92.7</c:v>
                </c:pt>
                <c:pt idx="17">
                  <c:v>-117.2</c:v>
                </c:pt>
                <c:pt idx="18">
                  <c:v>-144.80000000000001</c:v>
                </c:pt>
                <c:pt idx="19">
                  <c:v>-176.5</c:v>
                </c:pt>
                <c:pt idx="20">
                  <c:v>-213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6-44BC-864B-017E09325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8576187352617372E-2"/>
                  <c:y val="-0.301569213570525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6.2500032552103679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19.98001181634023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A0-4A45-AFC4-9DA271B2CC54}"/>
            </c:ext>
          </c:extLst>
        </c:ser>
        <c:ser>
          <c:idx val="1"/>
          <c:order val="1"/>
          <c:tx>
            <c:strRef>
              <c:f>'Federal Barnes TSX HP'!$A$174</c:f>
              <c:strCache>
                <c:ptCount val="1"/>
                <c:pt idx="0">
                  <c:v>Hornady(300m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4.7756219570696951E-2"/>
                  <c:y val="-0.1889984932439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2.1</c:v>
                </c:pt>
                <c:pt idx="2">
                  <c:v>7.4</c:v>
                </c:pt>
                <c:pt idx="3">
                  <c:v>11.7</c:v>
                </c:pt>
                <c:pt idx="4">
                  <c:v>15.3</c:v>
                </c:pt>
                <c:pt idx="5">
                  <c:v>18</c:v>
                </c:pt>
                <c:pt idx="6">
                  <c:v>19.5</c:v>
                </c:pt>
                <c:pt idx="7">
                  <c:v>20</c:v>
                </c:pt>
                <c:pt idx="8">
                  <c:v>19.100000000000001</c:v>
                </c:pt>
                <c:pt idx="9">
                  <c:v>16.899999999999999</c:v>
                </c:pt>
                <c:pt idx="10">
                  <c:v>13.2</c:v>
                </c:pt>
                <c:pt idx="11">
                  <c:v>7.5</c:v>
                </c:pt>
                <c:pt idx="12">
                  <c:v>0</c:v>
                </c:pt>
                <c:pt idx="13">
                  <c:v>-9.5</c:v>
                </c:pt>
                <c:pt idx="14">
                  <c:v>-22</c:v>
                </c:pt>
                <c:pt idx="15">
                  <c:v>-36.799999999999997</c:v>
                </c:pt>
                <c:pt idx="16">
                  <c:v>-54.6</c:v>
                </c:pt>
                <c:pt idx="17">
                  <c:v>-76.7</c:v>
                </c:pt>
                <c:pt idx="18">
                  <c:v>-101.8</c:v>
                </c:pt>
                <c:pt idx="19">
                  <c:v>-131.19999999999999</c:v>
                </c:pt>
                <c:pt idx="20">
                  <c:v>-165.3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A0-4A45-AFC4-9DA271B2C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layout>
        <c:manualLayout>
          <c:xMode val="edge"/>
          <c:yMode val="edge"/>
          <c:x val="0.281342270218221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852761983694E-2"/>
                  <c:y val="-0.417994313210848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2.9137513193372473</c:v>
                </c:pt>
                <c:pt idx="2">
                  <c:v>10.937517445915555</c:v>
                </c:pt>
                <c:pt idx="3">
                  <c:v>18.046909830784401</c:v>
                </c:pt>
                <c:pt idx="4">
                  <c:v>23.345042409321749</c:v>
                </c:pt>
                <c:pt idx="5">
                  <c:v>29.181303011652183</c:v>
                </c:pt>
                <c:pt idx="6">
                  <c:v>32.812552337746666</c:v>
                </c:pt>
                <c:pt idx="7">
                  <c:v>39.375050872271252</c:v>
                </c:pt>
                <c:pt idx="8">
                  <c:v>38.281279919715971</c:v>
                </c:pt>
                <c:pt idx="9">
                  <c:v>36.750018382667285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C6-450A-88A7-9BE18054F380}"/>
            </c:ext>
          </c:extLst>
        </c:ser>
        <c:ser>
          <c:idx val="1"/>
          <c:order val="1"/>
          <c:tx>
            <c:strRef>
              <c:f>'Federal Barnes TSX HP'!$A$198</c:f>
              <c:strCache>
                <c:ptCount val="1"/>
                <c:pt idx="0">
                  <c:v>Hornday(400m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0389460263028383E-2"/>
                  <c:y val="-6.1766793039758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5.5</c:v>
                </c:pt>
                <c:pt idx="2">
                  <c:v>14.3</c:v>
                </c:pt>
                <c:pt idx="3">
                  <c:v>22</c:v>
                </c:pt>
                <c:pt idx="4">
                  <c:v>29</c:v>
                </c:pt>
                <c:pt idx="5">
                  <c:v>35.200000000000003</c:v>
                </c:pt>
                <c:pt idx="6">
                  <c:v>40.1</c:v>
                </c:pt>
                <c:pt idx="7">
                  <c:v>44</c:v>
                </c:pt>
                <c:pt idx="8">
                  <c:v>46.6</c:v>
                </c:pt>
                <c:pt idx="9">
                  <c:v>47.8</c:v>
                </c:pt>
                <c:pt idx="10">
                  <c:v>47.4</c:v>
                </c:pt>
                <c:pt idx="11">
                  <c:v>45.3</c:v>
                </c:pt>
                <c:pt idx="12">
                  <c:v>41.2</c:v>
                </c:pt>
                <c:pt idx="13">
                  <c:v>35</c:v>
                </c:pt>
                <c:pt idx="14">
                  <c:v>26.1</c:v>
                </c:pt>
                <c:pt idx="15">
                  <c:v>14.7</c:v>
                </c:pt>
                <c:pt idx="16">
                  <c:v>0.2</c:v>
                </c:pt>
                <c:pt idx="17">
                  <c:v>-18.3</c:v>
                </c:pt>
                <c:pt idx="18">
                  <c:v>-40.1</c:v>
                </c:pt>
                <c:pt idx="19">
                  <c:v>-66.099999999999994</c:v>
                </c:pt>
                <c:pt idx="20">
                  <c:v>-96.8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C6-450A-88A7-9BE18054F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573381596070777E-2"/>
                  <c:y val="-0.48886215611937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7.500022500081001</c:v>
                </c:pt>
                <c:pt idx="2">
                  <c:v>21.250127943632727</c:v>
                </c:pt>
                <c:pt idx="3">
                  <c:v>37.500312503125031</c:v>
                </c:pt>
                <c:pt idx="4">
                  <c:v>51.00044217460038</c:v>
                </c:pt>
                <c:pt idx="5">
                  <c:v>62.500520838541718</c:v>
                </c:pt>
                <c:pt idx="6">
                  <c:v>67.500455628690588</c:v>
                </c:pt>
                <c:pt idx="7">
                  <c:v>80.000426669397356</c:v>
                </c:pt>
                <c:pt idx="8">
                  <c:v>87.500357293417409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E1-4CAA-88FE-6C7B46EFE220}"/>
            </c:ext>
          </c:extLst>
        </c:ser>
        <c:ser>
          <c:idx val="1"/>
          <c:order val="1"/>
          <c:tx>
            <c:strRef>
              <c:f>'Federal Barnes TSX HP'!$A$222</c:f>
              <c:strCache>
                <c:ptCount val="1"/>
                <c:pt idx="0">
                  <c:v>Hornady(500m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935773897486557"/>
                  <c:y val="-0.275373772722854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10.3</c:v>
                </c:pt>
                <c:pt idx="2">
                  <c:v>24.2</c:v>
                </c:pt>
                <c:pt idx="3">
                  <c:v>36.799999999999997</c:v>
                </c:pt>
                <c:pt idx="4">
                  <c:v>48.5</c:v>
                </c:pt>
                <c:pt idx="5">
                  <c:v>59.7</c:v>
                </c:pt>
                <c:pt idx="6">
                  <c:v>69.5</c:v>
                </c:pt>
                <c:pt idx="7">
                  <c:v>78.2</c:v>
                </c:pt>
                <c:pt idx="8">
                  <c:v>85.8</c:v>
                </c:pt>
                <c:pt idx="9">
                  <c:v>91.8</c:v>
                </c:pt>
                <c:pt idx="10">
                  <c:v>96.3</c:v>
                </c:pt>
                <c:pt idx="11">
                  <c:v>99.2</c:v>
                </c:pt>
                <c:pt idx="12">
                  <c:v>99.9</c:v>
                </c:pt>
                <c:pt idx="13">
                  <c:v>98.6</c:v>
                </c:pt>
                <c:pt idx="14">
                  <c:v>94.6</c:v>
                </c:pt>
                <c:pt idx="15">
                  <c:v>88.1</c:v>
                </c:pt>
                <c:pt idx="16">
                  <c:v>78.5</c:v>
                </c:pt>
                <c:pt idx="17">
                  <c:v>64.900000000000006</c:v>
                </c:pt>
                <c:pt idx="18">
                  <c:v>48</c:v>
                </c:pt>
                <c:pt idx="19">
                  <c:v>26.8</c:v>
                </c:pt>
                <c:pt idx="20">
                  <c:v>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E1-4CAA-88FE-6C7B46EFE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 Measured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SP'!$B$1:$D$1</c:f>
              <c:strCache>
                <c:ptCount val="1"/>
                <c:pt idx="0">
                  <c:v>223 Remington Remington Core-Lokt Soft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SP'!$B$22:$B$35</c:f>
              <c:numCache>
                <c:formatCode>0.00</c:formatCode>
                <c:ptCount val="14"/>
                <c:pt idx="0">
                  <c:v>1679.8</c:v>
                </c:pt>
                <c:pt idx="1">
                  <c:v>1603.5</c:v>
                </c:pt>
                <c:pt idx="2">
                  <c:v>1508.1</c:v>
                </c:pt>
                <c:pt idx="3">
                  <c:v>1419.7</c:v>
                </c:pt>
                <c:pt idx="4">
                  <c:v>1337.4</c:v>
                </c:pt>
                <c:pt idx="5">
                  <c:v>1261.0999999999999</c:v>
                </c:pt>
                <c:pt idx="6">
                  <c:v>1190.9000000000001</c:v>
                </c:pt>
                <c:pt idx="7">
                  <c:v>1044.0999999999999</c:v>
                </c:pt>
                <c:pt idx="8">
                  <c:v>919.4</c:v>
                </c:pt>
                <c:pt idx="9">
                  <c:v>805.8</c:v>
                </c:pt>
                <c:pt idx="10">
                  <c:v>696.7</c:v>
                </c:pt>
                <c:pt idx="11">
                  <c:v>601.4</c:v>
                </c:pt>
                <c:pt idx="12">
                  <c:v>519.6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4C-4E6E-B777-EB70836EE91E}"/>
            </c:ext>
          </c:extLst>
        </c:ser>
        <c:ser>
          <c:idx val="1"/>
          <c:order val="1"/>
          <c:tx>
            <c:strRef>
              <c:f>'Federal TrophyBonded PHP'!$B$1:$D$1</c:f>
              <c:strCache>
                <c:ptCount val="1"/>
                <c:pt idx="0">
                  <c:v>223 Remington Federal Trophy-Bonded Copper Polymer-Tipped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PHP'!$B$22:$B$35</c:f>
              <c:numCache>
                <c:formatCode>0.00</c:formatCode>
                <c:ptCount val="14"/>
                <c:pt idx="0">
                  <c:v>1633.9</c:v>
                </c:pt>
                <c:pt idx="1">
                  <c:v>1554.6</c:v>
                </c:pt>
                <c:pt idx="2">
                  <c:v>1472.4</c:v>
                </c:pt>
                <c:pt idx="3">
                  <c:v>1381.7</c:v>
                </c:pt>
                <c:pt idx="4">
                  <c:v>1298.2</c:v>
                </c:pt>
                <c:pt idx="5">
                  <c:v>1220.7</c:v>
                </c:pt>
                <c:pt idx="6">
                  <c:v>1150</c:v>
                </c:pt>
                <c:pt idx="7">
                  <c:v>1012.5</c:v>
                </c:pt>
                <c:pt idx="8">
                  <c:v>895.2</c:v>
                </c:pt>
                <c:pt idx="9">
                  <c:v>779.7</c:v>
                </c:pt>
                <c:pt idx="10">
                  <c:v>677</c:v>
                </c:pt>
                <c:pt idx="11">
                  <c:v>591.6</c:v>
                </c:pt>
                <c:pt idx="12">
                  <c:v>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4C-4E6E-B777-EB70836EE91E}"/>
            </c:ext>
          </c:extLst>
        </c:ser>
        <c:ser>
          <c:idx val="2"/>
          <c:order val="2"/>
          <c:tx>
            <c:strRef>
              <c:f>'Federal Barnes TSX HP'!$B$1:$D$1</c:f>
              <c:strCache>
                <c:ptCount val="1"/>
                <c:pt idx="0">
                  <c:v>223 Remington Federal 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HP'!$B$22:$B$35</c:f>
              <c:numCache>
                <c:formatCode>0.00</c:formatCode>
                <c:ptCount val="14"/>
                <c:pt idx="0">
                  <c:v>1695.3</c:v>
                </c:pt>
                <c:pt idx="1">
                  <c:v>1577.5</c:v>
                </c:pt>
                <c:pt idx="2">
                  <c:v>1459.3</c:v>
                </c:pt>
                <c:pt idx="3">
                  <c:v>1332.7</c:v>
                </c:pt>
                <c:pt idx="4">
                  <c:v>1219.7</c:v>
                </c:pt>
                <c:pt idx="5">
                  <c:v>1118.7</c:v>
                </c:pt>
                <c:pt idx="6">
                  <c:v>1027.9000000000001</c:v>
                </c:pt>
                <c:pt idx="7">
                  <c:v>850.1</c:v>
                </c:pt>
                <c:pt idx="8">
                  <c:v>691.8</c:v>
                </c:pt>
                <c:pt idx="9">
                  <c:v>562.1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4C-4E6E-B777-EB70836EE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Bullet Trajectory Comparison: 100m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SP'!$B$1:$D$1</c:f>
              <c:strCache>
                <c:ptCount val="1"/>
                <c:pt idx="0">
                  <c:v>223 Remington Remington Core-Lokt Soft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-5.2912502194679423</c:v>
                </c:pt>
                <c:pt idx="7">
                  <c:v>-10.625000999552523</c:v>
                </c:pt>
                <c:pt idx="8">
                  <c:v>-19.921879216862795</c:v>
                </c:pt>
                <c:pt idx="9">
                  <c:v>-44.625032913290845</c:v>
                </c:pt>
                <c:pt idx="10">
                  <c:v>-66.937581611574487</c:v>
                </c:pt>
                <c:pt idx="11">
                  <c:v>-105.4002439393158</c:v>
                </c:pt>
                <c:pt idx="12">
                  <c:v>-143.43798578444495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F2-439F-BC07-2778BF632C71}"/>
            </c:ext>
          </c:extLst>
        </c:ser>
        <c:ser>
          <c:idx val="1"/>
          <c:order val="1"/>
          <c:tx>
            <c:strRef>
              <c:f>'Federal TrophyBonded PHP'!$B$1:$D$1</c:f>
              <c:strCache>
                <c:ptCount val="1"/>
                <c:pt idx="0">
                  <c:v>223 Remington Federal Trophy-Bonded Copper Polymer-Tipped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-10.000000833333415</c:v>
                </c:pt>
                <c:pt idx="8">
                  <c:v>-12.500001041666769</c:v>
                </c:pt>
                <c:pt idx="9">
                  <c:v>-39.960023632680461</c:v>
                </c:pt>
                <c:pt idx="10">
                  <c:v>-52.500039375035435</c:v>
                </c:pt>
                <c:pt idx="11">
                  <c:v>-91.200158031688588</c:v>
                </c:pt>
                <c:pt idx="12">
                  <c:v>-120.0602848721356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F2-439F-BC07-2778BF632C71}"/>
            </c:ext>
          </c:extLst>
        </c:ser>
        <c:ser>
          <c:idx val="2"/>
          <c:order val="2"/>
          <c:tx>
            <c:strRef>
              <c:f>'Federal Barnes TSX HP'!$B$1:$D$1</c:f>
              <c:strCache>
                <c:ptCount val="1"/>
                <c:pt idx="0">
                  <c:v>223 Remington Federal 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-2.5800000254422399</c:v>
                </c:pt>
                <c:pt idx="7">
                  <c:v>-10.000000833333415</c:v>
                </c:pt>
                <c:pt idx="8">
                  <c:v>-20.000004266667759</c:v>
                </c:pt>
                <c:pt idx="9">
                  <c:v>-45.000033750030376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F2-439F-BC07-2778BF63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119759"/>
        <c:axId val="863128879"/>
      </c:scatterChart>
      <c:valAx>
        <c:axId val="86311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28879"/>
        <c:crosses val="autoZero"/>
        <c:crossBetween val="midCat"/>
      </c:valAx>
      <c:valAx>
        <c:axId val="86312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1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 Predicted Energy vs Range: Hornady Standard Calculator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SP'!$B$1:$D$1</c:f>
              <c:strCache>
                <c:ptCount val="1"/>
                <c:pt idx="0">
                  <c:v>223 Remington Remington Core-Lokt Soft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'Remington Core-Lokt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SP'!$C$80:$C$100</c:f>
              <c:numCache>
                <c:formatCode>0.00</c:formatCode>
                <c:ptCount val="21"/>
                <c:pt idx="0">
                  <c:v>1680</c:v>
                </c:pt>
                <c:pt idx="1">
                  <c:v>1556</c:v>
                </c:pt>
                <c:pt idx="2">
                  <c:v>1440</c:v>
                </c:pt>
                <c:pt idx="3">
                  <c:v>1331</c:v>
                </c:pt>
                <c:pt idx="4">
                  <c:v>1229</c:v>
                </c:pt>
                <c:pt idx="5">
                  <c:v>1134</c:v>
                </c:pt>
                <c:pt idx="6">
                  <c:v>1044</c:v>
                </c:pt>
                <c:pt idx="7">
                  <c:v>960</c:v>
                </c:pt>
                <c:pt idx="8">
                  <c:v>881</c:v>
                </c:pt>
                <c:pt idx="9">
                  <c:v>807</c:v>
                </c:pt>
                <c:pt idx="10">
                  <c:v>738</c:v>
                </c:pt>
                <c:pt idx="11">
                  <c:v>674</c:v>
                </c:pt>
                <c:pt idx="12">
                  <c:v>615</c:v>
                </c:pt>
                <c:pt idx="13">
                  <c:v>560</c:v>
                </c:pt>
                <c:pt idx="14">
                  <c:v>510</c:v>
                </c:pt>
                <c:pt idx="15">
                  <c:v>464</c:v>
                </c:pt>
                <c:pt idx="16">
                  <c:v>421</c:v>
                </c:pt>
                <c:pt idx="17">
                  <c:v>383</c:v>
                </c:pt>
                <c:pt idx="18">
                  <c:v>349</c:v>
                </c:pt>
                <c:pt idx="19">
                  <c:v>318</c:v>
                </c:pt>
                <c:pt idx="20">
                  <c:v>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D0-4B10-B218-3AAA6FBEAA64}"/>
            </c:ext>
          </c:extLst>
        </c:ser>
        <c:ser>
          <c:idx val="1"/>
          <c:order val="1"/>
          <c:tx>
            <c:strRef>
              <c:f>'Federal TrophyBonded PHP'!$B$1:$D$1</c:f>
              <c:strCache>
                <c:ptCount val="1"/>
                <c:pt idx="0">
                  <c:v>223 Remington Federal Trophy-Bonded Copper Polymer-Tipped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PHP'!$C$80:$C$100</c:f>
              <c:numCache>
                <c:formatCode>0.00</c:formatCode>
                <c:ptCount val="21"/>
                <c:pt idx="0">
                  <c:v>1634</c:v>
                </c:pt>
                <c:pt idx="1">
                  <c:v>1542</c:v>
                </c:pt>
                <c:pt idx="2">
                  <c:v>1455</c:v>
                </c:pt>
                <c:pt idx="3">
                  <c:v>1372</c:v>
                </c:pt>
                <c:pt idx="4">
                  <c:v>1293</c:v>
                </c:pt>
                <c:pt idx="5">
                  <c:v>1218</c:v>
                </c:pt>
                <c:pt idx="6">
                  <c:v>1146</c:v>
                </c:pt>
                <c:pt idx="7">
                  <c:v>1078</c:v>
                </c:pt>
                <c:pt idx="8">
                  <c:v>1013</c:v>
                </c:pt>
                <c:pt idx="9">
                  <c:v>951</c:v>
                </c:pt>
                <c:pt idx="10">
                  <c:v>892</c:v>
                </c:pt>
                <c:pt idx="11">
                  <c:v>836</c:v>
                </c:pt>
                <c:pt idx="12">
                  <c:v>782</c:v>
                </c:pt>
                <c:pt idx="13">
                  <c:v>732</c:v>
                </c:pt>
                <c:pt idx="14">
                  <c:v>684</c:v>
                </c:pt>
                <c:pt idx="15">
                  <c:v>638</c:v>
                </c:pt>
                <c:pt idx="16">
                  <c:v>595</c:v>
                </c:pt>
                <c:pt idx="17">
                  <c:v>555</c:v>
                </c:pt>
                <c:pt idx="18">
                  <c:v>517</c:v>
                </c:pt>
                <c:pt idx="19">
                  <c:v>481</c:v>
                </c:pt>
                <c:pt idx="20">
                  <c:v>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D0-4B10-B218-3AAA6FBEAA64}"/>
            </c:ext>
          </c:extLst>
        </c:ser>
        <c:ser>
          <c:idx val="2"/>
          <c:order val="2"/>
          <c:tx>
            <c:strRef>
              <c:f>'Federal Barnes TSX HP'!$B$1:$D$1</c:f>
              <c:strCache>
                <c:ptCount val="1"/>
                <c:pt idx="0">
                  <c:v>223 Remington Federal 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HP'!$C$80:$C$100</c:f>
              <c:numCache>
                <c:formatCode>0.00</c:formatCode>
                <c:ptCount val="21"/>
                <c:pt idx="0">
                  <c:v>1696</c:v>
                </c:pt>
                <c:pt idx="1">
                  <c:v>1558</c:v>
                </c:pt>
                <c:pt idx="2">
                  <c:v>1431</c:v>
                </c:pt>
                <c:pt idx="3">
                  <c:v>1313</c:v>
                </c:pt>
                <c:pt idx="4">
                  <c:v>1203</c:v>
                </c:pt>
                <c:pt idx="5">
                  <c:v>1101</c:v>
                </c:pt>
                <c:pt idx="6">
                  <c:v>1005</c:v>
                </c:pt>
                <c:pt idx="7">
                  <c:v>917</c:v>
                </c:pt>
                <c:pt idx="8">
                  <c:v>834</c:v>
                </c:pt>
                <c:pt idx="9">
                  <c:v>757</c:v>
                </c:pt>
                <c:pt idx="10">
                  <c:v>686</c:v>
                </c:pt>
                <c:pt idx="11">
                  <c:v>620</c:v>
                </c:pt>
                <c:pt idx="12">
                  <c:v>560</c:v>
                </c:pt>
                <c:pt idx="13">
                  <c:v>504</c:v>
                </c:pt>
                <c:pt idx="14">
                  <c:v>454</c:v>
                </c:pt>
                <c:pt idx="15">
                  <c:v>408</c:v>
                </c:pt>
                <c:pt idx="16">
                  <c:v>367</c:v>
                </c:pt>
                <c:pt idx="17">
                  <c:v>330</c:v>
                </c:pt>
                <c:pt idx="18">
                  <c:v>297</c:v>
                </c:pt>
                <c:pt idx="19">
                  <c:v>268</c:v>
                </c:pt>
                <c:pt idx="20">
                  <c:v>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D0-4B10-B218-3AAA6FBEA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 Calculated ComeUps(MILS) vs Range: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SP'!$B$1:$D$1</c:f>
              <c:strCache>
                <c:ptCount val="1"/>
                <c:pt idx="0">
                  <c:v>223 Remington Remington Core-Lokt Soft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'Remington Core-Lokt SP'!$C$12</c:f>
                <c:numCache>
                  <c:formatCode>General</c:formatCode>
                  <c:ptCount val="1"/>
                  <c:pt idx="0">
                    <c:v>7.2722052166430393E-2</c:v>
                  </c:pt>
                </c:numCache>
              </c:numRef>
            </c:plus>
            <c:minus>
              <c:numRef>
                <c:f>'Remington Core-Lokt SP'!$C$12</c:f>
                <c:numCache>
                  <c:formatCode>General</c:formatCode>
                  <c:ptCount val="1"/>
                  <c:pt idx="0">
                    <c:v>7.2722052166430393E-2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PHP'!$B$257:$B$277</c:f>
              <c:numCache>
                <c:formatCode>0.000</c:formatCode>
                <c:ptCount val="21"/>
                <c:pt idx="0">
                  <c:v>0</c:v>
                </c:pt>
                <c:pt idx="1">
                  <c:v>0.79186215959883055</c:v>
                </c:pt>
                <c:pt idx="2">
                  <c:v>-0.16663132799487165</c:v>
                </c:pt>
                <c:pt idx="3">
                  <c:v>-0.41007842314853427</c:v>
                </c:pt>
                <c:pt idx="4">
                  <c:v>-0.45907398556318341</c:v>
                </c:pt>
                <c:pt idx="5">
                  <c:v>-0.41773698717902441</c:v>
                </c:pt>
                <c:pt idx="6">
                  <c:v>-0.3207737519761259</c:v>
                </c:pt>
                <c:pt idx="7">
                  <c:v>-0.18305841880308851</c:v>
                </c:pt>
                <c:pt idx="8">
                  <c:v>-1.2028057084212489E-2</c:v>
                </c:pt>
                <c:pt idx="9">
                  <c:v>0.18818562794477961</c:v>
                </c:pt>
                <c:pt idx="10">
                  <c:v>0.41510361314245431</c:v>
                </c:pt>
                <c:pt idx="11">
                  <c:v>0.66714833832789944</c:v>
                </c:pt>
                <c:pt idx="12">
                  <c:v>0.94326809671384038</c:v>
                </c:pt>
                <c:pt idx="13">
                  <c:v>1.2427347836013942</c:v>
                </c:pt>
                <c:pt idx="14">
                  <c:v>1.5650283242056449</c:v>
                </c:pt>
                <c:pt idx="15">
                  <c:v>1.9097673303509877</c:v>
                </c:pt>
                <c:pt idx="16">
                  <c:v>2.2766657609057179</c:v>
                </c:pt>
                <c:pt idx="17">
                  <c:v>2.6655048785338273</c:v>
                </c:pt>
                <c:pt idx="18">
                  <c:v>3.0761145541961987</c:v>
                </c:pt>
                <c:pt idx="19">
                  <c:v>3.5083604754935278</c:v>
                </c:pt>
                <c:pt idx="20">
                  <c:v>3.9621351925063704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F4-4D3F-9F71-FF967CAFB8F8}"/>
            </c:ext>
          </c:extLst>
        </c:ser>
        <c:ser>
          <c:idx val="1"/>
          <c:order val="1"/>
          <c:tx>
            <c:strRef>
              <c:f>'Federal TrophyBonded PHP'!$B$1:$D$1</c:f>
              <c:strCache>
                <c:ptCount val="1"/>
                <c:pt idx="0">
                  <c:v>223 Remington Federal Trophy-Bonded Copper Polymer-Tipped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PHP'!$B$257:$B$277</c:f>
              <c:numCache>
                <c:formatCode>0.000</c:formatCode>
                <c:ptCount val="21"/>
                <c:pt idx="0">
                  <c:v>0</c:v>
                </c:pt>
                <c:pt idx="1">
                  <c:v>0.79186215959883055</c:v>
                </c:pt>
                <c:pt idx="2">
                  <c:v>-0.16663132799487165</c:v>
                </c:pt>
                <c:pt idx="3">
                  <c:v>-0.41007842314853427</c:v>
                </c:pt>
                <c:pt idx="4">
                  <c:v>-0.45907398556318341</c:v>
                </c:pt>
                <c:pt idx="5">
                  <c:v>-0.41773698717902441</c:v>
                </c:pt>
                <c:pt idx="6">
                  <c:v>-0.3207737519761259</c:v>
                </c:pt>
                <c:pt idx="7">
                  <c:v>-0.18305841880308851</c:v>
                </c:pt>
                <c:pt idx="8">
                  <c:v>-1.2028057084212489E-2</c:v>
                </c:pt>
                <c:pt idx="9">
                  <c:v>0.18818562794477961</c:v>
                </c:pt>
                <c:pt idx="10">
                  <c:v>0.41510361314245431</c:v>
                </c:pt>
                <c:pt idx="11">
                  <c:v>0.66714833832789944</c:v>
                </c:pt>
                <c:pt idx="12">
                  <c:v>0.94326809671384038</c:v>
                </c:pt>
                <c:pt idx="13">
                  <c:v>1.2427347836013942</c:v>
                </c:pt>
                <c:pt idx="14">
                  <c:v>1.5650283242056449</c:v>
                </c:pt>
                <c:pt idx="15">
                  <c:v>1.9097673303509877</c:v>
                </c:pt>
                <c:pt idx="16">
                  <c:v>2.2766657609057179</c:v>
                </c:pt>
                <c:pt idx="17">
                  <c:v>2.6655048785338273</c:v>
                </c:pt>
                <c:pt idx="18">
                  <c:v>3.0761145541961987</c:v>
                </c:pt>
                <c:pt idx="19">
                  <c:v>3.5083604754935278</c:v>
                </c:pt>
                <c:pt idx="20">
                  <c:v>3.9621351925063704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F4-4D3F-9F71-FF967CAFB8F8}"/>
            </c:ext>
          </c:extLst>
        </c:ser>
        <c:ser>
          <c:idx val="2"/>
          <c:order val="2"/>
          <c:tx>
            <c:strRef>
              <c:f>'Federal Barnes TSX HP'!$B$1:$D$1</c:f>
              <c:strCache>
                <c:ptCount val="1"/>
                <c:pt idx="0">
                  <c:v>223 Remington Federal 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HP'!$B$257:$B$277</c:f>
              <c:numCache>
                <c:formatCode>0.000</c:formatCode>
                <c:ptCount val="21"/>
                <c:pt idx="0">
                  <c:v>0</c:v>
                </c:pt>
                <c:pt idx="1">
                  <c:v>0.44532858015820664</c:v>
                </c:pt>
                <c:pt idx="2">
                  <c:v>-0.47331398519049328</c:v>
                </c:pt>
                <c:pt idx="3">
                  <c:v>-0.5821967336758358</c:v>
                </c:pt>
                <c:pt idx="4">
                  <c:v>-0.49685069136574667</c:v>
                </c:pt>
                <c:pt idx="5">
                  <c:v>-0.34038206347381234</c:v>
                </c:pt>
                <c:pt idx="6">
                  <c:v>-0.15382625173789397</c:v>
                </c:pt>
                <c:pt idx="7">
                  <c:v>4.5230143097210414E-2</c:v>
                </c:pt>
                <c:pt idx="8">
                  <c:v>0.2479938206591018</c:v>
                </c:pt>
                <c:pt idx="9">
                  <c:v>0.44957961407422542</c:v>
                </c:pt>
                <c:pt idx="10">
                  <c:v>0.64705642321844858</c:v>
                </c:pt>
                <c:pt idx="11">
                  <c:v>0.83855900255823124</c:v>
                </c:pt>
                <c:pt idx="12">
                  <c:v>1.0228438550712142</c:v>
                </c:pt>
                <c:pt idx="13">
                  <c:v>1.1990500982034569</c:v>
                </c:pt>
                <c:pt idx="14">
                  <c:v>1.3665628158450009</c:v>
                </c:pt>
                <c:pt idx="15">
                  <c:v>1.5249310695152103</c:v>
                </c:pt>
                <c:pt idx="16">
                  <c:v>1.6738166553536085</c:v>
                </c:pt>
                <c:pt idx="17">
                  <c:v>1.8129609468786541</c:v>
                </c:pt>
                <c:pt idx="18">
                  <c:v>1.9421627901602603</c:v>
                </c:pt>
                <c:pt idx="19">
                  <c:v>2.0612633794641457</c:v>
                </c:pt>
                <c:pt idx="20">
                  <c:v>2.1701356702028884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F4-4D3F-9F71-FF967CAFB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ax val="1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ComeUp(MILS)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 Calculated ComeUps(MILS) vs Range: 100m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02559085220659E-2"/>
          <c:y val="5.6083916083916094E-2"/>
          <c:w val="0.66997250933910069"/>
          <c:h val="0.901639410458308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'Remington Core-Lokt SP'!$B$1:$D$1</c:f>
              <c:strCache>
                <c:ptCount val="1"/>
                <c:pt idx="0">
                  <c:v>223 Remington Remington Core-Lokt Soft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'Remington Core-Lokt SP'!$C$12</c:f>
                <c:numCache>
                  <c:formatCode>General</c:formatCode>
                  <c:ptCount val="1"/>
                  <c:pt idx="0">
                    <c:v>7.2722052166430393E-2</c:v>
                  </c:pt>
                </c:numCache>
                <c:extLst xmlns:c15="http://schemas.microsoft.com/office/drawing/2012/chart"/>
              </c:numRef>
            </c:plus>
            <c:minus>
              <c:numRef>
                <c:f>'Remington Core-Lokt SP'!$C$12</c:f>
                <c:numCache>
                  <c:formatCode>General</c:formatCode>
                  <c:ptCount val="1"/>
                  <c:pt idx="0">
                    <c:v>7.2722052166430393E-2</c:v>
                  </c:pt>
                </c:numCache>
                <c:extLst xmlns:c15="http://schemas.microsoft.com/office/drawing/2012/chart"/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PHP'!$C$257:$C$277</c:f>
              <c:numCache>
                <c:formatCode>0.000</c:formatCode>
                <c:ptCount val="21"/>
                <c:pt idx="0">
                  <c:v>0</c:v>
                </c:pt>
                <c:pt idx="1">
                  <c:v>1.0658005712678766</c:v>
                </c:pt>
                <c:pt idx="2">
                  <c:v>0.22400621276930269</c:v>
                </c:pt>
                <c:pt idx="3">
                  <c:v>2.7626269702336729E-2</c:v>
                </c:pt>
                <c:pt idx="4">
                  <c:v>1.4106823579765363E-3</c:v>
                </c:pt>
                <c:pt idx="5">
                  <c:v>5.0309438794421887E-2</c:v>
                </c:pt>
                <c:pt idx="6">
                  <c:v>0.14263920169773908</c:v>
                </c:pt>
                <c:pt idx="7">
                  <c:v>0.26482139793338538</c:v>
                </c:pt>
                <c:pt idx="8">
                  <c:v>0.41006674093408912</c:v>
                </c:pt>
                <c:pt idx="9">
                  <c:v>0.57460340482914418</c:v>
                </c:pt>
                <c:pt idx="10">
                  <c:v>0.75616829409612696</c:v>
                </c:pt>
                <c:pt idx="11">
                  <c:v>0.95332125703894866</c:v>
                </c:pt>
                <c:pt idx="12">
                  <c:v>1.1651021925268852</c:v>
                </c:pt>
                <c:pt idx="13">
                  <c:v>1.3908464151617412</c:v>
                </c:pt>
                <c:pt idx="14">
                  <c:v>1.6300791496590923</c:v>
                </c:pt>
                <c:pt idx="15">
                  <c:v>1.8824522274770279</c:v>
                </c:pt>
                <c:pt idx="16">
                  <c:v>2.1477045222091142</c:v>
                </c:pt>
                <c:pt idx="17">
                  <c:v>2.4256363489563131</c:v>
                </c:pt>
                <c:pt idx="18">
                  <c:v>2.7160923972415949</c:v>
                </c:pt>
                <c:pt idx="19">
                  <c:v>3.0189500535304652</c:v>
                </c:pt>
                <c:pt idx="20">
                  <c:v>3.3341112269953248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BD6-4CD3-91E1-667B61EB1234}"/>
            </c:ext>
          </c:extLst>
        </c:ser>
        <c:ser>
          <c:idx val="1"/>
          <c:order val="1"/>
          <c:tx>
            <c:strRef>
              <c:f>'Federal TrophyBonded PHP'!$B$1:$D$1</c:f>
              <c:strCache>
                <c:ptCount val="1"/>
                <c:pt idx="0">
                  <c:v>223 Remington Federal Trophy-Bonded Copper Polymer-Tipped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TrophyBonded PHP'!$E$19</c:f>
                <c:numCache>
                  <c:formatCode>General</c:formatCode>
                  <c:ptCount val="1"/>
                  <c:pt idx="0">
                    <c:v>0.15024454823627703</c:v>
                  </c:pt>
                </c:numCache>
              </c:numRef>
            </c:plus>
            <c:minus>
              <c:numRef>
                <c:f>'Federal TrophyBonded PHP'!$E$19</c:f>
                <c:numCache>
                  <c:formatCode>General</c:formatCode>
                  <c:ptCount val="1"/>
                  <c:pt idx="0">
                    <c:v>0.15024454823627703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PHP'!$C$257:$C$277</c:f>
              <c:numCache>
                <c:formatCode>0.000</c:formatCode>
                <c:ptCount val="21"/>
                <c:pt idx="0">
                  <c:v>0</c:v>
                </c:pt>
                <c:pt idx="1">
                  <c:v>1.0658005712678766</c:v>
                </c:pt>
                <c:pt idx="2">
                  <c:v>0.22400621276930269</c:v>
                </c:pt>
                <c:pt idx="3">
                  <c:v>2.7626269702336729E-2</c:v>
                </c:pt>
                <c:pt idx="4">
                  <c:v>1.4106823579765363E-3</c:v>
                </c:pt>
                <c:pt idx="5">
                  <c:v>5.0309438794421887E-2</c:v>
                </c:pt>
                <c:pt idx="6">
                  <c:v>0.14263920169773908</c:v>
                </c:pt>
                <c:pt idx="7">
                  <c:v>0.26482139793338538</c:v>
                </c:pt>
                <c:pt idx="8">
                  <c:v>0.41006674093408912</c:v>
                </c:pt>
                <c:pt idx="9">
                  <c:v>0.57460340482914418</c:v>
                </c:pt>
                <c:pt idx="10">
                  <c:v>0.75616829409612696</c:v>
                </c:pt>
                <c:pt idx="11">
                  <c:v>0.95332125703894866</c:v>
                </c:pt>
                <c:pt idx="12">
                  <c:v>1.1651021925268852</c:v>
                </c:pt>
                <c:pt idx="13">
                  <c:v>1.3908464151617412</c:v>
                </c:pt>
                <c:pt idx="14">
                  <c:v>1.6300791496590923</c:v>
                </c:pt>
                <c:pt idx="15">
                  <c:v>1.8824522274770279</c:v>
                </c:pt>
                <c:pt idx="16">
                  <c:v>2.1477045222091142</c:v>
                </c:pt>
                <c:pt idx="17">
                  <c:v>2.4256363489563131</c:v>
                </c:pt>
                <c:pt idx="18">
                  <c:v>2.7160923972415949</c:v>
                </c:pt>
                <c:pt idx="19">
                  <c:v>3.0189500535304652</c:v>
                </c:pt>
                <c:pt idx="20">
                  <c:v>3.3341112269953248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D6-4CD3-91E1-667B61EB1234}"/>
            </c:ext>
          </c:extLst>
        </c:ser>
        <c:ser>
          <c:idx val="2"/>
          <c:order val="2"/>
          <c:tx>
            <c:strRef>
              <c:f>'Federal Barnes TSX HP'!$B$1:$D$1</c:f>
              <c:strCache>
                <c:ptCount val="1"/>
                <c:pt idx="0">
                  <c:v>223 Remington Federal Barnes TSX Hollow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Barnes TSX HP'!$C$257:$C$277</c:f>
              <c:numCache>
                <c:formatCode>0.000</c:formatCode>
                <c:ptCount val="21"/>
                <c:pt idx="0">
                  <c:v>0</c:v>
                </c:pt>
                <c:pt idx="1">
                  <c:v>1.1565394040553385</c:v>
                </c:pt>
                <c:pt idx="2">
                  <c:v>0.33716555986327007</c:v>
                </c:pt>
                <c:pt idx="3">
                  <c:v>9.7339862231794028E-2</c:v>
                </c:pt>
                <c:pt idx="4">
                  <c:v>2.7266045530674115E-2</c:v>
                </c:pt>
                <c:pt idx="5">
                  <c:v>4.4984856633863056E-2</c:v>
                </c:pt>
                <c:pt idx="6">
                  <c:v>0.12317654449934513</c:v>
                </c:pt>
                <c:pt idx="7">
                  <c:v>0.25013264439482785</c:v>
                </c:pt>
                <c:pt idx="8">
                  <c:v>0.41999892395416488</c:v>
                </c:pt>
                <c:pt idx="9">
                  <c:v>0.62952303186283087</c:v>
                </c:pt>
                <c:pt idx="10">
                  <c:v>0.87675355733211002</c:v>
                </c:pt>
                <c:pt idx="11">
                  <c:v>1.1604486934964562</c:v>
                </c:pt>
                <c:pt idx="12">
                  <c:v>1.4797805691121722</c:v>
                </c:pt>
                <c:pt idx="13">
                  <c:v>1.8341760425490059</c:v>
                </c:pt>
                <c:pt idx="14">
                  <c:v>2.2232257269282054</c:v>
                </c:pt>
                <c:pt idx="15">
                  <c:v>2.6466294052053541</c:v>
                </c:pt>
                <c:pt idx="16">
                  <c:v>3.1041619145971371</c:v>
                </c:pt>
                <c:pt idx="17">
                  <c:v>3.5956510717986689</c:v>
                </c:pt>
                <c:pt idx="18">
                  <c:v>4.1209629564617032</c:v>
                </c:pt>
                <c:pt idx="19">
                  <c:v>4.6799918419955224</c:v>
                </c:pt>
                <c:pt idx="20">
                  <c:v>5.2726531471275484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BD6-4CD3-91E1-667B61EB1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  <c:extLst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ax val="1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ComeUp(MILS)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 Calculated ComeUps(MILS) vs Range: 150m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SP'!$B$1:$D$1</c:f>
              <c:strCache>
                <c:ptCount val="1"/>
                <c:pt idx="0">
                  <c:v>223 Remington Remington Core-Lokt Soft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 PHP'!$A$257:$A$277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PHP'!$D$257:$D$277</c:f>
              <c:numCache>
                <c:formatCode>0.000</c:formatCode>
                <c:ptCount val="21"/>
                <c:pt idx="0">
                  <c:v>0</c:v>
                </c:pt>
                <c:pt idx="1">
                  <c:v>0.85846284515221893</c:v>
                </c:pt>
                <c:pt idx="2">
                  <c:v>-1.1515149788222268E-2</c:v>
                </c:pt>
                <c:pt idx="3">
                  <c:v>-0.20196332607809156</c:v>
                </c:pt>
                <c:pt idx="4">
                  <c:v>-0.21560696741505242</c:v>
                </c:pt>
                <c:pt idx="5">
                  <c:v>-0.15299113053863775</c:v>
                </c:pt>
                <c:pt idx="6">
                  <c:v>-4.7630834362024768E-2</c:v>
                </c:pt>
                <c:pt idx="7">
                  <c:v>8.6110341580567296E-2</c:v>
                </c:pt>
                <c:pt idx="8">
                  <c:v>0.24105060752202898</c:v>
                </c:pt>
                <c:pt idx="9">
                  <c:v>0.41320008025841087</c:v>
                </c:pt>
                <c:pt idx="10">
                  <c:v>0.60016482986734276</c:v>
                </c:pt>
                <c:pt idx="11">
                  <c:v>0.8004214463982261</c:v>
                </c:pt>
                <c:pt idx="12">
                  <c:v>1.0129543232173277</c:v>
                </c:pt>
                <c:pt idx="13">
                  <c:v>1.237060348039756</c:v>
                </c:pt>
                <c:pt idx="14">
                  <c:v>1.4722372978048741</c:v>
                </c:pt>
                <c:pt idx="15">
                  <c:v>1.7181168756015479</c:v>
                </c:pt>
                <c:pt idx="16">
                  <c:v>1.9744228587464276</c:v>
                </c:pt>
                <c:pt idx="17">
                  <c:v>2.2409440181287148</c:v>
                </c:pt>
                <c:pt idx="18">
                  <c:v>2.517516064440013</c:v>
                </c:pt>
                <c:pt idx="19">
                  <c:v>2.8040092955947435</c:v>
                </c:pt>
                <c:pt idx="20">
                  <c:v>3.1003199499244447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C-4F76-984B-2558BA8A37AD}"/>
            </c:ext>
          </c:extLst>
        </c:ser>
        <c:ser>
          <c:idx val="1"/>
          <c:order val="1"/>
          <c:tx>
            <c:strRef>
              <c:f>'Federal TrophyBonded PHP'!$B$1:$D$1</c:f>
              <c:strCache>
                <c:ptCount val="1"/>
                <c:pt idx="0">
                  <c:v>223 Remington Federal Trophy-Bonded Copper Polymer-Tipped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PHP'!$D$257:$D$277</c:f>
              <c:numCache>
                <c:formatCode>0.000</c:formatCode>
                <c:ptCount val="21"/>
                <c:pt idx="0">
                  <c:v>0</c:v>
                </c:pt>
                <c:pt idx="1">
                  <c:v>0.85846284515221893</c:v>
                </c:pt>
                <c:pt idx="2">
                  <c:v>-1.1515149788222268E-2</c:v>
                </c:pt>
                <c:pt idx="3">
                  <c:v>-0.20196332607809156</c:v>
                </c:pt>
                <c:pt idx="4">
                  <c:v>-0.21560696741505242</c:v>
                </c:pt>
                <c:pt idx="5">
                  <c:v>-0.15299113053863775</c:v>
                </c:pt>
                <c:pt idx="6">
                  <c:v>-4.7630834362024768E-2</c:v>
                </c:pt>
                <c:pt idx="7">
                  <c:v>8.6110341580567296E-2</c:v>
                </c:pt>
                <c:pt idx="8">
                  <c:v>0.24105060752202898</c:v>
                </c:pt>
                <c:pt idx="9">
                  <c:v>0.41320008025841087</c:v>
                </c:pt>
                <c:pt idx="10">
                  <c:v>0.60016482986734276</c:v>
                </c:pt>
                <c:pt idx="11">
                  <c:v>0.8004214463982261</c:v>
                </c:pt>
                <c:pt idx="12">
                  <c:v>1.0129543232173277</c:v>
                </c:pt>
                <c:pt idx="13">
                  <c:v>1.237060348039756</c:v>
                </c:pt>
                <c:pt idx="14">
                  <c:v>1.4722372978048741</c:v>
                </c:pt>
                <c:pt idx="15">
                  <c:v>1.7181168756015479</c:v>
                </c:pt>
                <c:pt idx="16">
                  <c:v>1.9744228587464276</c:v>
                </c:pt>
                <c:pt idx="17">
                  <c:v>2.2409440181287148</c:v>
                </c:pt>
                <c:pt idx="18">
                  <c:v>2.517516064440013</c:v>
                </c:pt>
                <c:pt idx="19">
                  <c:v>2.8040092955947435</c:v>
                </c:pt>
                <c:pt idx="20">
                  <c:v>3.1003199499244447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EC-4F76-984B-2558BA8A37AD}"/>
            </c:ext>
          </c:extLst>
        </c:ser>
        <c:ser>
          <c:idx val="2"/>
          <c:order val="2"/>
          <c:tx>
            <c:strRef>
              <c:f>'Federal Barnes TSX HP'!$B$1:$D$1</c:f>
              <c:strCache>
                <c:ptCount val="1"/>
                <c:pt idx="0">
                  <c:v>223 Remington Federal 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HP'!$D$257:$D$277</c:f>
              <c:numCache>
                <c:formatCode>0.000</c:formatCode>
                <c:ptCount val="21"/>
                <c:pt idx="0">
                  <c:v>0</c:v>
                </c:pt>
                <c:pt idx="1">
                  <c:v>0.79555814454644425</c:v>
                </c:pt>
                <c:pt idx="2">
                  <c:v>-6.0357771978577501E-3</c:v>
                </c:pt>
                <c:pt idx="3">
                  <c:v>-0.17275132115234501</c:v>
                </c:pt>
                <c:pt idx="4">
                  <c:v>-0.17016777540953928</c:v>
                </c:pt>
                <c:pt idx="5">
                  <c:v>-9.1400997587945038E-2</c:v>
                </c:pt>
                <c:pt idx="6">
                  <c:v>3.2510393106269374E-2</c:v>
                </c:pt>
                <c:pt idx="7">
                  <c:v>0.1882641312990323</c:v>
                </c:pt>
                <c:pt idx="8">
                  <c:v>0.36920908430330751</c:v>
                </c:pt>
                <c:pt idx="9">
                  <c:v>0.57165017840407484</c:v>
                </c:pt>
                <c:pt idx="10">
                  <c:v>0.79337036937232253</c:v>
                </c:pt>
                <c:pt idx="11">
                  <c:v>1.0329588108804977</c:v>
                </c:pt>
                <c:pt idx="12">
                  <c:v>1.2894749387102309</c:v>
                </c:pt>
                <c:pt idx="13">
                  <c:v>1.5622675930180365</c:v>
                </c:pt>
                <c:pt idx="14">
                  <c:v>1.8508716596299966</c:v>
                </c:pt>
                <c:pt idx="15">
                  <c:v>2.1549460548185695</c:v>
                </c:pt>
                <c:pt idx="16">
                  <c:v>2.4742349657881006</c:v>
                </c:pt>
                <c:pt idx="17">
                  <c:v>2.808542770988971</c:v>
                </c:pt>
                <c:pt idx="18">
                  <c:v>3.1577173203270341</c:v>
                </c:pt>
                <c:pt idx="19">
                  <c:v>3.5216384953069086</c:v>
                </c:pt>
                <c:pt idx="20">
                  <c:v>3.9002102011322903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EC-4F76-984B-2558BA8A3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ax val="1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ComeUp(MILS)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466725</xdr:colOff>
      <xdr:row>13</xdr:row>
      <xdr:rowOff>176211</xdr:rowOff>
    </xdr:from>
    <xdr:to>
      <xdr:col>34</xdr:col>
      <xdr:colOff>247650</xdr:colOff>
      <xdr:row>42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5F181-8F8E-4DBC-A2D2-4172758DD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44</xdr:row>
      <xdr:rowOff>142875</xdr:rowOff>
    </xdr:from>
    <xdr:to>
      <xdr:col>20</xdr:col>
      <xdr:colOff>342900</xdr:colOff>
      <xdr:row>71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728D3-F186-4623-A143-AB591C429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7402BB-2BF0-4DC7-9DB4-00DE58D3C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471486</xdr:colOff>
      <xdr:row>79</xdr:row>
      <xdr:rowOff>95249</xdr:rowOff>
    </xdr:from>
    <xdr:to>
      <xdr:col>38</xdr:col>
      <xdr:colOff>28574</xdr:colOff>
      <xdr:row>100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9F5638-237F-4D4A-AB45-60E587099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538162</xdr:colOff>
      <xdr:row>102</xdr:row>
      <xdr:rowOff>66675</xdr:rowOff>
    </xdr:from>
    <xdr:to>
      <xdr:col>38</xdr:col>
      <xdr:colOff>495300</xdr:colOff>
      <xdr:row>123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6E68B6-BB28-4637-BC4D-BD0C82CC3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47625</xdr:colOff>
      <xdr:row>127</xdr:row>
      <xdr:rowOff>57150</xdr:rowOff>
    </xdr:from>
    <xdr:to>
      <xdr:col>39</xdr:col>
      <xdr:colOff>528638</xdr:colOff>
      <xdr:row>148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B52A56-276D-4245-92D7-4DEA164FC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142875</xdr:colOff>
      <xdr:row>153</xdr:row>
      <xdr:rowOff>66675</xdr:rowOff>
    </xdr:from>
    <xdr:to>
      <xdr:col>45</xdr:col>
      <xdr:colOff>23813</xdr:colOff>
      <xdr:row>174</xdr:row>
      <xdr:rowOff>180975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16CB536-295B-4BB9-9E20-E60220705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9525</xdr:colOff>
      <xdr:row>178</xdr:row>
      <xdr:rowOff>104775</xdr:rowOff>
    </xdr:from>
    <xdr:to>
      <xdr:col>41</xdr:col>
      <xdr:colOff>490538</xdr:colOff>
      <xdr:row>200</xdr:row>
      <xdr:rowOff>28575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2FDFD91-1C02-4DFC-A478-6FBBC67D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495300</xdr:colOff>
      <xdr:row>201</xdr:row>
      <xdr:rowOff>85725</xdr:rowOff>
    </xdr:from>
    <xdr:to>
      <xdr:col>41</xdr:col>
      <xdr:colOff>366713</xdr:colOff>
      <xdr:row>223</xdr:row>
      <xdr:rowOff>9525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AFF1A85-A193-450B-9C0E-0F441DFEC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200025</xdr:colOff>
      <xdr:row>225</xdr:row>
      <xdr:rowOff>19050</xdr:rowOff>
    </xdr:from>
    <xdr:to>
      <xdr:col>42</xdr:col>
      <xdr:colOff>71438</xdr:colOff>
      <xdr:row>246</xdr:row>
      <xdr:rowOff>133350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C8D7813-F898-45BB-BD78-29AF880B5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161925</xdr:colOff>
      <xdr:row>36</xdr:row>
      <xdr:rowOff>42861</xdr:rowOff>
    </xdr:from>
    <xdr:to>
      <xdr:col>36</xdr:col>
      <xdr:colOff>542925</xdr:colOff>
      <xdr:row>63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98F43-EFBF-DE4D-691E-C2D9C0098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575255-F922-B6C3-A896-0FA4931C0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0F64AC-E628-369F-4E98-7D698B26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14286</xdr:colOff>
      <xdr:row>79</xdr:row>
      <xdr:rowOff>19049</xdr:rowOff>
    </xdr:from>
    <xdr:to>
      <xdr:col>42</xdr:col>
      <xdr:colOff>95249</xdr:colOff>
      <xdr:row>99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B3A43-BB22-24CE-3613-DEF4F54EC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23812</xdr:colOff>
      <xdr:row>102</xdr:row>
      <xdr:rowOff>47625</xdr:rowOff>
    </xdr:from>
    <xdr:to>
      <xdr:col>42</xdr:col>
      <xdr:colOff>504825</xdr:colOff>
      <xdr:row>123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9B954-9AF9-B1ED-3AC4-87EFE8B7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628650</xdr:colOff>
      <xdr:row>126</xdr:row>
      <xdr:rowOff>57150</xdr:rowOff>
    </xdr:from>
    <xdr:to>
      <xdr:col>42</xdr:col>
      <xdr:colOff>452438</xdr:colOff>
      <xdr:row>147</xdr:row>
      <xdr:rowOff>171450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DD0A29-7169-4506-85CC-D46382D77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95250</xdr:colOff>
      <xdr:row>149</xdr:row>
      <xdr:rowOff>19050</xdr:rowOff>
    </xdr:from>
    <xdr:to>
      <xdr:col>46</xdr:col>
      <xdr:colOff>585788</xdr:colOff>
      <xdr:row>170</xdr:row>
      <xdr:rowOff>133350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EE5B267-40D3-4087-B5F0-D2B36164F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238125</xdr:colOff>
      <xdr:row>173</xdr:row>
      <xdr:rowOff>47625</xdr:rowOff>
    </xdr:from>
    <xdr:to>
      <xdr:col>43</xdr:col>
      <xdr:colOff>109538</xdr:colOff>
      <xdr:row>194</xdr:row>
      <xdr:rowOff>161925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050A10-EB7C-4447-AAFF-BADA92B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257176</xdr:colOff>
      <xdr:row>197</xdr:row>
      <xdr:rowOff>85725</xdr:rowOff>
    </xdr:from>
    <xdr:to>
      <xdr:col>45</xdr:col>
      <xdr:colOff>314326</xdr:colOff>
      <xdr:row>219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990DC25-0AF9-447D-8DED-552E09B21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466725</xdr:colOff>
      <xdr:row>223</xdr:row>
      <xdr:rowOff>95250</xdr:rowOff>
    </xdr:from>
    <xdr:to>
      <xdr:col>41</xdr:col>
      <xdr:colOff>414338</xdr:colOff>
      <xdr:row>245</xdr:row>
      <xdr:rowOff>19050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D5C4E7E-9BCB-4F1F-81D2-2C1CA23A7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714375</xdr:colOff>
      <xdr:row>19</xdr:row>
      <xdr:rowOff>33336</xdr:rowOff>
    </xdr:from>
    <xdr:to>
      <xdr:col>31</xdr:col>
      <xdr:colOff>361950</xdr:colOff>
      <xdr:row>46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5E6A51-E5A8-4074-93A2-2CC9820E6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44</xdr:row>
      <xdr:rowOff>142875</xdr:rowOff>
    </xdr:from>
    <xdr:to>
      <xdr:col>20</xdr:col>
      <xdr:colOff>342900</xdr:colOff>
      <xdr:row>71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C30077-6748-48EB-A0FC-67AC796CD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F28282-A2CC-49F9-A510-87D3832DD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881061</xdr:colOff>
      <xdr:row>76</xdr:row>
      <xdr:rowOff>114299</xdr:rowOff>
    </xdr:from>
    <xdr:to>
      <xdr:col>24</xdr:col>
      <xdr:colOff>219074</xdr:colOff>
      <xdr:row>97</xdr:row>
      <xdr:rowOff>28574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5561CF-2863-4ECB-8894-DF3B8505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852487</xdr:colOff>
      <xdr:row>99</xdr:row>
      <xdr:rowOff>114300</xdr:rowOff>
    </xdr:from>
    <xdr:to>
      <xdr:col>24</xdr:col>
      <xdr:colOff>590550</xdr:colOff>
      <xdr:row>121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8BFBF2-04C5-477D-8475-AAE80F6F5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904875</xdr:colOff>
      <xdr:row>124</xdr:row>
      <xdr:rowOff>76200</xdr:rowOff>
    </xdr:from>
    <xdr:to>
      <xdr:col>25</xdr:col>
      <xdr:colOff>33338</xdr:colOff>
      <xdr:row>146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A31281-B167-4F00-BCCE-3F730AAD5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838200</xdr:colOff>
      <xdr:row>148</xdr:row>
      <xdr:rowOff>152400</xdr:rowOff>
    </xdr:from>
    <xdr:to>
      <xdr:col>28</xdr:col>
      <xdr:colOff>585788</xdr:colOff>
      <xdr:row>170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88D8E4-B7A3-431B-949D-69DDFFDCA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771525</xdr:colOff>
      <xdr:row>173</xdr:row>
      <xdr:rowOff>38100</xdr:rowOff>
    </xdr:from>
    <xdr:to>
      <xdr:col>24</xdr:col>
      <xdr:colOff>509588</xdr:colOff>
      <xdr:row>194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523DF8A-8483-417B-8F21-373671162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742950</xdr:colOff>
      <xdr:row>198</xdr:row>
      <xdr:rowOff>152400</xdr:rowOff>
    </xdr:from>
    <xdr:to>
      <xdr:col>24</xdr:col>
      <xdr:colOff>481013</xdr:colOff>
      <xdr:row>220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75FE0C8-D986-4075-993E-0E905291B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695325</xdr:colOff>
      <xdr:row>223</xdr:row>
      <xdr:rowOff>47625</xdr:rowOff>
    </xdr:from>
    <xdr:to>
      <xdr:col>24</xdr:col>
      <xdr:colOff>433388</xdr:colOff>
      <xdr:row>244</xdr:row>
      <xdr:rowOff>161925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493508C-34D5-41FE-852D-0A4E589CE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71436</xdr:colOff>
      <xdr:row>2</xdr:row>
      <xdr:rowOff>114300</xdr:rowOff>
    </xdr:from>
    <xdr:to>
      <xdr:col>18</xdr:col>
      <xdr:colOff>571500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67EB98-0B67-7798-FAC3-3AB7BB812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395286</xdr:colOff>
      <xdr:row>3</xdr:row>
      <xdr:rowOff>133350</xdr:rowOff>
    </xdr:from>
    <xdr:to>
      <xdr:col>57</xdr:col>
      <xdr:colOff>457199</xdr:colOff>
      <xdr:row>36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B2767E-EA95-7AD4-0B4E-F70C378A9F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571500</xdr:colOff>
      <xdr:row>3</xdr:row>
      <xdr:rowOff>171449</xdr:rowOff>
    </xdr:from>
    <xdr:to>
      <xdr:col>40</xdr:col>
      <xdr:colOff>19050</xdr:colOff>
      <xdr:row>46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052B5D1-86D7-4BF9-B413-725D344C3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581025</xdr:colOff>
      <xdr:row>49</xdr:row>
      <xdr:rowOff>0</xdr:rowOff>
    </xdr:from>
    <xdr:to>
      <xdr:col>18</xdr:col>
      <xdr:colOff>471489</xdr:colOff>
      <xdr:row>91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09642C0-8D80-4DDB-A0B6-E624EED442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571499</xdr:colOff>
      <xdr:row>48</xdr:row>
      <xdr:rowOff>180975</xdr:rowOff>
    </xdr:from>
    <xdr:to>
      <xdr:col>37</xdr:col>
      <xdr:colOff>447674</xdr:colOff>
      <xdr:row>91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CDBA28F-BBF7-4200-9FFF-F0C591EC5B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96</xdr:row>
      <xdr:rowOff>0</xdr:rowOff>
    </xdr:from>
    <xdr:to>
      <xdr:col>18</xdr:col>
      <xdr:colOff>500064</xdr:colOff>
      <xdr:row>138</xdr:row>
      <xdr:rowOff>171450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778BDD0-A357-4EB3-81E5-E48C19666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74D47-F432-4863-9EF4-99AB69591884}">
  <sheetPr codeName="Sheet1"/>
  <dimension ref="A1:S297"/>
  <sheetViews>
    <sheetView topLeftCell="A234" workbookViewId="0">
      <selection activeCell="E19" sqref="E19"/>
    </sheetView>
  </sheetViews>
  <sheetFormatPr defaultRowHeight="15" x14ac:dyDescent="0.25"/>
  <cols>
    <col min="1" max="1" width="34.5703125" customWidth="1"/>
    <col min="2" max="2" width="18.140625" customWidth="1"/>
    <col min="3" max="3" width="21.5703125" customWidth="1"/>
    <col min="4" max="4" width="17.7109375" customWidth="1"/>
    <col min="5" max="5" width="16.28515625" customWidth="1"/>
    <col min="6" max="6" width="22.7109375" customWidth="1"/>
    <col min="7" max="7" width="16.42578125" customWidth="1"/>
    <col min="8" max="8" width="17.140625" customWidth="1"/>
    <col min="9" max="9" width="17.570312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s="21" t="s">
        <v>18</v>
      </c>
      <c r="B1" t="s">
        <v>86</v>
      </c>
      <c r="C1" t="s">
        <v>94</v>
      </c>
      <c r="D1" t="s">
        <v>62</v>
      </c>
      <c r="F1" s="48" t="s">
        <v>89</v>
      </c>
      <c r="G1" s="47"/>
      <c r="H1" s="47"/>
      <c r="I1" s="20"/>
    </row>
    <row r="2" spans="1:9" x14ac:dyDescent="0.25">
      <c r="A2" s="21" t="s">
        <v>20</v>
      </c>
      <c r="B2" s="2">
        <v>55</v>
      </c>
      <c r="C2" s="2">
        <f>CONVERT($B$2,"grain","g")</f>
        <v>3.5639400500000002</v>
      </c>
      <c r="F2" t="s">
        <v>90</v>
      </c>
      <c r="G2" s="2">
        <v>55</v>
      </c>
      <c r="H2" s="2">
        <f>CONVERT($G$2,"grain","g")</f>
        <v>3.5639400500000002</v>
      </c>
    </row>
    <row r="3" spans="1:9" x14ac:dyDescent="0.25">
      <c r="A3" s="21" t="s">
        <v>0</v>
      </c>
      <c r="B3" s="2">
        <v>0.224</v>
      </c>
      <c r="C3" s="2">
        <f>CONVERT($B$3,"in","mm")</f>
        <v>5.6896000000000004</v>
      </c>
      <c r="F3" t="s">
        <v>91</v>
      </c>
      <c r="G3" s="2">
        <v>0.224</v>
      </c>
      <c r="H3" s="2">
        <f>CONVERT($G$3,"in","mm")</f>
        <v>5.6896000000000004</v>
      </c>
    </row>
    <row r="4" spans="1:9" x14ac:dyDescent="0.25">
      <c r="A4" s="21" t="s">
        <v>11</v>
      </c>
      <c r="B4" s="2"/>
      <c r="C4" s="2"/>
      <c r="F4" t="s">
        <v>11</v>
      </c>
      <c r="G4" s="2"/>
      <c r="H4" s="2"/>
    </row>
    <row r="5" spans="1:9" x14ac:dyDescent="0.25">
      <c r="A5" s="21" t="s">
        <v>21</v>
      </c>
      <c r="B5" s="2">
        <v>0.30499999999999999</v>
      </c>
      <c r="C5" s="2"/>
      <c r="F5" t="s">
        <v>21</v>
      </c>
      <c r="G5" s="2">
        <v>0.30499999999999999</v>
      </c>
      <c r="H5" s="2"/>
    </row>
    <row r="6" spans="1:9" x14ac:dyDescent="0.25">
      <c r="A6" s="21" t="s">
        <v>87</v>
      </c>
      <c r="B6" s="2">
        <v>1633.9</v>
      </c>
      <c r="C6" s="2">
        <f>CONVERT($B$6,"J","flb")</f>
        <v>1205.102795704124</v>
      </c>
      <c r="F6" t="s">
        <v>92</v>
      </c>
      <c r="G6" s="2" cm="1">
        <f t="array" ref="G6">MuzzleVelocityToMuzzleEnergyFtLb(G7,G2)</f>
        <v>890.13621223499229</v>
      </c>
      <c r="H6" s="2" cm="1">
        <f t="array" ref="H6">MuzzleVelocityToMuzzleEnergyJoules(H7,H2)</f>
        <v>1206.8626530079312</v>
      </c>
    </row>
    <row r="7" spans="1:9" x14ac:dyDescent="0.25">
      <c r="A7" s="21" t="s">
        <v>88</v>
      </c>
      <c r="B7" s="2">
        <f xml:space="preserve"> SQRT(2*$B$6/($C$2/1000))</f>
        <v>957.55237811394568</v>
      </c>
      <c r="C7" s="2">
        <f>CONVERT($B$7,"m","ft")</f>
        <v>3141.5760436809242</v>
      </c>
      <c r="F7" t="s">
        <v>93</v>
      </c>
      <c r="G7" s="2">
        <v>2700</v>
      </c>
      <c r="H7" s="2">
        <f>CONVERT($G$7,"ft","m")</f>
        <v>822.96</v>
      </c>
    </row>
    <row r="8" spans="1:9" ht="30" x14ac:dyDescent="0.25">
      <c r="A8" s="21" t="s">
        <v>1</v>
      </c>
      <c r="B8" s="2">
        <v>0</v>
      </c>
      <c r="C8" s="2"/>
      <c r="F8" s="41" t="s">
        <v>95</v>
      </c>
      <c r="G8" s="2">
        <v>1800</v>
      </c>
      <c r="H8" s="2">
        <f>CONVERT($G$8,"ft","m")</f>
        <v>548.64</v>
      </c>
    </row>
    <row r="9" spans="1:9" x14ac:dyDescent="0.25">
      <c r="A9" s="21" t="s">
        <v>3</v>
      </c>
      <c r="B9" s="2">
        <v>270</v>
      </c>
      <c r="C9" s="2"/>
      <c r="G9" s="2"/>
      <c r="H9" s="2"/>
    </row>
    <row r="10" spans="1:9" x14ac:dyDescent="0.25">
      <c r="A10" s="21" t="s">
        <v>77</v>
      </c>
      <c r="B10" s="2">
        <v>8.9</v>
      </c>
      <c r="C10" s="2">
        <f>CONVERT($B$10,"m/sec","km/hr")</f>
        <v>32.04</v>
      </c>
      <c r="G10" s="2"/>
      <c r="H10" s="2"/>
    </row>
    <row r="11" spans="1:9" x14ac:dyDescent="0.25">
      <c r="A11" s="21" t="s">
        <v>74</v>
      </c>
      <c r="B11" s="2">
        <v>0.5</v>
      </c>
      <c r="C11" s="28"/>
      <c r="G11" s="2"/>
      <c r="H11" s="2"/>
    </row>
    <row r="12" spans="1:9" x14ac:dyDescent="0.25">
      <c r="A12" s="21" t="s">
        <v>75</v>
      </c>
      <c r="B12" s="2" cm="1">
        <f t="array" ref="B12">MOAToMRAD($B$11)</f>
        <v>0.14544410433286079</v>
      </c>
      <c r="C12" s="28">
        <f>$B$12/2</f>
        <v>7.2722052166430393E-2</v>
      </c>
      <c r="G12" s="2"/>
      <c r="H12" s="2"/>
    </row>
    <row r="13" spans="1:9" x14ac:dyDescent="0.25">
      <c r="A13" s="21" t="s">
        <v>26</v>
      </c>
      <c r="B13" s="2">
        <f>CONVERT(1.5,"in","cm")</f>
        <v>3.81</v>
      </c>
      <c r="D13" s="2">
        <f>CONVERT($B$13,"cm","in")</f>
        <v>1.5</v>
      </c>
      <c r="G13" s="2"/>
      <c r="H13" s="2"/>
    </row>
    <row r="14" spans="1:9" x14ac:dyDescent="0.25">
      <c r="A14" s="21" t="s">
        <v>5</v>
      </c>
      <c r="B14" t="s">
        <v>73</v>
      </c>
      <c r="G14" s="2"/>
      <c r="H14" s="2"/>
    </row>
    <row r="15" spans="1:9" x14ac:dyDescent="0.25">
      <c r="A15" t="s">
        <v>76</v>
      </c>
      <c r="B15" s="20" t="s">
        <v>84</v>
      </c>
      <c r="C15" s="20" t="s">
        <v>81</v>
      </c>
      <c r="D15" s="20" t="s">
        <v>82</v>
      </c>
      <c r="E15" s="20" t="s">
        <v>83</v>
      </c>
      <c r="G15" s="2"/>
      <c r="H15" s="2"/>
    </row>
    <row r="16" spans="1:9" x14ac:dyDescent="0.25">
      <c r="A16" s="21" t="s">
        <v>79</v>
      </c>
      <c r="B16" s="2">
        <v>0.625</v>
      </c>
      <c r="C16">
        <f>$B16/2</f>
        <v>0.3125</v>
      </c>
      <c r="D16" s="2">
        <f>$B$16 * $B$18</f>
        <v>0.36361026083215198</v>
      </c>
      <c r="E16" s="25">
        <f>$D16/2</f>
        <v>0.18180513041607599</v>
      </c>
      <c r="G16" s="2"/>
      <c r="H16" s="2"/>
    </row>
    <row r="17" spans="1:17" x14ac:dyDescent="0.25">
      <c r="A17" s="21" t="s">
        <v>80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5">
        <f>$D17/2</f>
        <v>7.2722052166430393E-2</v>
      </c>
      <c r="G17" s="2"/>
      <c r="H17" s="2"/>
    </row>
    <row r="18" spans="1:17" x14ac:dyDescent="0.25">
      <c r="A18" s="11" t="s">
        <v>78</v>
      </c>
      <c r="B18" s="12">
        <f>$B$12/$B$17</f>
        <v>0.58177641733144314</v>
      </c>
      <c r="C18" s="2"/>
      <c r="G18" s="2"/>
      <c r="H18" s="2"/>
      <c r="J18" s="2">
        <v>5.05</v>
      </c>
      <c r="K18" s="2">
        <v>4</v>
      </c>
      <c r="L18" s="2">
        <v>4</v>
      </c>
      <c r="M18" s="2">
        <v>4</v>
      </c>
      <c r="N18" s="2">
        <v>4</v>
      </c>
      <c r="O18" s="2">
        <v>3.75</v>
      </c>
      <c r="P18" s="2">
        <v>4.25</v>
      </c>
    </row>
    <row r="19" spans="1:17" x14ac:dyDescent="0.25">
      <c r="A19" s="38" t="s">
        <v>85</v>
      </c>
      <c r="B19" s="39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G19" s="2"/>
      <c r="H19" s="2"/>
      <c r="J19" s="2"/>
      <c r="K19" s="2"/>
      <c r="L19" s="2"/>
      <c r="M19" s="2"/>
      <c r="N19" s="2"/>
      <c r="O19" s="2"/>
      <c r="P19" s="2"/>
    </row>
    <row r="20" spans="1:17" x14ac:dyDescent="0.25">
      <c r="C20" s="47" t="s">
        <v>24</v>
      </c>
      <c r="D20" s="47"/>
      <c r="E20" s="47"/>
      <c r="F20" s="47"/>
      <c r="G20" s="47"/>
      <c r="H20" s="13"/>
      <c r="I20" s="13"/>
      <c r="J20" s="47" t="s">
        <v>25</v>
      </c>
      <c r="K20" s="47"/>
      <c r="L20" s="47"/>
      <c r="M20" s="47"/>
      <c r="N20" s="47"/>
      <c r="O20" s="13"/>
      <c r="P20" s="13"/>
      <c r="Q20" s="33" t="s">
        <v>29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31</v>
      </c>
      <c r="I21" t="s">
        <v>32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31</v>
      </c>
      <c r="P21" s="30" t="s">
        <v>32</v>
      </c>
      <c r="Q21" s="33" t="s">
        <v>30</v>
      </c>
    </row>
    <row r="22" spans="1:17" x14ac:dyDescent="0.25">
      <c r="A22" s="1">
        <v>0</v>
      </c>
      <c r="B22" s="1">
        <v>1633.9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1">
        <f t="shared" si="1"/>
        <v>-3.81</v>
      </c>
      <c r="Q22" s="34">
        <v>0</v>
      </c>
    </row>
    <row r="23" spans="1:17" x14ac:dyDescent="0.25">
      <c r="A23" s="1">
        <v>25</v>
      </c>
      <c r="B23" s="1">
        <v>1554.6</v>
      </c>
      <c r="C23" s="6">
        <v>-0.25</v>
      </c>
      <c r="D23" s="6">
        <v>-0.33300000000000002</v>
      </c>
      <c r="E23" s="6">
        <v>-0.3125</v>
      </c>
      <c r="F23" s="6">
        <v>-0.2</v>
      </c>
      <c r="G23" s="6">
        <v>-8.3000000000000004E-2</v>
      </c>
      <c r="H23" s="6">
        <v>0.16700000000000001</v>
      </c>
      <c r="I23" s="14">
        <v>0.5</v>
      </c>
      <c r="J23" s="9" cm="1">
        <f t="array" ref="J23">TrajectoryDropInCM(C23,$A23,J$18)</f>
        <v>-3.1562516769232696</v>
      </c>
      <c r="K23" s="9" cm="1">
        <f t="array" ref="K23">TrajectoryDropInCM(D23,$A23,K$18)</f>
        <v>-3.3300019693900382</v>
      </c>
      <c r="L23" s="9" cm="1">
        <f t="array" ref="L23">TrajectoryDropInCM(E23,$A23,L$18)</f>
        <v>-3.125001627605184</v>
      </c>
      <c r="M23" s="9" cm="1">
        <f t="array" ref="M23">TrajectoryDropInCM(F23,$A23,M$18)</f>
        <v>-2.0000004266667757</v>
      </c>
      <c r="N23" s="9" cm="1">
        <f t="array" ref="N23">TrajectoryDropInCM(G23,$A23,N$18)</f>
        <v>-0.83000003049530802</v>
      </c>
      <c r="O23" s="9" cm="1">
        <f t="array" ref="O23">TrajectoryDropInCM(H23,$A23,O$18)</f>
        <v>1.5656252046736991</v>
      </c>
      <c r="P23" s="32" cm="1">
        <f t="array" ref="P23">TrajectoryDropInCM(I23,$A23,P$18)</f>
        <v>5.3125079964337152</v>
      </c>
      <c r="Q23" s="34" cm="1">
        <f t="array" ref="Q23">TrajectoryErrorCM($E$19,1,$A23)</f>
        <v>0.37561137059069255</v>
      </c>
    </row>
    <row r="24" spans="1:17" x14ac:dyDescent="0.25">
      <c r="A24" s="1">
        <v>50</v>
      </c>
      <c r="B24" s="1">
        <v>1472.4</v>
      </c>
      <c r="C24" s="7">
        <v>0</v>
      </c>
      <c r="D24" s="6">
        <v>-8.3000000000000004E-2</v>
      </c>
      <c r="E24" s="6">
        <v>-6.25E-2</v>
      </c>
      <c r="F24" s="6">
        <v>6.25E-2</v>
      </c>
      <c r="G24" s="6">
        <v>0.16700000000000001</v>
      </c>
      <c r="H24" s="6">
        <v>0.41699999999999998</v>
      </c>
      <c r="I24" s="14">
        <v>0.75</v>
      </c>
      <c r="J24" s="9" cm="1">
        <f t="array" ref="J24">TrajectoryDropInCM(C24,$A24,J$18)</f>
        <v>0</v>
      </c>
      <c r="K24" s="9" cm="1">
        <f t="array" ref="K24">TrajectoryDropInCM(D24,$A24,K$18)</f>
        <v>-1.660000060990616</v>
      </c>
      <c r="L24" s="9" cm="1">
        <f t="array" ref="L24">TrajectoryDropInCM(E24,$A24,L$18)</f>
        <v>-1.250000026041667</v>
      </c>
      <c r="M24" s="9" cm="1">
        <f t="array" ref="M24">TrajectoryDropInCM(F24,$A24,M$18)</f>
        <v>1.250000026041667</v>
      </c>
      <c r="N24" s="9" cm="1">
        <f t="array" ref="N24">TrajectoryDropInCM(G24,$A24,N$18)</f>
        <v>3.3400004967961423</v>
      </c>
      <c r="O24" s="9" cm="1">
        <f t="array" ref="O24">TrajectoryDropInCM(H24,$A24,O$18)</f>
        <v>7.8187563731060106</v>
      </c>
      <c r="P24" s="32" cm="1">
        <f t="array" ref="P24">TrajectoryDropInCM(I24,$A24,P$18)</f>
        <v>15.937553976049438</v>
      </c>
      <c r="Q24" s="34" cm="1">
        <f t="array" ref="Q24">TrajectoryErrorCM($E$19,1,$A24)</f>
        <v>0.7512227411813851</v>
      </c>
    </row>
    <row r="25" spans="1:17" x14ac:dyDescent="0.25">
      <c r="A25" s="1">
        <v>75</v>
      </c>
      <c r="B25" s="1">
        <v>1381.7</v>
      </c>
      <c r="C25" s="6">
        <v>8.3000000000000004E-2</v>
      </c>
      <c r="D25" s="6">
        <v>0</v>
      </c>
      <c r="E25" s="6">
        <v>6.25E-2</v>
      </c>
      <c r="F25" s="6">
        <v>0.125</v>
      </c>
      <c r="G25" s="6">
        <v>0.3125</v>
      </c>
      <c r="H25" s="6">
        <v>0.5</v>
      </c>
      <c r="I25" s="14">
        <v>0.83299999999999996</v>
      </c>
      <c r="J25" s="9" cm="1">
        <f t="array" ref="J25">TrajectoryDropInCM(C25,$A25,J$18)</f>
        <v>3.1436251840977376</v>
      </c>
      <c r="K25" s="9" cm="1">
        <f t="array" ref="K25">TrajectoryDropInCM(D25,$A25,K$18)</f>
        <v>0</v>
      </c>
      <c r="L25" s="9" cm="1">
        <f t="array" ref="L25">TrajectoryDropInCM(E25,$A25,L$18)</f>
        <v>1.8750000390625008</v>
      </c>
      <c r="M25" s="9" cm="1">
        <f t="array" ref="M25">TrajectoryDropInCM(F25,$A25,M$18)</f>
        <v>3.7500003125000307</v>
      </c>
      <c r="N25" s="9" cm="1">
        <f t="array" ref="N25">TrajectoryDropInCM(G25,$A25,N$18)</f>
        <v>9.3750048828155528</v>
      </c>
      <c r="O25" s="9" cm="1">
        <f t="array" ref="O25">TrajectoryDropInCM(H25,$A25,O$18)</f>
        <v>14.062516479515361</v>
      </c>
      <c r="P25" s="32" cm="1">
        <f t="array" ref="P25">TrajectoryDropInCM(I25,$A25,P$18)</f>
        <v>26.551985928714533</v>
      </c>
      <c r="Q25" s="34" cm="1">
        <f t="array" ref="Q25">TrajectoryErrorCM($E$19,1,$A25)</f>
        <v>1.1268341117720777</v>
      </c>
    </row>
    <row r="26" spans="1:17" x14ac:dyDescent="0.25">
      <c r="A26" s="1">
        <v>100</v>
      </c>
      <c r="B26" s="1">
        <v>1298.2</v>
      </c>
      <c r="C26" s="6">
        <v>8.3000000000000004E-2</v>
      </c>
      <c r="D26" s="7">
        <v>0</v>
      </c>
      <c r="E26" s="6">
        <v>6.25E-2</v>
      </c>
      <c r="F26" s="6">
        <v>0.125</v>
      </c>
      <c r="G26" s="6">
        <v>0.3125</v>
      </c>
      <c r="H26" s="6">
        <v>0.5</v>
      </c>
      <c r="I26" s="14">
        <v>0.82499999999999996</v>
      </c>
      <c r="J26" s="9" cm="1">
        <f t="array" ref="J26">TrajectoryDropInCM(C26,$A26,J$18)</f>
        <v>4.1915002454636499</v>
      </c>
      <c r="K26" s="9" cm="1">
        <f t="array" ref="K26">TrajectoryDropInCM(D26,$A26,K$18)</f>
        <v>0</v>
      </c>
      <c r="L26" s="9" cm="1">
        <f t="array" ref="L26">TrajectoryDropInCM(E26,$A26,L$18)</f>
        <v>2.5000000520833341</v>
      </c>
      <c r="M26" s="9" cm="1">
        <f t="array" ref="M26">TrajectoryDropInCM(F26,$A26,M$18)</f>
        <v>5.0000004166667074</v>
      </c>
      <c r="N26" s="9" cm="1">
        <f t="array" ref="N26">TrajectoryDropInCM(G26,$A26,N$18)</f>
        <v>12.500006510420736</v>
      </c>
      <c r="O26" s="9" cm="1">
        <f t="array" ref="O26">TrajectoryDropInCM(H26,$A26,O$18)</f>
        <v>18.750021972687147</v>
      </c>
      <c r="P26" s="32" cm="1">
        <f t="array" ref="P26">TrajectoryDropInCM(I26,$A26,P$18)</f>
        <v>35.062643684366243</v>
      </c>
      <c r="Q26" s="34" cm="1">
        <f t="array" ref="Q26">TrajectoryErrorCM($E$19,1,$A26)</f>
        <v>1.5024454823627702</v>
      </c>
    </row>
    <row r="27" spans="1:17" x14ac:dyDescent="0.25">
      <c r="A27" s="1">
        <v>125</v>
      </c>
      <c r="B27" s="1">
        <v>1220.7</v>
      </c>
      <c r="C27" s="6">
        <v>8.3000000000000004E-2</v>
      </c>
      <c r="D27" s="6">
        <v>0</v>
      </c>
      <c r="E27" s="6">
        <v>6.25E-2</v>
      </c>
      <c r="F27" s="6">
        <v>0.125</v>
      </c>
      <c r="G27" s="6">
        <v>0.3125</v>
      </c>
      <c r="H27" s="6">
        <v>0.5</v>
      </c>
      <c r="I27" s="14">
        <v>0.83299999999999996</v>
      </c>
      <c r="J27" s="9" cm="1">
        <f t="array" ref="J27">TrajectoryDropInCM(C27,$A27,J$18)</f>
        <v>5.2393753068295625</v>
      </c>
      <c r="K27" s="9" cm="1">
        <f t="array" ref="K27">TrajectoryDropInCM(D27,$A27,K$18)</f>
        <v>0</v>
      </c>
      <c r="L27" s="9" cm="1">
        <f t="array" ref="L27">TrajectoryDropInCM(E27,$A27,L$18)</f>
        <v>3.1250000651041678</v>
      </c>
      <c r="M27" s="9" cm="1">
        <f t="array" ref="M27">TrajectoryDropInCM(F27,$A27,M$18)</f>
        <v>6.2500005208333844</v>
      </c>
      <c r="N27" s="9" cm="1">
        <f t="array" ref="N27">TrajectoryDropInCM(G27,$A27,N$18)</f>
        <v>15.625008138025919</v>
      </c>
      <c r="O27" s="9" cm="1">
        <f t="array" ref="O27">TrajectoryDropInCM(H27,$A27,O$18)</f>
        <v>23.437527465858935</v>
      </c>
      <c r="P27" s="32" cm="1">
        <f t="array" ref="P27">TrajectoryDropInCM(I27,$A27,P$18)</f>
        <v>44.253309881190887</v>
      </c>
      <c r="Q27" s="34" cm="1">
        <f t="array" ref="Q27">TrajectoryErrorCM($E$19,1,$A27)</f>
        <v>1.8780568529534629</v>
      </c>
    </row>
    <row r="28" spans="1:17" x14ac:dyDescent="0.25">
      <c r="A28" s="1">
        <v>150</v>
      </c>
      <c r="B28" s="1">
        <v>1150</v>
      </c>
      <c r="C28" s="6">
        <v>8.3000000000000004E-2</v>
      </c>
      <c r="D28" s="6">
        <v>-6.25E-2</v>
      </c>
      <c r="E28" s="7">
        <v>0</v>
      </c>
      <c r="F28" s="6">
        <v>8.3000000000000004E-2</v>
      </c>
      <c r="G28" s="6">
        <v>0.25</v>
      </c>
      <c r="H28" s="6">
        <v>0.5</v>
      </c>
      <c r="I28" s="14">
        <v>0.8125</v>
      </c>
      <c r="J28" s="9" cm="1">
        <f t="array" ref="J28">TrajectoryDropInCM(C28,$A28,J$18)</f>
        <v>6.2872503681954752</v>
      </c>
      <c r="K28" s="9" cm="1">
        <f t="array" ref="K28">TrajectoryDropInCM(D28,$A28,K$18)</f>
        <v>-3.7500000781250016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28.125032959030722</v>
      </c>
      <c r="P28" s="32" cm="1">
        <f t="array" ref="P28">TrajectoryDropInCM(I28,$A28,P$18)</f>
        <v>51.797080877542179</v>
      </c>
      <c r="Q28" s="34" cm="1">
        <f t="array" ref="Q28">TrajectoryErrorCM($E$19,1,$A28)</f>
        <v>2.2536682235441554</v>
      </c>
    </row>
    <row r="29" spans="1:17" x14ac:dyDescent="0.25">
      <c r="A29" s="1">
        <v>200</v>
      </c>
      <c r="B29" s="1">
        <v>1012.5</v>
      </c>
      <c r="C29" s="6">
        <v>0</v>
      </c>
      <c r="D29" s="6">
        <v>-0.125</v>
      </c>
      <c r="E29" s="6">
        <v>-8.3000000000000004E-2</v>
      </c>
      <c r="F29" s="7">
        <v>0</v>
      </c>
      <c r="G29" s="6">
        <v>0.16700000000000001</v>
      </c>
      <c r="H29" s="6">
        <v>0.41699999999999998</v>
      </c>
      <c r="I29" s="14">
        <v>0.75</v>
      </c>
      <c r="J29" s="9" cm="1">
        <f t="array" ref="J29">TrajectoryDropInCM(C29,$A29,J$18)</f>
        <v>0</v>
      </c>
      <c r="K29" s="9" cm="1">
        <f t="array" ref="K29">TrajectoryDropInCM(D29,$A29,K$18)</f>
        <v>-10.000000833333415</v>
      </c>
      <c r="L29" s="9" cm="1">
        <f t="array" ref="L29">TrajectoryDropInCM(E29,$A29,L$18)</f>
        <v>-6.6400002439624641</v>
      </c>
      <c r="M29" s="9" cm="1">
        <f t="array" ref="M29">TrajectoryDropInCM(F29,$A29,M$18)</f>
        <v>0</v>
      </c>
      <c r="N29" s="9" cm="1">
        <f t="array" ref="N29">TrajectoryDropInCM(G29,$A29,N$18)</f>
        <v>13.360001987184569</v>
      </c>
      <c r="O29" s="9" cm="1">
        <f t="array" ref="O29">TrajectoryDropInCM(H29,$A29,O$18)</f>
        <v>31.275025492424042</v>
      </c>
      <c r="P29" s="32" cm="1">
        <f t="array" ref="P29">TrajectoryDropInCM(I29,$A29,P$18)</f>
        <v>63.750215904197752</v>
      </c>
      <c r="Q29" s="34" cm="1">
        <f t="array" ref="Q29">TrajectoryErrorCM($E$19,1,$A29)</f>
        <v>3.0048909647255404</v>
      </c>
    </row>
    <row r="30" spans="1:17" x14ac:dyDescent="0.25">
      <c r="A30" s="1">
        <v>250</v>
      </c>
      <c r="B30" s="1">
        <v>895.2</v>
      </c>
      <c r="C30" s="6">
        <v>-0.1</v>
      </c>
      <c r="D30" s="6">
        <v>-0.125</v>
      </c>
      <c r="E30" s="6">
        <v>-0.125</v>
      </c>
      <c r="F30" s="6">
        <v>-8.3000000000000004E-2</v>
      </c>
      <c r="G30" s="6">
        <v>0.125</v>
      </c>
      <c r="H30" s="6">
        <v>0.375</v>
      </c>
      <c r="I30" s="14">
        <v>0.625</v>
      </c>
      <c r="J30" s="9" cm="1">
        <f t="array" ref="J30">TrajectoryDropInCM(C30,$A30,J$18)</f>
        <v>-12.625001073230321</v>
      </c>
      <c r="K30" s="9" cm="1">
        <f t="array" ref="K30">TrajectoryDropInCM(D30,$A30,K$18)</f>
        <v>-12.500001041666769</v>
      </c>
      <c r="L30" s="9" cm="1">
        <f t="array" ref="L30">TrajectoryDropInCM(E30,$A30,L$18)</f>
        <v>-12.500001041666769</v>
      </c>
      <c r="M30" s="9" cm="1">
        <f t="array" ref="M30">TrajectoryDropInCM(F30,$A30,M$18)</f>
        <v>-8.3000003049530804</v>
      </c>
      <c r="N30" s="9" cm="1">
        <f t="array" ref="N30">TrajectoryDropInCM(G30,$A30,N$18)</f>
        <v>12.500001041666769</v>
      </c>
      <c r="O30" s="9" cm="1">
        <f t="array" ref="O30">TrajectoryDropInCM(H30,$A30,O$18)</f>
        <v>35.156273174304218</v>
      </c>
      <c r="P30" s="32" cm="1">
        <f t="array" ref="P30">TrajectoryDropInCM(I30,$A30,P$18)</f>
        <v>66.406406180504661</v>
      </c>
      <c r="Q30" s="34" cm="1">
        <f t="array" ref="Q30">TrajectoryErrorCM($E$19,1,$A30)</f>
        <v>3.7561137059069258</v>
      </c>
    </row>
    <row r="31" spans="1:17" x14ac:dyDescent="0.25">
      <c r="A31" s="1">
        <v>300</v>
      </c>
      <c r="B31" s="1">
        <v>779.7</v>
      </c>
      <c r="C31" s="6">
        <v>-0.16700000000000001</v>
      </c>
      <c r="D31" s="6">
        <v>-0.33300000000000002</v>
      </c>
      <c r="E31" s="6">
        <v>-0.25</v>
      </c>
      <c r="F31" s="6">
        <v>-0.16700000000000001</v>
      </c>
      <c r="G31" s="7">
        <v>0</v>
      </c>
      <c r="H31" s="17">
        <v>0.25</v>
      </c>
      <c r="I31" s="18">
        <v>0.51249999999999996</v>
      </c>
      <c r="J31" s="9" cm="1">
        <f t="array" ref="J31">TrajectoryDropInCM(C31,$A31,J$18)</f>
        <v>-25.300505998237693</v>
      </c>
      <c r="K31" s="9" cm="1">
        <f t="array" ref="K31">TrajectoryDropInCM(D31,$A31,K$18)</f>
        <v>-39.960023632680461</v>
      </c>
      <c r="L31" s="9" cm="1">
        <f t="array" ref="L31">TrajectoryDropInCM(E31,$A31,L$18)</f>
        <v>-30.000010000004</v>
      </c>
      <c r="M31" s="9" cm="1">
        <f t="array" ref="M31">TrajectoryDropInCM(F31,$A31,M$18)</f>
        <v>-20.040002980776855</v>
      </c>
      <c r="N31" s="9" cm="1">
        <f t="array" ref="N31">TrajectoryDropInCM(G31,$A31,N$18)</f>
        <v>0</v>
      </c>
      <c r="O31" s="9" cm="1">
        <f t="array" ref="O31">TrajectoryDropInCM(H31,$A31,O$18)</f>
        <v>28.12500823974899</v>
      </c>
      <c r="P31" s="32" cm="1">
        <f t="array" ref="P31">TrajectoryDropInCM(I31,$A31,P$18)</f>
        <v>65.343853335423447</v>
      </c>
      <c r="Q31" s="34" cm="1">
        <f t="array" ref="Q31">TrajectoryErrorCM($E$19,1,$A31)</f>
        <v>4.5073364470883108</v>
      </c>
    </row>
    <row r="32" spans="1:17" x14ac:dyDescent="0.25">
      <c r="A32" s="1">
        <v>350</v>
      </c>
      <c r="B32" s="1">
        <v>677</v>
      </c>
      <c r="C32" s="6">
        <v>-0.3</v>
      </c>
      <c r="D32" s="6">
        <v>-0.375</v>
      </c>
      <c r="E32" s="6">
        <v>-0.375</v>
      </c>
      <c r="F32" s="6">
        <v>-0.3</v>
      </c>
      <c r="G32" s="6">
        <v>-0.125</v>
      </c>
      <c r="H32" s="6">
        <v>0.125</v>
      </c>
      <c r="I32" s="14">
        <v>0.4</v>
      </c>
      <c r="J32" s="9" cm="1">
        <f t="array" ref="J32">TrajectoryDropInCM(C32,$A32,J$18)</f>
        <v>-53.025040568139111</v>
      </c>
      <c r="K32" s="9" cm="1">
        <f t="array" ref="K32">TrajectoryDropInCM(D32,$A32,K$18)</f>
        <v>-52.500039375035435</v>
      </c>
      <c r="L32" s="9" cm="1">
        <f t="array" ref="L32">TrajectoryDropInCM(E32,$A32,L$18)</f>
        <v>-52.500039375035435</v>
      </c>
      <c r="M32" s="9" cm="1">
        <f t="array" ref="M32">TrajectoryDropInCM(F32,$A32,M$18)</f>
        <v>-42.000020160011601</v>
      </c>
      <c r="N32" s="9" cm="1">
        <f t="array" ref="N32">TrajectoryDropInCM(G32,$A32,N$18)</f>
        <v>-17.500001458333479</v>
      </c>
      <c r="O32" s="9" cm="1">
        <f t="array" ref="O32">TrajectoryDropInCM(H32,$A32,O$18)</f>
        <v>16.406251201629747</v>
      </c>
      <c r="P32" s="32" cm="1">
        <f t="array" ref="P32">TrajectoryDropInCM(I32,$A32,P$18)</f>
        <v>59.500057318399598</v>
      </c>
      <c r="Q32" s="34" cm="1">
        <f t="array" ref="Q32">TrajectoryErrorCM($E$19,1,$A32)</f>
        <v>5.2585591882696958</v>
      </c>
    </row>
    <row r="33" spans="1:17" x14ac:dyDescent="0.25">
      <c r="A33" s="1">
        <v>400</v>
      </c>
      <c r="B33" s="1">
        <v>591.6</v>
      </c>
      <c r="C33" s="6">
        <v>-0.47499999999999998</v>
      </c>
      <c r="D33" s="6">
        <v>-0.56999999999999995</v>
      </c>
      <c r="E33" s="6">
        <v>-0.5</v>
      </c>
      <c r="F33" s="6">
        <v>-0.41699999999999998</v>
      </c>
      <c r="G33" s="6">
        <v>-0.25</v>
      </c>
      <c r="H33" s="7">
        <v>0</v>
      </c>
      <c r="I33" s="14">
        <v>0.25</v>
      </c>
      <c r="J33" s="9" cm="1">
        <f t="array" ref="J33">TrajectoryDropInCM(C33,$A33,J$18)</f>
        <v>-95.950184032573532</v>
      </c>
      <c r="K33" s="9" cm="1">
        <f t="array" ref="K33">TrajectoryDropInCM(D33,$A33,K$18)</f>
        <v>-91.200158031688588</v>
      </c>
      <c r="L33" s="9" cm="1">
        <f t="array" ref="L33">TrajectoryDropInCM(E33,$A33,L$18)</f>
        <v>-80.000106666837326</v>
      </c>
      <c r="M33" s="9" cm="1">
        <f t="array" ref="M33">TrajectoryDropInCM(F33,$A33,M$18)</f>
        <v>-66.720061876730625</v>
      </c>
      <c r="N33" s="9" cm="1">
        <f t="array" ref="N33">TrajectoryDropInCM(G33,$A33,N$18)</f>
        <v>-40.000013333338671</v>
      </c>
      <c r="O33" s="9" cm="1">
        <f t="array" ref="O33">TrajectoryDropInCM(H33,$A33,O$18)</f>
        <v>0</v>
      </c>
      <c r="P33" s="32" cm="1">
        <f t="array" ref="P33">TrajectoryDropInCM(I33,$A33,P$18)</f>
        <v>42.500015992845761</v>
      </c>
      <c r="Q33" s="34" cm="1">
        <f t="array" ref="Q33">TrajectoryErrorCM($E$19,1,$A33)</f>
        <v>6.0097819294510808</v>
      </c>
    </row>
    <row r="34" spans="1:17" x14ac:dyDescent="0.25">
      <c r="A34" s="1">
        <v>450</v>
      </c>
      <c r="B34" s="1">
        <v>511</v>
      </c>
      <c r="C34" s="6">
        <v>-0.6</v>
      </c>
      <c r="D34" s="6">
        <v>-0.66700000000000004</v>
      </c>
      <c r="E34" s="6">
        <v>-0.625</v>
      </c>
      <c r="F34" s="6">
        <v>-0.58299999999999996</v>
      </c>
      <c r="G34" s="6">
        <v>-0.4</v>
      </c>
      <c r="H34" s="6">
        <v>-0.125</v>
      </c>
      <c r="I34" s="14">
        <v>0.125</v>
      </c>
      <c r="J34" s="9" cm="1">
        <f t="array" ref="J34">TrajectoryDropInCM(C34,$A34,J$18)</f>
        <v>-136.35041727343736</v>
      </c>
      <c r="K34" s="9" cm="1">
        <f t="array" ref="K34">TrajectoryDropInCM(D34,$A34,K$18)</f>
        <v>-120.0602848721356</v>
      </c>
      <c r="L34" s="9" cm="1">
        <f t="array" ref="L34">TrajectoryDropInCM(E34,$A34,L$18)</f>
        <v>-112.50023437558593</v>
      </c>
      <c r="M34" s="9" cm="1">
        <f t="array" ref="M34">TrajectoryDropInCM(F34,$A34,M$18)</f>
        <v>-104.94019022948933</v>
      </c>
      <c r="N34" s="9" cm="1">
        <f t="array" ref="N34">TrajectoryDropInCM(G34,$A34,N$18)</f>
        <v>-72.000061440062922</v>
      </c>
      <c r="O34" s="9" cm="1">
        <f t="array" ref="O34">TrajectoryDropInCM(H34,$A34,O$18)</f>
        <v>-21.093751544952529</v>
      </c>
      <c r="P34" s="32" cm="1">
        <f t="array" ref="P34">TrajectoryDropInCM(I34,$A34,P$18)</f>
        <v>23.906252248993177</v>
      </c>
      <c r="Q34" s="34" cm="1">
        <f t="array" ref="Q34">TrajectoryErrorCM($E$19,1,$A34)</f>
        <v>6.7610046706324667</v>
      </c>
    </row>
    <row r="35" spans="1:17" x14ac:dyDescent="0.25">
      <c r="A35" s="1">
        <v>500</v>
      </c>
      <c r="B35" s="1"/>
      <c r="C35" s="6"/>
      <c r="D35" s="6"/>
      <c r="E35" s="6"/>
      <c r="F35" s="6"/>
      <c r="G35" s="6"/>
      <c r="H35" s="6"/>
      <c r="I35" s="15"/>
      <c r="J35" s="9"/>
      <c r="K35" s="9"/>
      <c r="L35" s="9"/>
      <c r="M35" s="9"/>
      <c r="N35" s="9"/>
      <c r="O35" s="9"/>
      <c r="P35" s="32"/>
      <c r="Q35" s="34"/>
    </row>
    <row r="77" spans="1:19" x14ac:dyDescent="0.25">
      <c r="A77" t="s">
        <v>27</v>
      </c>
    </row>
    <row r="78" spans="1:19" x14ac:dyDescent="0.25">
      <c r="A78" t="s">
        <v>54</v>
      </c>
      <c r="K78" t="s">
        <v>47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33</v>
      </c>
      <c r="H79" t="s">
        <v>34</v>
      </c>
      <c r="I79" t="s">
        <v>35</v>
      </c>
      <c r="K79" t="s">
        <v>38</v>
      </c>
      <c r="L79" t="s">
        <v>39</v>
      </c>
      <c r="M79" t="s">
        <v>40</v>
      </c>
      <c r="N79" t="s">
        <v>41</v>
      </c>
      <c r="O79" t="s">
        <v>42</v>
      </c>
      <c r="P79" t="s">
        <v>34</v>
      </c>
      <c r="Q79" t="s">
        <v>43</v>
      </c>
      <c r="R79" t="s">
        <v>44</v>
      </c>
      <c r="S79" t="s">
        <v>45</v>
      </c>
    </row>
    <row r="80" spans="1:19" x14ac:dyDescent="0.25">
      <c r="A80" s="1">
        <v>0</v>
      </c>
      <c r="B80" s="1">
        <v>958</v>
      </c>
      <c r="C80" s="1">
        <v>1634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-3.8</v>
      </c>
      <c r="M80" s="1" t="s">
        <v>46</v>
      </c>
      <c r="N80" s="1" t="s">
        <v>46</v>
      </c>
      <c r="O80" s="1">
        <v>0</v>
      </c>
      <c r="P80" s="1" t="s">
        <v>46</v>
      </c>
      <c r="Q80" s="1" t="s">
        <v>46</v>
      </c>
      <c r="R80" s="1">
        <v>958</v>
      </c>
      <c r="S80" s="1">
        <v>1635</v>
      </c>
    </row>
    <row r="81" spans="1:19" x14ac:dyDescent="0.25">
      <c r="A81" s="1">
        <v>25</v>
      </c>
      <c r="B81" s="1">
        <v>930</v>
      </c>
      <c r="C81" s="1">
        <v>1542</v>
      </c>
      <c r="D81" s="1">
        <v>-1.6</v>
      </c>
      <c r="E81" s="1">
        <v>2.2000000000000002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-1.6</v>
      </c>
      <c r="M81" s="1">
        <v>-2.2000000000000002</v>
      </c>
      <c r="N81" s="1">
        <v>-0.6</v>
      </c>
      <c r="O81" s="1">
        <v>0</v>
      </c>
      <c r="P81" s="1">
        <v>0</v>
      </c>
      <c r="Q81" s="1">
        <v>0</v>
      </c>
      <c r="R81" s="1">
        <v>931</v>
      </c>
      <c r="S81" s="1">
        <v>1544</v>
      </c>
    </row>
    <row r="82" spans="1:19" x14ac:dyDescent="0.25">
      <c r="A82" s="10">
        <v>50</v>
      </c>
      <c r="B82" s="10">
        <v>903</v>
      </c>
      <c r="C82" s="10">
        <v>1455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0</v>
      </c>
      <c r="M82" s="10">
        <v>0</v>
      </c>
      <c r="N82" s="1">
        <v>0</v>
      </c>
      <c r="O82" s="1">
        <v>0</v>
      </c>
      <c r="P82" s="1">
        <v>0</v>
      </c>
      <c r="Q82" s="1">
        <v>0</v>
      </c>
      <c r="R82" s="1">
        <v>903</v>
      </c>
      <c r="S82" s="1">
        <v>1455</v>
      </c>
    </row>
    <row r="83" spans="1:19" x14ac:dyDescent="0.25">
      <c r="A83" s="1">
        <v>75</v>
      </c>
      <c r="B83" s="1">
        <v>877</v>
      </c>
      <c r="C83" s="1">
        <v>1372</v>
      </c>
      <c r="D83" s="1">
        <v>0.8</v>
      </c>
      <c r="E83" s="1">
        <v>-0.4</v>
      </c>
      <c r="F83" s="1">
        <v>-0.1</v>
      </c>
      <c r="G83" s="1">
        <v>0</v>
      </c>
      <c r="H83" s="1">
        <v>0</v>
      </c>
      <c r="I83" s="1">
        <v>0</v>
      </c>
      <c r="J83" s="1"/>
      <c r="K83" s="1">
        <v>75</v>
      </c>
      <c r="L83" s="1">
        <v>0.8</v>
      </c>
      <c r="M83" s="1">
        <v>0.4</v>
      </c>
      <c r="N83" s="1">
        <v>0.1</v>
      </c>
      <c r="O83" s="1">
        <v>0</v>
      </c>
      <c r="P83" s="1">
        <v>0</v>
      </c>
      <c r="Q83" s="1">
        <v>0</v>
      </c>
      <c r="R83" s="1">
        <v>878</v>
      </c>
      <c r="S83" s="1">
        <v>1373</v>
      </c>
    </row>
    <row r="84" spans="1:19" x14ac:dyDescent="0.25">
      <c r="A84" s="1">
        <v>100</v>
      </c>
      <c r="B84" s="1">
        <v>852</v>
      </c>
      <c r="C84" s="1">
        <v>1293</v>
      </c>
      <c r="D84" s="1">
        <v>0.7</v>
      </c>
      <c r="E84" s="1">
        <v>-0.3</v>
      </c>
      <c r="F84" s="1">
        <v>-0.1</v>
      </c>
      <c r="G84" s="1">
        <v>0</v>
      </c>
      <c r="H84" s="1">
        <v>0</v>
      </c>
      <c r="I84" s="1">
        <v>0</v>
      </c>
      <c r="J84" s="1"/>
      <c r="K84" s="1">
        <v>100</v>
      </c>
      <c r="L84" s="1">
        <v>0.8</v>
      </c>
      <c r="M84" s="1">
        <v>0.3</v>
      </c>
      <c r="N84" s="1">
        <v>0.1</v>
      </c>
      <c r="O84" s="1">
        <v>0</v>
      </c>
      <c r="P84" s="1">
        <v>0</v>
      </c>
      <c r="Q84" s="1">
        <v>0</v>
      </c>
      <c r="R84" s="1">
        <v>853</v>
      </c>
      <c r="S84" s="1">
        <v>1295</v>
      </c>
    </row>
    <row r="85" spans="1:19" x14ac:dyDescent="0.25">
      <c r="A85" s="1">
        <v>125</v>
      </c>
      <c r="B85" s="1">
        <v>827</v>
      </c>
      <c r="C85" s="1">
        <v>1218</v>
      </c>
      <c r="D85" s="1">
        <v>-0.2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/>
      <c r="K85" s="1">
        <v>125</v>
      </c>
      <c r="L85" s="1">
        <v>-0.1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827</v>
      </c>
      <c r="S85" s="1">
        <v>1218</v>
      </c>
    </row>
    <row r="86" spans="1:19" x14ac:dyDescent="0.25">
      <c r="A86" s="1">
        <v>150</v>
      </c>
      <c r="B86" s="1">
        <v>802</v>
      </c>
      <c r="C86" s="1">
        <v>1146</v>
      </c>
      <c r="D86" s="1">
        <v>-2</v>
      </c>
      <c r="E86" s="1">
        <v>0.5</v>
      </c>
      <c r="F86" s="1">
        <v>0.1</v>
      </c>
      <c r="G86" s="1">
        <v>0</v>
      </c>
      <c r="H86" s="1">
        <v>0</v>
      </c>
      <c r="I86" s="1">
        <v>0</v>
      </c>
      <c r="J86" s="1"/>
      <c r="K86" s="1">
        <v>150</v>
      </c>
      <c r="L86" s="1">
        <v>-1.8</v>
      </c>
      <c r="M86" s="1">
        <v>-0.4</v>
      </c>
      <c r="N86" s="1">
        <v>-0.1</v>
      </c>
      <c r="O86" s="1">
        <v>0</v>
      </c>
      <c r="P86" s="1">
        <v>0</v>
      </c>
      <c r="Q86" s="1">
        <v>0</v>
      </c>
      <c r="R86" s="1">
        <v>803</v>
      </c>
      <c r="S86" s="1">
        <v>1147</v>
      </c>
    </row>
    <row r="87" spans="1:19" x14ac:dyDescent="0.25">
      <c r="A87" s="1">
        <v>175</v>
      </c>
      <c r="B87" s="1">
        <v>778</v>
      </c>
      <c r="C87" s="1">
        <v>1078</v>
      </c>
      <c r="D87" s="1">
        <v>-4.7</v>
      </c>
      <c r="E87" s="1">
        <v>0.9</v>
      </c>
      <c r="F87" s="1">
        <v>0.3</v>
      </c>
      <c r="G87" s="1">
        <v>0</v>
      </c>
      <c r="H87" s="1">
        <v>0</v>
      </c>
      <c r="I87" s="1">
        <v>0</v>
      </c>
      <c r="J87" s="1"/>
      <c r="K87" s="1">
        <v>175</v>
      </c>
      <c r="L87" s="1">
        <v>-4.5</v>
      </c>
      <c r="M87" s="1">
        <v>-0.9</v>
      </c>
      <c r="N87" s="1">
        <v>-0.3</v>
      </c>
      <c r="O87" s="1">
        <v>0</v>
      </c>
      <c r="P87" s="1">
        <v>0</v>
      </c>
      <c r="Q87" s="1">
        <v>0</v>
      </c>
      <c r="R87" s="1">
        <v>778</v>
      </c>
      <c r="S87" s="1">
        <v>1081</v>
      </c>
    </row>
    <row r="88" spans="1:19" x14ac:dyDescent="0.25">
      <c r="A88" s="1">
        <v>200</v>
      </c>
      <c r="B88" s="1">
        <v>754</v>
      </c>
      <c r="C88" s="1">
        <v>1013</v>
      </c>
      <c r="D88" s="1">
        <v>-8.6999999999999993</v>
      </c>
      <c r="E88" s="1">
        <v>1.5</v>
      </c>
      <c r="F88" s="1">
        <v>0.4</v>
      </c>
      <c r="G88" s="1">
        <v>0</v>
      </c>
      <c r="H88" s="1">
        <v>0</v>
      </c>
      <c r="I88" s="1">
        <v>0</v>
      </c>
      <c r="J88" s="1"/>
      <c r="K88" s="1">
        <v>200</v>
      </c>
      <c r="L88" s="1">
        <v>-8.3000000000000007</v>
      </c>
      <c r="M88" s="1">
        <v>-1.4</v>
      </c>
      <c r="N88" s="1">
        <v>-0.4</v>
      </c>
      <c r="O88" s="1">
        <v>0</v>
      </c>
      <c r="P88" s="1">
        <v>0</v>
      </c>
      <c r="Q88" s="1">
        <v>0</v>
      </c>
      <c r="R88" s="1">
        <v>754</v>
      </c>
      <c r="S88" s="1">
        <v>1013</v>
      </c>
    </row>
    <row r="89" spans="1:19" x14ac:dyDescent="0.25">
      <c r="A89" s="1">
        <v>225</v>
      </c>
      <c r="B89" s="1">
        <v>730</v>
      </c>
      <c r="C89" s="1">
        <v>951</v>
      </c>
      <c r="D89" s="1">
        <v>-13.6</v>
      </c>
      <c r="E89" s="1">
        <v>2.1</v>
      </c>
      <c r="F89" s="1">
        <v>0.6</v>
      </c>
      <c r="G89" s="1">
        <v>0</v>
      </c>
      <c r="H89" s="1">
        <v>0</v>
      </c>
      <c r="I89" s="1">
        <v>0</v>
      </c>
      <c r="J89" s="1"/>
      <c r="K89" s="1">
        <v>225</v>
      </c>
      <c r="L89" s="1">
        <v>-12.9</v>
      </c>
      <c r="M89" s="1">
        <v>-2</v>
      </c>
      <c r="N89" s="1">
        <v>-0.6</v>
      </c>
      <c r="O89" s="1">
        <v>0</v>
      </c>
      <c r="P89" s="1">
        <v>0</v>
      </c>
      <c r="Q89" s="1">
        <v>0</v>
      </c>
      <c r="R89" s="1">
        <v>731</v>
      </c>
      <c r="S89" s="1">
        <v>952</v>
      </c>
    </row>
    <row r="90" spans="1:19" x14ac:dyDescent="0.25">
      <c r="A90" s="1">
        <v>250</v>
      </c>
      <c r="B90" s="1">
        <v>707</v>
      </c>
      <c r="C90" s="1">
        <v>892</v>
      </c>
      <c r="D90" s="1">
        <v>-19.8</v>
      </c>
      <c r="E90" s="1">
        <v>2.7</v>
      </c>
      <c r="F90" s="1">
        <v>0.8</v>
      </c>
      <c r="G90" s="1">
        <v>0</v>
      </c>
      <c r="H90" s="1">
        <v>0</v>
      </c>
      <c r="I90" s="1">
        <v>0</v>
      </c>
      <c r="J90" s="1"/>
      <c r="K90" s="1">
        <v>250</v>
      </c>
      <c r="L90" s="1">
        <v>-18.8</v>
      </c>
      <c r="M90" s="1">
        <v>-2.6</v>
      </c>
      <c r="N90" s="1">
        <v>-0.8</v>
      </c>
      <c r="O90" s="1">
        <v>0</v>
      </c>
      <c r="P90" s="1">
        <v>0</v>
      </c>
      <c r="Q90" s="1">
        <v>0</v>
      </c>
      <c r="R90" s="1">
        <v>708</v>
      </c>
      <c r="S90" s="1">
        <v>893</v>
      </c>
    </row>
    <row r="91" spans="1:19" x14ac:dyDescent="0.25">
      <c r="A91" s="1">
        <v>275</v>
      </c>
      <c r="B91" s="1">
        <v>685</v>
      </c>
      <c r="C91" s="1">
        <v>836</v>
      </c>
      <c r="D91" s="1">
        <v>-27.5</v>
      </c>
      <c r="E91" s="1">
        <v>3.4</v>
      </c>
      <c r="F91" s="1">
        <v>1</v>
      </c>
      <c r="G91" s="1">
        <v>0</v>
      </c>
      <c r="H91" s="1">
        <v>0</v>
      </c>
      <c r="I91" s="1">
        <v>0</v>
      </c>
      <c r="J91" s="1"/>
      <c r="K91" s="1">
        <v>275</v>
      </c>
      <c r="L91" s="1">
        <v>-26.1</v>
      </c>
      <c r="M91" s="1">
        <v>-3.3</v>
      </c>
      <c r="N91" s="1">
        <v>-1</v>
      </c>
      <c r="O91" s="1">
        <v>0</v>
      </c>
      <c r="P91" s="1">
        <v>0</v>
      </c>
      <c r="Q91" s="1">
        <v>0</v>
      </c>
      <c r="R91" s="1">
        <v>685</v>
      </c>
      <c r="S91" s="1">
        <v>837</v>
      </c>
    </row>
    <row r="92" spans="1:19" x14ac:dyDescent="0.25">
      <c r="A92" s="1">
        <v>300</v>
      </c>
      <c r="B92" s="1">
        <v>663</v>
      </c>
      <c r="C92" s="1">
        <v>782</v>
      </c>
      <c r="D92" s="1">
        <v>-36.299999999999997</v>
      </c>
      <c r="E92" s="1">
        <v>4.2</v>
      </c>
      <c r="F92" s="1">
        <v>1.2</v>
      </c>
      <c r="G92" s="1">
        <v>0</v>
      </c>
      <c r="H92" s="1">
        <v>0</v>
      </c>
      <c r="I92" s="1">
        <v>0</v>
      </c>
      <c r="J92" s="1"/>
      <c r="K92" s="1">
        <v>300</v>
      </c>
      <c r="L92" s="1">
        <v>-34.6</v>
      </c>
      <c r="M92" s="1">
        <v>-4</v>
      </c>
      <c r="N92" s="1">
        <v>-1.2</v>
      </c>
      <c r="O92" s="1">
        <v>0</v>
      </c>
      <c r="P92" s="1">
        <v>0</v>
      </c>
      <c r="Q92" s="1">
        <v>0</v>
      </c>
      <c r="R92" s="1">
        <v>663</v>
      </c>
      <c r="S92" s="1">
        <v>784</v>
      </c>
    </row>
    <row r="93" spans="1:19" x14ac:dyDescent="0.25">
      <c r="A93" s="1">
        <v>325</v>
      </c>
      <c r="B93" s="1">
        <v>641</v>
      </c>
      <c r="C93" s="1">
        <v>732</v>
      </c>
      <c r="D93" s="1">
        <v>-46.5</v>
      </c>
      <c r="E93" s="1">
        <v>4.9000000000000004</v>
      </c>
      <c r="F93" s="1">
        <v>1.4</v>
      </c>
      <c r="G93" s="1">
        <v>0</v>
      </c>
      <c r="H93" s="1">
        <v>0</v>
      </c>
      <c r="I93" s="1">
        <v>0</v>
      </c>
      <c r="J93" s="1"/>
      <c r="K93" s="1">
        <v>325</v>
      </c>
      <c r="L93" s="1">
        <v>-44.3</v>
      </c>
      <c r="M93" s="1">
        <v>-4.7</v>
      </c>
      <c r="N93" s="1">
        <v>-1.4</v>
      </c>
      <c r="O93" s="1">
        <v>0</v>
      </c>
      <c r="P93" s="1">
        <v>0</v>
      </c>
      <c r="Q93" s="1">
        <v>0</v>
      </c>
      <c r="R93" s="1">
        <v>642</v>
      </c>
      <c r="S93" s="1">
        <v>735</v>
      </c>
    </row>
    <row r="94" spans="1:19" x14ac:dyDescent="0.25">
      <c r="A94" s="1">
        <v>350</v>
      </c>
      <c r="B94" s="1">
        <v>619</v>
      </c>
      <c r="C94" s="1">
        <v>684</v>
      </c>
      <c r="D94" s="1">
        <v>-58.9</v>
      </c>
      <c r="E94" s="1">
        <v>5.8</v>
      </c>
      <c r="F94" s="1">
        <v>1.7</v>
      </c>
      <c r="G94" s="1">
        <v>0</v>
      </c>
      <c r="H94" s="1">
        <v>0</v>
      </c>
      <c r="I94" s="1">
        <v>0</v>
      </c>
      <c r="J94" s="1"/>
      <c r="K94" s="1">
        <v>350</v>
      </c>
      <c r="L94" s="1">
        <v>-55.9</v>
      </c>
      <c r="M94" s="1">
        <v>-5.5</v>
      </c>
      <c r="N94" s="1">
        <v>-1.6</v>
      </c>
      <c r="O94" s="1">
        <v>0</v>
      </c>
      <c r="P94" s="1">
        <v>0</v>
      </c>
      <c r="Q94" s="1">
        <v>0</v>
      </c>
      <c r="R94" s="1">
        <v>620</v>
      </c>
      <c r="S94" s="1">
        <v>685</v>
      </c>
    </row>
    <row r="95" spans="1:19" x14ac:dyDescent="0.25">
      <c r="A95" s="1">
        <v>375</v>
      </c>
      <c r="B95" s="1">
        <v>598</v>
      </c>
      <c r="C95" s="1">
        <v>638</v>
      </c>
      <c r="D95" s="1">
        <v>-72.5</v>
      </c>
      <c r="E95" s="1">
        <v>6.6</v>
      </c>
      <c r="F95" s="1">
        <v>1.9</v>
      </c>
      <c r="G95" s="1">
        <v>0</v>
      </c>
      <c r="H95" s="1">
        <v>0</v>
      </c>
      <c r="I95" s="1">
        <v>0</v>
      </c>
      <c r="J95" s="1"/>
      <c r="K95" s="1">
        <v>375</v>
      </c>
      <c r="L95" s="1">
        <v>-68.599999999999994</v>
      </c>
      <c r="M95" s="1">
        <v>-6.3</v>
      </c>
      <c r="N95" s="1">
        <v>-1.8</v>
      </c>
      <c r="O95" s="1">
        <v>0</v>
      </c>
      <c r="P95" s="1">
        <v>0</v>
      </c>
      <c r="Q95" s="1">
        <v>0</v>
      </c>
      <c r="R95" s="1">
        <v>599</v>
      </c>
      <c r="S95" s="1">
        <v>640</v>
      </c>
    </row>
    <row r="96" spans="1:19" x14ac:dyDescent="0.25">
      <c r="A96" s="1">
        <v>400</v>
      </c>
      <c r="B96" s="1">
        <v>578</v>
      </c>
      <c r="C96" s="1">
        <v>595</v>
      </c>
      <c r="D96" s="1">
        <v>-88</v>
      </c>
      <c r="E96" s="1">
        <v>7.6</v>
      </c>
      <c r="F96" s="1">
        <v>2.2000000000000002</v>
      </c>
      <c r="G96" s="1">
        <v>0</v>
      </c>
      <c r="H96" s="1">
        <v>0</v>
      </c>
      <c r="I96" s="1">
        <v>0</v>
      </c>
      <c r="J96" s="1"/>
      <c r="K96" s="1">
        <v>400</v>
      </c>
      <c r="L96" s="1">
        <v>-82.8</v>
      </c>
      <c r="M96" s="1">
        <v>-7.1</v>
      </c>
      <c r="N96" s="1">
        <v>-2.1</v>
      </c>
      <c r="O96" s="1">
        <v>0</v>
      </c>
      <c r="P96" s="1">
        <v>0</v>
      </c>
      <c r="Q96" s="1">
        <v>0</v>
      </c>
      <c r="R96" s="1">
        <v>579</v>
      </c>
      <c r="S96" s="1">
        <v>597</v>
      </c>
    </row>
    <row r="97" spans="1:19" x14ac:dyDescent="0.25">
      <c r="A97" s="1">
        <v>425</v>
      </c>
      <c r="B97" s="1">
        <v>558</v>
      </c>
      <c r="C97" s="1">
        <v>555</v>
      </c>
      <c r="D97" s="1">
        <v>-106.1</v>
      </c>
      <c r="E97" s="1">
        <v>8.6</v>
      </c>
      <c r="F97" s="1">
        <v>2.5</v>
      </c>
      <c r="G97" s="1">
        <v>0</v>
      </c>
      <c r="H97" s="1">
        <v>0</v>
      </c>
      <c r="I97" s="1">
        <v>0</v>
      </c>
      <c r="J97" s="1"/>
      <c r="K97" s="1">
        <v>425</v>
      </c>
      <c r="L97" s="1">
        <v>-99.7</v>
      </c>
      <c r="M97" s="1">
        <v>-8.1</v>
      </c>
      <c r="N97" s="1">
        <v>-2.2999999999999998</v>
      </c>
      <c r="O97" s="1">
        <v>0</v>
      </c>
      <c r="P97" s="1">
        <v>0</v>
      </c>
      <c r="Q97" s="1">
        <v>0</v>
      </c>
      <c r="R97" s="1">
        <v>558</v>
      </c>
      <c r="S97" s="1">
        <v>556</v>
      </c>
    </row>
    <row r="98" spans="1:19" x14ac:dyDescent="0.25">
      <c r="A98" s="1">
        <v>450</v>
      </c>
      <c r="B98" s="1">
        <v>538</v>
      </c>
      <c r="C98" s="1">
        <v>517</v>
      </c>
      <c r="D98" s="1">
        <v>-125.8</v>
      </c>
      <c r="E98" s="1">
        <v>9.6</v>
      </c>
      <c r="F98" s="1">
        <v>2.8</v>
      </c>
      <c r="G98" s="1">
        <v>0</v>
      </c>
      <c r="H98" s="1">
        <v>0</v>
      </c>
      <c r="I98" s="1">
        <v>0</v>
      </c>
      <c r="J98" s="1"/>
      <c r="K98" s="1">
        <v>450</v>
      </c>
      <c r="L98" s="1">
        <v>-118.2</v>
      </c>
      <c r="M98" s="1">
        <v>-9</v>
      </c>
      <c r="N98" s="1">
        <v>-2.6</v>
      </c>
      <c r="O98" s="1">
        <v>0</v>
      </c>
      <c r="P98" s="1">
        <v>0</v>
      </c>
      <c r="Q98" s="1">
        <v>0</v>
      </c>
      <c r="R98" s="1">
        <v>539</v>
      </c>
      <c r="S98" s="1">
        <v>518</v>
      </c>
    </row>
    <row r="99" spans="1:19" x14ac:dyDescent="0.25">
      <c r="A99" s="1">
        <v>475</v>
      </c>
      <c r="B99" s="1">
        <v>519</v>
      </c>
      <c r="C99" s="1">
        <v>481</v>
      </c>
      <c r="D99" s="1">
        <v>-147.80000000000001</v>
      </c>
      <c r="E99" s="1">
        <v>10.7</v>
      </c>
      <c r="F99" s="1">
        <v>3.1</v>
      </c>
      <c r="G99" s="1">
        <v>0</v>
      </c>
      <c r="H99" s="1">
        <v>0</v>
      </c>
      <c r="I99" s="1">
        <v>0</v>
      </c>
      <c r="J99" s="1"/>
      <c r="K99" s="1">
        <v>475</v>
      </c>
      <c r="L99" s="1">
        <v>-138.80000000000001</v>
      </c>
      <c r="M99" s="1">
        <v>-10.1</v>
      </c>
      <c r="N99" s="1">
        <v>-2.9</v>
      </c>
      <c r="O99" s="1">
        <v>0</v>
      </c>
      <c r="P99" s="1">
        <v>0</v>
      </c>
      <c r="Q99" s="1">
        <v>0</v>
      </c>
      <c r="R99" s="1">
        <v>521</v>
      </c>
      <c r="S99" s="1">
        <v>483</v>
      </c>
    </row>
    <row r="100" spans="1:19" x14ac:dyDescent="0.25">
      <c r="A100" s="1">
        <v>500</v>
      </c>
      <c r="B100" s="1">
        <v>502</v>
      </c>
      <c r="C100" s="1">
        <v>448</v>
      </c>
      <c r="D100" s="1">
        <v>-172.4</v>
      </c>
      <c r="E100" s="1">
        <v>11.9</v>
      </c>
      <c r="F100" s="1">
        <v>3.5</v>
      </c>
      <c r="G100" s="1">
        <v>0</v>
      </c>
      <c r="H100" s="1">
        <v>0</v>
      </c>
      <c r="I100" s="1">
        <v>0</v>
      </c>
      <c r="J100" s="1"/>
      <c r="K100" s="1">
        <v>500</v>
      </c>
      <c r="L100" s="1">
        <v>-162.6</v>
      </c>
      <c r="M100" s="1">
        <v>-11.2</v>
      </c>
      <c r="N100" s="1">
        <v>-3.2</v>
      </c>
      <c r="O100" s="1">
        <v>0</v>
      </c>
      <c r="P100" s="1">
        <v>0</v>
      </c>
      <c r="Q100" s="1">
        <v>0</v>
      </c>
      <c r="R100" s="1">
        <v>502</v>
      </c>
      <c r="S100" s="1">
        <v>449</v>
      </c>
    </row>
    <row r="102" spans="1:19" x14ac:dyDescent="0.25">
      <c r="A102" t="s">
        <v>55</v>
      </c>
      <c r="K102" t="s">
        <v>48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33</v>
      </c>
      <c r="H103" t="s">
        <v>34</v>
      </c>
      <c r="I103" t="s">
        <v>35</v>
      </c>
      <c r="K103" t="s">
        <v>38</v>
      </c>
      <c r="L103" t="s">
        <v>39</v>
      </c>
      <c r="M103" t="s">
        <v>40</v>
      </c>
      <c r="N103" t="s">
        <v>41</v>
      </c>
      <c r="O103" t="s">
        <v>42</v>
      </c>
      <c r="P103" t="s">
        <v>34</v>
      </c>
      <c r="Q103" t="s">
        <v>43</v>
      </c>
      <c r="R103" t="s">
        <v>44</v>
      </c>
      <c r="S103" t="s">
        <v>45</v>
      </c>
    </row>
    <row r="104" spans="1:19" x14ac:dyDescent="0.25">
      <c r="A104" s="1">
        <v>0</v>
      </c>
      <c r="B104" s="1">
        <v>958</v>
      </c>
      <c r="C104" s="1">
        <v>1634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-3.8</v>
      </c>
      <c r="M104" s="1" t="s">
        <v>46</v>
      </c>
      <c r="N104" s="1" t="s">
        <v>46</v>
      </c>
      <c r="O104" s="1">
        <v>0</v>
      </c>
      <c r="P104" s="1" t="s">
        <v>46</v>
      </c>
      <c r="Q104" s="1" t="s">
        <v>46</v>
      </c>
      <c r="R104" s="1">
        <v>958</v>
      </c>
      <c r="S104" s="1">
        <v>1635</v>
      </c>
    </row>
    <row r="105" spans="1:19" x14ac:dyDescent="0.25">
      <c r="A105" s="1">
        <v>25</v>
      </c>
      <c r="B105" s="1">
        <v>930</v>
      </c>
      <c r="C105" s="1">
        <v>1542</v>
      </c>
      <c r="D105" s="1">
        <v>-1.8</v>
      </c>
      <c r="E105" s="1">
        <v>2.4</v>
      </c>
      <c r="F105" s="1">
        <v>0.7</v>
      </c>
      <c r="G105">
        <v>0</v>
      </c>
      <c r="H105">
        <v>0</v>
      </c>
      <c r="I105">
        <v>0</v>
      </c>
      <c r="K105" s="1">
        <v>25</v>
      </c>
      <c r="L105" s="1">
        <v>-1.8</v>
      </c>
      <c r="M105" s="1">
        <v>-2.5</v>
      </c>
      <c r="N105" s="1">
        <v>-0.7</v>
      </c>
      <c r="O105" s="1">
        <v>0</v>
      </c>
      <c r="P105" s="1">
        <v>0</v>
      </c>
      <c r="Q105" s="1">
        <v>0</v>
      </c>
      <c r="R105" s="1">
        <v>931</v>
      </c>
      <c r="S105" s="1">
        <v>1544</v>
      </c>
    </row>
    <row r="106" spans="1:19" x14ac:dyDescent="0.25">
      <c r="A106" s="1">
        <v>50</v>
      </c>
      <c r="B106" s="1">
        <v>903</v>
      </c>
      <c r="C106" s="1">
        <v>1455</v>
      </c>
      <c r="D106" s="1">
        <v>-0.4</v>
      </c>
      <c r="E106" s="1">
        <v>0.3</v>
      </c>
      <c r="F106" s="1">
        <v>0.1</v>
      </c>
      <c r="G106">
        <v>0</v>
      </c>
      <c r="H106">
        <v>0</v>
      </c>
      <c r="I106">
        <v>0</v>
      </c>
      <c r="K106" s="1">
        <v>50</v>
      </c>
      <c r="L106" s="1">
        <v>-0.4</v>
      </c>
      <c r="M106" s="1">
        <v>-0.3</v>
      </c>
      <c r="N106" s="1">
        <v>-0.1</v>
      </c>
      <c r="O106" s="1">
        <v>0</v>
      </c>
      <c r="P106" s="1">
        <v>0</v>
      </c>
      <c r="Q106" s="1">
        <v>0</v>
      </c>
      <c r="R106" s="1">
        <v>903</v>
      </c>
      <c r="S106" s="1">
        <v>1455</v>
      </c>
    </row>
    <row r="107" spans="1:19" x14ac:dyDescent="0.25">
      <c r="A107" s="1">
        <v>75</v>
      </c>
      <c r="B107" s="1">
        <v>877</v>
      </c>
      <c r="C107" s="1">
        <v>1372</v>
      </c>
      <c r="D107" s="1">
        <v>0.2</v>
      </c>
      <c r="E107" s="1">
        <v>-0.1</v>
      </c>
      <c r="F107" s="1">
        <v>0</v>
      </c>
      <c r="G107">
        <v>0</v>
      </c>
      <c r="H107">
        <v>0</v>
      </c>
      <c r="I107">
        <v>0</v>
      </c>
      <c r="K107" s="1">
        <v>75</v>
      </c>
      <c r="L107" s="1">
        <v>0.2</v>
      </c>
      <c r="M107" s="1">
        <v>0.1</v>
      </c>
      <c r="N107" s="1">
        <v>0</v>
      </c>
      <c r="O107" s="1">
        <v>0</v>
      </c>
      <c r="P107" s="1">
        <v>0</v>
      </c>
      <c r="Q107" s="1">
        <v>0</v>
      </c>
      <c r="R107" s="1">
        <v>878</v>
      </c>
      <c r="S107" s="1">
        <v>1373</v>
      </c>
    </row>
    <row r="108" spans="1:19" x14ac:dyDescent="0.25">
      <c r="A108" s="10">
        <v>100</v>
      </c>
      <c r="B108" s="10">
        <v>852</v>
      </c>
      <c r="C108" s="10">
        <v>1293</v>
      </c>
      <c r="D108" s="10">
        <v>0</v>
      </c>
      <c r="E108" s="10">
        <v>0</v>
      </c>
      <c r="F108" s="10">
        <v>0</v>
      </c>
      <c r="G108">
        <v>0</v>
      </c>
      <c r="H108">
        <v>0</v>
      </c>
      <c r="I108">
        <v>0</v>
      </c>
      <c r="K108" s="1">
        <v>100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853</v>
      </c>
      <c r="S108" s="1">
        <v>1295</v>
      </c>
    </row>
    <row r="109" spans="1:19" x14ac:dyDescent="0.25">
      <c r="A109" s="1">
        <v>125</v>
      </c>
      <c r="B109" s="1">
        <v>827</v>
      </c>
      <c r="C109" s="1">
        <v>1218</v>
      </c>
      <c r="D109" s="1">
        <v>-1.1000000000000001</v>
      </c>
      <c r="E109" s="1">
        <v>0.3</v>
      </c>
      <c r="F109" s="1">
        <v>0.1</v>
      </c>
      <c r="G109">
        <v>0</v>
      </c>
      <c r="H109">
        <v>0</v>
      </c>
      <c r="I109">
        <v>0</v>
      </c>
      <c r="K109" s="1">
        <v>125</v>
      </c>
      <c r="L109" s="1">
        <v>-1.1000000000000001</v>
      </c>
      <c r="M109" s="1">
        <v>-0.3</v>
      </c>
      <c r="N109" s="1">
        <v>-0.1</v>
      </c>
      <c r="O109" s="1">
        <v>0</v>
      </c>
      <c r="P109" s="1">
        <v>0</v>
      </c>
      <c r="Q109" s="1">
        <v>0</v>
      </c>
      <c r="R109" s="1">
        <v>827</v>
      </c>
      <c r="S109" s="1">
        <v>1218</v>
      </c>
    </row>
    <row r="110" spans="1:19" x14ac:dyDescent="0.25">
      <c r="A110" s="1">
        <v>150</v>
      </c>
      <c r="B110" s="1">
        <v>802</v>
      </c>
      <c r="C110" s="1">
        <v>1146</v>
      </c>
      <c r="D110" s="1">
        <v>-3.1</v>
      </c>
      <c r="E110" s="1">
        <v>0.7</v>
      </c>
      <c r="F110" s="1">
        <v>0.2</v>
      </c>
      <c r="G110">
        <v>0</v>
      </c>
      <c r="H110">
        <v>0</v>
      </c>
      <c r="I110">
        <v>0</v>
      </c>
      <c r="K110" s="1">
        <v>150</v>
      </c>
      <c r="L110" s="1">
        <v>-3</v>
      </c>
      <c r="M110" s="1">
        <v>-0.7</v>
      </c>
      <c r="N110" s="1">
        <v>-0.2</v>
      </c>
      <c r="O110" s="1">
        <v>0</v>
      </c>
      <c r="P110" s="1">
        <v>0</v>
      </c>
      <c r="Q110" s="1">
        <v>0</v>
      </c>
      <c r="R110" s="1">
        <v>803</v>
      </c>
      <c r="S110" s="1">
        <v>1147</v>
      </c>
    </row>
    <row r="111" spans="1:19" x14ac:dyDescent="0.25">
      <c r="A111" s="1">
        <v>175</v>
      </c>
      <c r="B111" s="1">
        <v>778</v>
      </c>
      <c r="C111" s="1">
        <v>1078</v>
      </c>
      <c r="D111" s="1">
        <v>-6</v>
      </c>
      <c r="E111" s="1">
        <v>1.2</v>
      </c>
      <c r="F111" s="1">
        <v>0.3</v>
      </c>
      <c r="G111">
        <v>0</v>
      </c>
      <c r="H111">
        <v>0</v>
      </c>
      <c r="I111">
        <v>0</v>
      </c>
      <c r="K111" s="1">
        <v>175</v>
      </c>
      <c r="L111" s="1">
        <v>-5.9</v>
      </c>
      <c r="M111" s="1">
        <v>-1.2</v>
      </c>
      <c r="N111" s="1">
        <v>-0.3</v>
      </c>
      <c r="O111" s="1">
        <v>0</v>
      </c>
      <c r="P111" s="1">
        <v>0</v>
      </c>
      <c r="Q111" s="1">
        <v>0</v>
      </c>
      <c r="R111" s="1">
        <v>778</v>
      </c>
      <c r="S111" s="1">
        <v>1081</v>
      </c>
    </row>
    <row r="112" spans="1:19" x14ac:dyDescent="0.25">
      <c r="A112" s="1">
        <v>200</v>
      </c>
      <c r="B112" s="1">
        <v>754</v>
      </c>
      <c r="C112" s="1">
        <v>1013</v>
      </c>
      <c r="D112" s="1">
        <v>-10.199999999999999</v>
      </c>
      <c r="E112" s="1">
        <v>1.7</v>
      </c>
      <c r="F112" s="1">
        <v>0.5</v>
      </c>
      <c r="G112">
        <v>0</v>
      </c>
      <c r="H112">
        <v>0</v>
      </c>
      <c r="I112">
        <v>0</v>
      </c>
      <c r="K112" s="1">
        <v>200</v>
      </c>
      <c r="L112" s="1">
        <v>-9.8000000000000007</v>
      </c>
      <c r="M112" s="1">
        <v>-1.7</v>
      </c>
      <c r="N112" s="1">
        <v>-0.5</v>
      </c>
      <c r="O112" s="1">
        <v>0</v>
      </c>
      <c r="P112" s="1">
        <v>0</v>
      </c>
      <c r="Q112" s="1">
        <v>0</v>
      </c>
      <c r="R112" s="1">
        <v>754</v>
      </c>
      <c r="S112" s="1">
        <v>1013</v>
      </c>
    </row>
    <row r="113" spans="1:19" x14ac:dyDescent="0.25">
      <c r="A113" s="1">
        <v>225</v>
      </c>
      <c r="B113" s="1">
        <v>730</v>
      </c>
      <c r="C113" s="1">
        <v>951</v>
      </c>
      <c r="D113" s="1">
        <v>-15.3</v>
      </c>
      <c r="E113" s="1">
        <v>2.2999999999999998</v>
      </c>
      <c r="F113" s="1">
        <v>0.7</v>
      </c>
      <c r="G113">
        <v>0</v>
      </c>
      <c r="H113">
        <v>0</v>
      </c>
      <c r="I113">
        <v>0</v>
      </c>
      <c r="K113" s="1">
        <v>225</v>
      </c>
      <c r="L113" s="1">
        <v>-14.7</v>
      </c>
      <c r="M113" s="1">
        <v>-2.2000000000000002</v>
      </c>
      <c r="N113" s="1">
        <v>-0.7</v>
      </c>
      <c r="O113" s="1">
        <v>0</v>
      </c>
      <c r="P113" s="1">
        <v>0</v>
      </c>
      <c r="Q113" s="1">
        <v>0</v>
      </c>
      <c r="R113" s="1">
        <v>731</v>
      </c>
      <c r="S113" s="1">
        <v>952</v>
      </c>
    </row>
    <row r="114" spans="1:19" x14ac:dyDescent="0.25">
      <c r="A114" s="1">
        <v>250</v>
      </c>
      <c r="B114" s="1">
        <v>707</v>
      </c>
      <c r="C114" s="1">
        <v>892</v>
      </c>
      <c r="D114" s="1">
        <v>-21.6</v>
      </c>
      <c r="E114" s="1">
        <v>3</v>
      </c>
      <c r="F114" s="1">
        <v>0.9</v>
      </c>
      <c r="G114">
        <v>0</v>
      </c>
      <c r="H114">
        <v>0</v>
      </c>
      <c r="I114">
        <v>0</v>
      </c>
      <c r="K114" s="1">
        <v>250</v>
      </c>
      <c r="L114" s="1">
        <v>-20.8</v>
      </c>
      <c r="M114" s="1">
        <v>-2.9</v>
      </c>
      <c r="N114" s="1">
        <v>-0.8</v>
      </c>
      <c r="O114" s="1">
        <v>0</v>
      </c>
      <c r="P114" s="1">
        <v>0</v>
      </c>
      <c r="Q114" s="1">
        <v>0</v>
      </c>
      <c r="R114" s="1">
        <v>708</v>
      </c>
      <c r="S114" s="1">
        <v>893</v>
      </c>
    </row>
    <row r="115" spans="1:19" x14ac:dyDescent="0.25">
      <c r="A115" s="1">
        <v>275</v>
      </c>
      <c r="B115" s="1">
        <v>685</v>
      </c>
      <c r="C115" s="1">
        <v>836</v>
      </c>
      <c r="D115" s="1">
        <v>-29.5</v>
      </c>
      <c r="E115" s="1">
        <v>3.7</v>
      </c>
      <c r="F115" s="1">
        <v>1.1000000000000001</v>
      </c>
      <c r="G115">
        <v>0</v>
      </c>
      <c r="H115">
        <v>0</v>
      </c>
      <c r="I115">
        <v>0</v>
      </c>
      <c r="K115" s="1">
        <v>275</v>
      </c>
      <c r="L115" s="1">
        <v>-28.3</v>
      </c>
      <c r="M115" s="1">
        <v>-3.5</v>
      </c>
      <c r="N115" s="1">
        <v>-1</v>
      </c>
      <c r="O115" s="1">
        <v>0</v>
      </c>
      <c r="P115" s="1">
        <v>0</v>
      </c>
      <c r="Q115" s="1">
        <v>0</v>
      </c>
      <c r="R115" s="1">
        <v>685</v>
      </c>
      <c r="S115" s="1">
        <v>837</v>
      </c>
    </row>
    <row r="116" spans="1:19" x14ac:dyDescent="0.25">
      <c r="A116" s="1">
        <v>300</v>
      </c>
      <c r="B116" s="1">
        <v>663</v>
      </c>
      <c r="C116" s="1">
        <v>782</v>
      </c>
      <c r="D116" s="1">
        <v>-38.5</v>
      </c>
      <c r="E116" s="1">
        <v>4.4000000000000004</v>
      </c>
      <c r="F116" s="1">
        <v>1.3</v>
      </c>
      <c r="G116">
        <v>0</v>
      </c>
      <c r="H116">
        <v>0</v>
      </c>
      <c r="I116">
        <v>0</v>
      </c>
      <c r="K116" s="1">
        <v>300</v>
      </c>
      <c r="L116" s="1">
        <v>-36.9</v>
      </c>
      <c r="M116" s="1">
        <v>-4.2</v>
      </c>
      <c r="N116" s="1">
        <v>-1.2</v>
      </c>
      <c r="O116" s="1">
        <v>0</v>
      </c>
      <c r="P116" s="1">
        <v>0</v>
      </c>
      <c r="Q116" s="1">
        <v>0</v>
      </c>
      <c r="R116" s="1">
        <v>663</v>
      </c>
      <c r="S116" s="1">
        <v>784</v>
      </c>
    </row>
    <row r="117" spans="1:19" x14ac:dyDescent="0.25">
      <c r="A117" s="1">
        <v>325</v>
      </c>
      <c r="B117" s="1">
        <v>641</v>
      </c>
      <c r="C117" s="1">
        <v>732</v>
      </c>
      <c r="D117" s="1">
        <v>-49</v>
      </c>
      <c r="E117" s="1">
        <v>5.2</v>
      </c>
      <c r="F117" s="1">
        <v>1.5</v>
      </c>
      <c r="G117">
        <v>0</v>
      </c>
      <c r="H117">
        <v>0</v>
      </c>
      <c r="I117">
        <v>0</v>
      </c>
      <c r="K117" s="1">
        <v>325</v>
      </c>
      <c r="L117" s="1">
        <v>-46.9</v>
      </c>
      <c r="M117" s="1">
        <v>-5</v>
      </c>
      <c r="N117" s="1">
        <v>-1.4</v>
      </c>
      <c r="O117" s="1">
        <v>0</v>
      </c>
      <c r="P117" s="1">
        <v>0</v>
      </c>
      <c r="Q117" s="1">
        <v>0</v>
      </c>
      <c r="R117" s="1">
        <v>642</v>
      </c>
      <c r="S117" s="1">
        <v>735</v>
      </c>
    </row>
    <row r="118" spans="1:19" x14ac:dyDescent="0.25">
      <c r="A118" s="1">
        <v>350</v>
      </c>
      <c r="B118" s="1">
        <v>619</v>
      </c>
      <c r="C118" s="1">
        <v>684</v>
      </c>
      <c r="D118" s="1">
        <v>-61.5</v>
      </c>
      <c r="E118" s="1">
        <v>6</v>
      </c>
      <c r="F118" s="1">
        <v>1.8</v>
      </c>
      <c r="G118">
        <v>0</v>
      </c>
      <c r="H118">
        <v>0</v>
      </c>
      <c r="I118">
        <v>0</v>
      </c>
      <c r="K118" s="1">
        <v>350</v>
      </c>
      <c r="L118" s="1">
        <v>-58.6</v>
      </c>
      <c r="M118" s="1">
        <v>-5.8</v>
      </c>
      <c r="N118" s="1">
        <v>-1.7</v>
      </c>
      <c r="O118" s="1">
        <v>0</v>
      </c>
      <c r="P118" s="1">
        <v>0</v>
      </c>
      <c r="Q118" s="1">
        <v>0</v>
      </c>
      <c r="R118" s="1">
        <v>620</v>
      </c>
      <c r="S118" s="1">
        <v>685</v>
      </c>
    </row>
    <row r="119" spans="1:19" x14ac:dyDescent="0.25">
      <c r="A119" s="1">
        <v>375</v>
      </c>
      <c r="B119" s="1">
        <v>598</v>
      </c>
      <c r="C119" s="1">
        <v>638</v>
      </c>
      <c r="D119" s="1">
        <v>-75.3</v>
      </c>
      <c r="E119" s="1">
        <v>6.9</v>
      </c>
      <c r="F119" s="1">
        <v>2</v>
      </c>
      <c r="G119">
        <v>0</v>
      </c>
      <c r="H119">
        <v>0</v>
      </c>
      <c r="I119">
        <v>0</v>
      </c>
      <c r="K119" s="1">
        <v>375</v>
      </c>
      <c r="L119" s="1">
        <v>-71.5</v>
      </c>
      <c r="M119" s="1">
        <v>-6.6</v>
      </c>
      <c r="N119" s="1">
        <v>-1.9</v>
      </c>
      <c r="O119" s="1">
        <v>0</v>
      </c>
      <c r="P119" s="1">
        <v>0</v>
      </c>
      <c r="Q119" s="1">
        <v>0</v>
      </c>
      <c r="R119" s="1">
        <v>599</v>
      </c>
      <c r="S119" s="1">
        <v>640</v>
      </c>
    </row>
    <row r="120" spans="1:19" x14ac:dyDescent="0.25">
      <c r="A120" s="1">
        <v>400</v>
      </c>
      <c r="B120" s="1">
        <v>578</v>
      </c>
      <c r="C120" s="1">
        <v>595</v>
      </c>
      <c r="D120" s="1">
        <v>-90.9</v>
      </c>
      <c r="E120" s="1">
        <v>7.8</v>
      </c>
      <c r="F120" s="1">
        <v>2.2999999999999998</v>
      </c>
      <c r="G120">
        <v>0</v>
      </c>
      <c r="H120">
        <v>0</v>
      </c>
      <c r="I120">
        <v>0</v>
      </c>
      <c r="K120" s="1">
        <v>400</v>
      </c>
      <c r="L120" s="1">
        <v>-86</v>
      </c>
      <c r="M120" s="1">
        <v>-7.4</v>
      </c>
      <c r="N120" s="1">
        <v>-2.2000000000000002</v>
      </c>
      <c r="O120" s="1">
        <v>0</v>
      </c>
      <c r="P120" s="1">
        <v>0</v>
      </c>
      <c r="Q120" s="1">
        <v>0</v>
      </c>
      <c r="R120" s="1">
        <v>579</v>
      </c>
      <c r="S120" s="1">
        <v>597</v>
      </c>
    </row>
    <row r="121" spans="1:19" x14ac:dyDescent="0.25">
      <c r="A121" s="1">
        <v>425</v>
      </c>
      <c r="B121" s="1">
        <v>558</v>
      </c>
      <c r="C121" s="1">
        <v>555</v>
      </c>
      <c r="D121" s="1">
        <v>-109.3</v>
      </c>
      <c r="E121" s="1">
        <v>8.8000000000000007</v>
      </c>
      <c r="F121" s="1">
        <v>2.6</v>
      </c>
      <c r="G121">
        <v>0</v>
      </c>
      <c r="H121">
        <v>0</v>
      </c>
      <c r="I121">
        <v>0</v>
      </c>
      <c r="K121" s="1">
        <v>425</v>
      </c>
      <c r="L121" s="1">
        <v>-103.1</v>
      </c>
      <c r="M121" s="1">
        <v>-8.3000000000000007</v>
      </c>
      <c r="N121" s="1">
        <v>-2.4</v>
      </c>
      <c r="O121" s="1">
        <v>0</v>
      </c>
      <c r="P121" s="1">
        <v>0</v>
      </c>
      <c r="Q121" s="1">
        <v>0</v>
      </c>
      <c r="R121" s="1">
        <v>558</v>
      </c>
      <c r="S121" s="1">
        <v>556</v>
      </c>
    </row>
    <row r="122" spans="1:19" x14ac:dyDescent="0.25">
      <c r="A122" s="1">
        <v>450</v>
      </c>
      <c r="B122" s="1">
        <v>538</v>
      </c>
      <c r="C122" s="1">
        <v>517</v>
      </c>
      <c r="D122" s="1">
        <v>-129.19999999999999</v>
      </c>
      <c r="E122" s="1">
        <v>9.9</v>
      </c>
      <c r="F122" s="1">
        <v>2.9</v>
      </c>
      <c r="G122">
        <v>0</v>
      </c>
      <c r="H122">
        <v>0</v>
      </c>
      <c r="I122">
        <v>0</v>
      </c>
      <c r="K122" s="1">
        <v>450</v>
      </c>
      <c r="L122" s="1">
        <v>-121.7</v>
      </c>
      <c r="M122" s="1">
        <v>-9.3000000000000007</v>
      </c>
      <c r="N122" s="1">
        <v>-2.7</v>
      </c>
      <c r="O122" s="1">
        <v>0</v>
      </c>
      <c r="P122" s="1">
        <v>0</v>
      </c>
      <c r="Q122" s="1">
        <v>0</v>
      </c>
      <c r="R122" s="1">
        <v>539</v>
      </c>
      <c r="S122" s="1">
        <v>518</v>
      </c>
    </row>
    <row r="123" spans="1:19" x14ac:dyDescent="0.25">
      <c r="A123" s="1">
        <v>475</v>
      </c>
      <c r="B123" s="1">
        <v>519</v>
      </c>
      <c r="C123" s="1">
        <v>481</v>
      </c>
      <c r="D123" s="1">
        <v>-151.4</v>
      </c>
      <c r="E123" s="1">
        <v>11</v>
      </c>
      <c r="F123" s="1">
        <v>3.2</v>
      </c>
      <c r="G123">
        <v>0</v>
      </c>
      <c r="H123">
        <v>0</v>
      </c>
      <c r="I123">
        <v>0</v>
      </c>
      <c r="K123" s="1">
        <v>475</v>
      </c>
      <c r="L123" s="1">
        <v>-142.6</v>
      </c>
      <c r="M123" s="1">
        <v>-10.3</v>
      </c>
      <c r="N123" s="1">
        <v>-3</v>
      </c>
      <c r="O123" s="1">
        <v>0</v>
      </c>
      <c r="P123" s="1">
        <v>0</v>
      </c>
      <c r="Q123" s="1">
        <v>0</v>
      </c>
      <c r="R123" s="1">
        <v>521</v>
      </c>
      <c r="S123" s="1">
        <v>483</v>
      </c>
    </row>
    <row r="124" spans="1:19" x14ac:dyDescent="0.25">
      <c r="A124" s="1">
        <v>500</v>
      </c>
      <c r="B124" s="1">
        <v>502</v>
      </c>
      <c r="C124" s="1">
        <v>448</v>
      </c>
      <c r="D124" s="1">
        <v>-176.1</v>
      </c>
      <c r="E124" s="1">
        <v>12.1</v>
      </c>
      <c r="F124" s="1">
        <v>3.5</v>
      </c>
      <c r="G124">
        <v>0</v>
      </c>
      <c r="H124">
        <v>0</v>
      </c>
      <c r="I124">
        <v>0</v>
      </c>
      <c r="K124" s="1">
        <v>500</v>
      </c>
      <c r="L124" s="1">
        <v>-166.5</v>
      </c>
      <c r="M124" s="1">
        <v>-11.4</v>
      </c>
      <c r="N124" s="1">
        <v>-3.3</v>
      </c>
      <c r="O124" s="1">
        <v>0</v>
      </c>
      <c r="P124" s="1">
        <v>0</v>
      </c>
      <c r="Q124" s="1">
        <v>0</v>
      </c>
      <c r="R124" s="1">
        <v>502</v>
      </c>
      <c r="S124" s="1">
        <v>449</v>
      </c>
    </row>
    <row r="126" spans="1:19" x14ac:dyDescent="0.25">
      <c r="A126" t="s">
        <v>61</v>
      </c>
      <c r="K126" t="s">
        <v>49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33</v>
      </c>
      <c r="H127" t="s">
        <v>34</v>
      </c>
      <c r="I127" t="s">
        <v>35</v>
      </c>
      <c r="K127" t="s">
        <v>38</v>
      </c>
      <c r="L127" t="s">
        <v>39</v>
      </c>
      <c r="M127" t="s">
        <v>40</v>
      </c>
      <c r="N127" t="s">
        <v>41</v>
      </c>
      <c r="O127" t="s">
        <v>42</v>
      </c>
      <c r="P127" t="s">
        <v>34</v>
      </c>
      <c r="Q127" t="s">
        <v>43</v>
      </c>
      <c r="R127" t="s">
        <v>44</v>
      </c>
      <c r="S127" t="s">
        <v>45</v>
      </c>
    </row>
    <row r="128" spans="1:19" x14ac:dyDescent="0.25">
      <c r="A128" s="1">
        <v>0</v>
      </c>
      <c r="B128" s="1">
        <v>958</v>
      </c>
      <c r="C128" s="1">
        <v>1634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-3.8</v>
      </c>
      <c r="M128" s="1" t="s">
        <v>46</v>
      </c>
      <c r="N128" s="1" t="s">
        <v>46</v>
      </c>
      <c r="O128" s="1">
        <v>0</v>
      </c>
      <c r="P128" s="1" t="s">
        <v>46</v>
      </c>
      <c r="Q128" s="1" t="s">
        <v>46</v>
      </c>
      <c r="R128" s="1">
        <v>958</v>
      </c>
      <c r="S128" s="1">
        <v>1635</v>
      </c>
    </row>
    <row r="129" spans="1:19" x14ac:dyDescent="0.25">
      <c r="A129" s="1">
        <v>25</v>
      </c>
      <c r="B129" s="1">
        <v>930</v>
      </c>
      <c r="C129" s="1">
        <v>1542</v>
      </c>
      <c r="D129" s="1">
        <v>-1.2</v>
      </c>
      <c r="E129" s="1">
        <v>1.7</v>
      </c>
      <c r="F129" s="1">
        <v>0.5</v>
      </c>
      <c r="G129">
        <v>0</v>
      </c>
      <c r="H129">
        <v>0</v>
      </c>
      <c r="I129">
        <v>0</v>
      </c>
      <c r="K129" s="1">
        <v>25</v>
      </c>
      <c r="L129" s="1">
        <v>-1.3</v>
      </c>
      <c r="M129" s="1">
        <v>-1.8</v>
      </c>
      <c r="N129" s="1">
        <v>-0.5</v>
      </c>
      <c r="O129" s="1">
        <v>0</v>
      </c>
      <c r="P129" s="1">
        <v>0</v>
      </c>
      <c r="Q129" s="1">
        <v>0</v>
      </c>
      <c r="R129" s="1">
        <v>931</v>
      </c>
      <c r="S129" s="1">
        <v>1544</v>
      </c>
    </row>
    <row r="130" spans="1:19" x14ac:dyDescent="0.25">
      <c r="A130" s="1">
        <v>50</v>
      </c>
      <c r="B130" s="1">
        <v>903</v>
      </c>
      <c r="C130" s="1">
        <v>1455</v>
      </c>
      <c r="D130" s="1">
        <v>0.7</v>
      </c>
      <c r="E130" s="1">
        <v>-0.5</v>
      </c>
      <c r="F130" s="1">
        <v>-0.1</v>
      </c>
      <c r="G130">
        <v>0</v>
      </c>
      <c r="H130">
        <v>0</v>
      </c>
      <c r="I130">
        <v>0</v>
      </c>
      <c r="K130" s="1">
        <v>50</v>
      </c>
      <c r="L130" s="1">
        <v>0.6</v>
      </c>
      <c r="M130" s="1">
        <v>0.4</v>
      </c>
      <c r="N130" s="1">
        <v>0.1</v>
      </c>
      <c r="O130" s="1">
        <v>0</v>
      </c>
      <c r="P130" s="1">
        <v>0</v>
      </c>
      <c r="Q130" s="1">
        <v>0</v>
      </c>
      <c r="R130" s="1">
        <v>903</v>
      </c>
      <c r="S130" s="1">
        <v>1455</v>
      </c>
    </row>
    <row r="131" spans="1:19" x14ac:dyDescent="0.25">
      <c r="A131" s="1">
        <v>75</v>
      </c>
      <c r="B131" s="1">
        <v>877</v>
      </c>
      <c r="C131" s="1">
        <v>1372</v>
      </c>
      <c r="D131" s="1">
        <v>1.8</v>
      </c>
      <c r="E131" s="1">
        <v>-0.8</v>
      </c>
      <c r="F131" s="1">
        <v>-0.2</v>
      </c>
      <c r="G131">
        <v>0</v>
      </c>
      <c r="H131">
        <v>0</v>
      </c>
      <c r="I131">
        <v>0</v>
      </c>
      <c r="K131" s="1">
        <v>75</v>
      </c>
      <c r="L131" s="1">
        <v>1.7</v>
      </c>
      <c r="M131" s="1">
        <v>0.8</v>
      </c>
      <c r="N131" s="1">
        <v>0.2</v>
      </c>
      <c r="O131" s="1">
        <v>0</v>
      </c>
      <c r="P131" s="1">
        <v>0</v>
      </c>
      <c r="Q131" s="1">
        <v>0</v>
      </c>
      <c r="R131" s="1">
        <v>878</v>
      </c>
      <c r="S131" s="1">
        <v>1373</v>
      </c>
    </row>
    <row r="132" spans="1:19" x14ac:dyDescent="0.25">
      <c r="A132" s="1">
        <v>100</v>
      </c>
      <c r="B132" s="1">
        <v>852</v>
      </c>
      <c r="C132" s="1">
        <v>1293</v>
      </c>
      <c r="D132" s="1">
        <v>2.1</v>
      </c>
      <c r="E132" s="1">
        <v>-0.7</v>
      </c>
      <c r="F132" s="1">
        <v>-0.2</v>
      </c>
      <c r="G132">
        <v>0</v>
      </c>
      <c r="H132">
        <v>0</v>
      </c>
      <c r="I132">
        <v>0</v>
      </c>
      <c r="K132" s="1">
        <v>100</v>
      </c>
      <c r="L132" s="1">
        <v>2</v>
      </c>
      <c r="M132" s="1">
        <v>0.7</v>
      </c>
      <c r="N132" s="1">
        <v>0.2</v>
      </c>
      <c r="O132" s="1">
        <v>0</v>
      </c>
      <c r="P132" s="1">
        <v>0</v>
      </c>
      <c r="Q132" s="1">
        <v>0</v>
      </c>
      <c r="R132" s="1">
        <v>853</v>
      </c>
      <c r="S132" s="1">
        <v>1295</v>
      </c>
    </row>
    <row r="133" spans="1:19" x14ac:dyDescent="0.25">
      <c r="A133" s="1">
        <v>125</v>
      </c>
      <c r="B133" s="1">
        <v>827</v>
      </c>
      <c r="C133" s="1">
        <v>1218</v>
      </c>
      <c r="D133" s="1">
        <v>1.5</v>
      </c>
      <c r="E133" s="1">
        <v>-0.4</v>
      </c>
      <c r="F133" s="1">
        <v>-0.1</v>
      </c>
      <c r="G133">
        <v>0</v>
      </c>
      <c r="H133">
        <v>0</v>
      </c>
      <c r="I133">
        <v>0</v>
      </c>
      <c r="K133" s="1">
        <v>125</v>
      </c>
      <c r="L133" s="1">
        <v>1.4</v>
      </c>
      <c r="M133" s="1">
        <v>0.4</v>
      </c>
      <c r="N133" s="1">
        <v>0.1</v>
      </c>
      <c r="O133" s="1">
        <v>0</v>
      </c>
      <c r="P133" s="1">
        <v>0</v>
      </c>
      <c r="Q133" s="1">
        <v>0</v>
      </c>
      <c r="R133" s="1">
        <v>827</v>
      </c>
      <c r="S133" s="1">
        <v>1218</v>
      </c>
    </row>
    <row r="134" spans="1:19" x14ac:dyDescent="0.25">
      <c r="A134" s="10">
        <v>150</v>
      </c>
      <c r="B134" s="10">
        <v>802</v>
      </c>
      <c r="C134" s="10">
        <v>1146</v>
      </c>
      <c r="D134" s="10">
        <v>0</v>
      </c>
      <c r="E134" s="10">
        <v>0</v>
      </c>
      <c r="F134" s="10">
        <v>0</v>
      </c>
      <c r="G134">
        <v>0</v>
      </c>
      <c r="H134">
        <v>0</v>
      </c>
      <c r="I134">
        <v>0</v>
      </c>
      <c r="K134" s="1">
        <v>150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803</v>
      </c>
      <c r="S134" s="1">
        <v>1147</v>
      </c>
    </row>
    <row r="135" spans="1:19" x14ac:dyDescent="0.25">
      <c r="A135" s="1">
        <v>175</v>
      </c>
      <c r="B135" s="1">
        <v>778</v>
      </c>
      <c r="C135" s="1">
        <v>1078</v>
      </c>
      <c r="D135" s="1">
        <v>-2.4</v>
      </c>
      <c r="E135" s="1">
        <v>0.5</v>
      </c>
      <c r="F135" s="1">
        <v>0.1</v>
      </c>
      <c r="G135">
        <v>0</v>
      </c>
      <c r="H135">
        <v>0</v>
      </c>
      <c r="I135">
        <v>0</v>
      </c>
      <c r="K135" s="1">
        <v>175</v>
      </c>
      <c r="L135" s="1">
        <v>-2.2999999999999998</v>
      </c>
      <c r="M135" s="1">
        <v>-0.5</v>
      </c>
      <c r="N135" s="1">
        <v>-0.1</v>
      </c>
      <c r="O135" s="1">
        <v>0</v>
      </c>
      <c r="P135" s="1">
        <v>0</v>
      </c>
      <c r="Q135" s="1">
        <v>0</v>
      </c>
      <c r="R135" s="1">
        <v>778</v>
      </c>
      <c r="S135" s="1">
        <v>1081</v>
      </c>
    </row>
    <row r="136" spans="1:19" x14ac:dyDescent="0.25">
      <c r="A136" s="1">
        <v>200</v>
      </c>
      <c r="B136" s="1">
        <v>754</v>
      </c>
      <c r="C136" s="1">
        <v>1013</v>
      </c>
      <c r="D136" s="1">
        <v>-6</v>
      </c>
      <c r="E136" s="1">
        <v>1</v>
      </c>
      <c r="F136" s="1">
        <v>0.3</v>
      </c>
      <c r="G136">
        <v>0</v>
      </c>
      <c r="H136">
        <v>0</v>
      </c>
      <c r="I136">
        <v>0</v>
      </c>
      <c r="K136" s="1">
        <v>200</v>
      </c>
      <c r="L136" s="1">
        <v>-5.8</v>
      </c>
      <c r="M136" s="1">
        <v>-1</v>
      </c>
      <c r="N136" s="1">
        <v>-0.3</v>
      </c>
      <c r="O136" s="1">
        <v>0</v>
      </c>
      <c r="P136" s="1">
        <v>0</v>
      </c>
      <c r="Q136" s="1">
        <v>0</v>
      </c>
      <c r="R136" s="1">
        <v>754</v>
      </c>
      <c r="S136" s="1">
        <v>1013</v>
      </c>
    </row>
    <row r="137" spans="1:19" x14ac:dyDescent="0.25">
      <c r="A137" s="1">
        <v>225</v>
      </c>
      <c r="B137" s="1">
        <v>730</v>
      </c>
      <c r="C137" s="1">
        <v>951</v>
      </c>
      <c r="D137" s="1">
        <v>-10.6</v>
      </c>
      <c r="E137" s="1">
        <v>1.6</v>
      </c>
      <c r="F137" s="1">
        <v>0.5</v>
      </c>
      <c r="G137">
        <v>0</v>
      </c>
      <c r="H137">
        <v>0</v>
      </c>
      <c r="I137">
        <v>0</v>
      </c>
      <c r="K137" s="1">
        <v>225</v>
      </c>
      <c r="L137" s="1">
        <v>-10.199999999999999</v>
      </c>
      <c r="M137" s="1">
        <v>-1.6</v>
      </c>
      <c r="N137" s="1">
        <v>-0.5</v>
      </c>
      <c r="O137" s="1">
        <v>0</v>
      </c>
      <c r="P137" s="1">
        <v>0</v>
      </c>
      <c r="Q137" s="1">
        <v>0</v>
      </c>
      <c r="R137" s="1">
        <v>731</v>
      </c>
      <c r="S137" s="1">
        <v>952</v>
      </c>
    </row>
    <row r="138" spans="1:19" x14ac:dyDescent="0.25">
      <c r="A138" s="1">
        <v>250</v>
      </c>
      <c r="B138" s="1">
        <v>707</v>
      </c>
      <c r="C138" s="1">
        <v>892</v>
      </c>
      <c r="D138" s="1">
        <v>-16.399999999999999</v>
      </c>
      <c r="E138" s="1">
        <v>2.2999999999999998</v>
      </c>
      <c r="F138" s="1">
        <v>0.7</v>
      </c>
      <c r="G138">
        <v>0</v>
      </c>
      <c r="H138">
        <v>0</v>
      </c>
      <c r="I138">
        <v>0</v>
      </c>
      <c r="K138" s="1">
        <v>250</v>
      </c>
      <c r="L138" s="1">
        <v>-15.7</v>
      </c>
      <c r="M138" s="1">
        <v>-2.2000000000000002</v>
      </c>
      <c r="N138" s="1">
        <v>-0.6</v>
      </c>
      <c r="O138" s="1">
        <v>0</v>
      </c>
      <c r="P138" s="1">
        <v>0</v>
      </c>
      <c r="Q138" s="1">
        <v>0</v>
      </c>
      <c r="R138" s="1">
        <v>708</v>
      </c>
      <c r="S138" s="1">
        <v>893</v>
      </c>
    </row>
    <row r="139" spans="1:19" x14ac:dyDescent="0.25">
      <c r="A139" s="1">
        <v>275</v>
      </c>
      <c r="B139" s="1">
        <v>685</v>
      </c>
      <c r="C139" s="1">
        <v>836</v>
      </c>
      <c r="D139" s="1">
        <v>-23.8</v>
      </c>
      <c r="E139" s="1">
        <v>3</v>
      </c>
      <c r="F139" s="1">
        <v>0.9</v>
      </c>
      <c r="G139">
        <v>0</v>
      </c>
      <c r="H139">
        <v>0</v>
      </c>
      <c r="I139">
        <v>0</v>
      </c>
      <c r="K139" s="1">
        <v>275</v>
      </c>
      <c r="L139" s="1">
        <v>-22.8</v>
      </c>
      <c r="M139" s="1">
        <v>-2.8</v>
      </c>
      <c r="N139" s="1">
        <v>-0.8</v>
      </c>
      <c r="O139" s="1">
        <v>0</v>
      </c>
      <c r="P139" s="1">
        <v>0</v>
      </c>
      <c r="Q139" s="1">
        <v>0</v>
      </c>
      <c r="R139" s="1">
        <v>685</v>
      </c>
      <c r="S139" s="1">
        <v>837</v>
      </c>
    </row>
    <row r="140" spans="1:19" x14ac:dyDescent="0.25">
      <c r="A140" s="1">
        <v>300</v>
      </c>
      <c r="B140" s="1">
        <v>663</v>
      </c>
      <c r="C140" s="1">
        <v>782</v>
      </c>
      <c r="D140" s="1">
        <v>-32.200000000000003</v>
      </c>
      <c r="E140" s="1">
        <v>3.7</v>
      </c>
      <c r="F140" s="1">
        <v>1.1000000000000001</v>
      </c>
      <c r="G140">
        <v>0</v>
      </c>
      <c r="H140">
        <v>0</v>
      </c>
      <c r="I140">
        <v>0</v>
      </c>
      <c r="K140" s="1">
        <v>300</v>
      </c>
      <c r="L140" s="1">
        <v>-30.9</v>
      </c>
      <c r="M140" s="1">
        <v>-3.5</v>
      </c>
      <c r="N140" s="1">
        <v>-1</v>
      </c>
      <c r="O140" s="1">
        <v>0</v>
      </c>
      <c r="P140" s="1">
        <v>0</v>
      </c>
      <c r="Q140" s="1">
        <v>0</v>
      </c>
      <c r="R140" s="1">
        <v>663</v>
      </c>
      <c r="S140" s="1">
        <v>784</v>
      </c>
    </row>
    <row r="141" spans="1:19" x14ac:dyDescent="0.25">
      <c r="A141" s="1">
        <v>325</v>
      </c>
      <c r="B141" s="1">
        <v>641</v>
      </c>
      <c r="C141" s="1">
        <v>732</v>
      </c>
      <c r="D141" s="1">
        <v>-42.2</v>
      </c>
      <c r="E141" s="1">
        <v>4.5</v>
      </c>
      <c r="F141" s="1">
        <v>1.3</v>
      </c>
      <c r="G141">
        <v>0</v>
      </c>
      <c r="H141">
        <v>0</v>
      </c>
      <c r="I141">
        <v>0</v>
      </c>
      <c r="K141" s="1">
        <v>325</v>
      </c>
      <c r="L141" s="1">
        <v>-40.299999999999997</v>
      </c>
      <c r="M141" s="1">
        <v>-4.3</v>
      </c>
      <c r="N141" s="1">
        <v>-1.2</v>
      </c>
      <c r="O141" s="1">
        <v>0</v>
      </c>
      <c r="P141" s="1">
        <v>0</v>
      </c>
      <c r="Q141" s="1">
        <v>0</v>
      </c>
      <c r="R141" s="1">
        <v>642</v>
      </c>
      <c r="S141" s="1">
        <v>735</v>
      </c>
    </row>
    <row r="142" spans="1:19" x14ac:dyDescent="0.25">
      <c r="A142" s="1">
        <v>350</v>
      </c>
      <c r="B142" s="1">
        <v>619</v>
      </c>
      <c r="C142" s="1">
        <v>684</v>
      </c>
      <c r="D142" s="1">
        <v>-54.2</v>
      </c>
      <c r="E142" s="1">
        <v>5.3</v>
      </c>
      <c r="F142" s="1">
        <v>1.5</v>
      </c>
      <c r="G142">
        <v>0</v>
      </c>
      <c r="H142">
        <v>0</v>
      </c>
      <c r="I142">
        <v>0</v>
      </c>
      <c r="K142" s="1">
        <v>350</v>
      </c>
      <c r="L142" s="1">
        <v>-51.6</v>
      </c>
      <c r="M142" s="1">
        <v>-5.0999999999999996</v>
      </c>
      <c r="N142" s="1">
        <v>-1.5</v>
      </c>
      <c r="O142" s="1">
        <v>0</v>
      </c>
      <c r="P142" s="1">
        <v>0</v>
      </c>
      <c r="Q142" s="1">
        <v>0</v>
      </c>
      <c r="R142" s="1">
        <v>620</v>
      </c>
      <c r="S142" s="1">
        <v>685</v>
      </c>
    </row>
    <row r="143" spans="1:19" x14ac:dyDescent="0.25">
      <c r="A143" s="1">
        <v>375</v>
      </c>
      <c r="B143" s="1">
        <v>598</v>
      </c>
      <c r="C143" s="1">
        <v>638</v>
      </c>
      <c r="D143" s="1">
        <v>-67.5</v>
      </c>
      <c r="E143" s="1">
        <v>6.2</v>
      </c>
      <c r="F143" s="1">
        <v>1.8</v>
      </c>
      <c r="G143">
        <v>0</v>
      </c>
      <c r="H143">
        <v>0</v>
      </c>
      <c r="I143">
        <v>0</v>
      </c>
      <c r="K143" s="1">
        <v>375</v>
      </c>
      <c r="L143" s="1">
        <v>-64</v>
      </c>
      <c r="M143" s="1">
        <v>-5.9</v>
      </c>
      <c r="N143" s="1">
        <v>-1.7</v>
      </c>
      <c r="O143" s="1">
        <v>0</v>
      </c>
      <c r="P143" s="1">
        <v>0</v>
      </c>
      <c r="Q143" s="1">
        <v>0</v>
      </c>
      <c r="R143" s="1">
        <v>599</v>
      </c>
      <c r="S143" s="1">
        <v>640</v>
      </c>
    </row>
    <row r="144" spans="1:19" x14ac:dyDescent="0.25">
      <c r="A144" s="1">
        <v>400</v>
      </c>
      <c r="B144" s="1">
        <v>578</v>
      </c>
      <c r="C144" s="1">
        <v>595</v>
      </c>
      <c r="D144" s="1">
        <v>-82.6</v>
      </c>
      <c r="E144" s="1">
        <v>7.1</v>
      </c>
      <c r="F144" s="1">
        <v>2.1</v>
      </c>
      <c r="G144">
        <v>0</v>
      </c>
      <c r="H144">
        <v>0</v>
      </c>
      <c r="I144">
        <v>0</v>
      </c>
      <c r="K144" s="1">
        <v>400</v>
      </c>
      <c r="L144" s="1">
        <v>-77.900000000000006</v>
      </c>
      <c r="M144" s="1">
        <v>-6.7</v>
      </c>
      <c r="N144" s="1">
        <v>-2</v>
      </c>
      <c r="O144" s="1">
        <v>0</v>
      </c>
      <c r="P144" s="1">
        <v>0</v>
      </c>
      <c r="Q144" s="1">
        <v>0</v>
      </c>
      <c r="R144" s="1">
        <v>579</v>
      </c>
      <c r="S144" s="1">
        <v>597</v>
      </c>
    </row>
    <row r="145" spans="1:19" x14ac:dyDescent="0.25">
      <c r="A145" s="1">
        <v>425</v>
      </c>
      <c r="B145" s="1">
        <v>558</v>
      </c>
      <c r="C145" s="1">
        <v>555</v>
      </c>
      <c r="D145" s="1">
        <v>-100.4</v>
      </c>
      <c r="E145" s="1">
        <v>8.1</v>
      </c>
      <c r="F145" s="1">
        <v>2.4</v>
      </c>
      <c r="G145">
        <v>0</v>
      </c>
      <c r="H145">
        <v>0</v>
      </c>
      <c r="I145">
        <v>0</v>
      </c>
      <c r="K145" s="1">
        <v>425</v>
      </c>
      <c r="L145" s="1">
        <v>-94.5</v>
      </c>
      <c r="M145" s="1">
        <v>-7.6</v>
      </c>
      <c r="N145" s="1">
        <v>-2.2000000000000002</v>
      </c>
      <c r="O145" s="1">
        <v>0</v>
      </c>
      <c r="P145" s="1">
        <v>0</v>
      </c>
      <c r="Q145" s="1">
        <v>0</v>
      </c>
      <c r="R145" s="1">
        <v>558</v>
      </c>
      <c r="S145" s="1">
        <v>556</v>
      </c>
    </row>
    <row r="146" spans="1:19" x14ac:dyDescent="0.25">
      <c r="A146" s="1">
        <v>450</v>
      </c>
      <c r="B146" s="1">
        <v>538</v>
      </c>
      <c r="C146" s="1">
        <v>517</v>
      </c>
      <c r="D146" s="1">
        <v>-119.8</v>
      </c>
      <c r="E146" s="1">
        <v>9.1</v>
      </c>
      <c r="F146" s="1">
        <v>2.7</v>
      </c>
      <c r="G146">
        <v>0</v>
      </c>
      <c r="H146">
        <v>0</v>
      </c>
      <c r="I146">
        <v>0</v>
      </c>
      <c r="K146" s="1">
        <v>450</v>
      </c>
      <c r="L146" s="1">
        <v>-112.7</v>
      </c>
      <c r="M146" s="1">
        <v>-8.6</v>
      </c>
      <c r="N146" s="1">
        <v>-2.5</v>
      </c>
      <c r="O146" s="1">
        <v>0</v>
      </c>
      <c r="P146" s="1">
        <v>0</v>
      </c>
      <c r="Q146" s="1">
        <v>0</v>
      </c>
      <c r="R146" s="1">
        <v>539</v>
      </c>
      <c r="S146" s="1">
        <v>518</v>
      </c>
    </row>
    <row r="147" spans="1:19" x14ac:dyDescent="0.25">
      <c r="A147" s="1">
        <v>475</v>
      </c>
      <c r="B147" s="1">
        <v>519</v>
      </c>
      <c r="C147" s="1">
        <v>481</v>
      </c>
      <c r="D147" s="1">
        <v>-141.5</v>
      </c>
      <c r="E147" s="1">
        <v>10.199999999999999</v>
      </c>
      <c r="F147" s="1">
        <v>3</v>
      </c>
      <c r="G147">
        <v>0</v>
      </c>
      <c r="H147">
        <v>0</v>
      </c>
      <c r="I147">
        <v>0</v>
      </c>
      <c r="K147" s="1">
        <v>475</v>
      </c>
      <c r="L147" s="1">
        <v>-133</v>
      </c>
      <c r="M147" s="1">
        <v>-9.6</v>
      </c>
      <c r="N147" s="1">
        <v>-2.8</v>
      </c>
      <c r="O147" s="1">
        <v>0</v>
      </c>
      <c r="P147" s="1">
        <v>0</v>
      </c>
      <c r="Q147" s="1">
        <v>0</v>
      </c>
      <c r="R147" s="1">
        <v>521</v>
      </c>
      <c r="S147" s="1">
        <v>483</v>
      </c>
    </row>
    <row r="148" spans="1:19" x14ac:dyDescent="0.25">
      <c r="A148" s="1">
        <v>500</v>
      </c>
      <c r="B148" s="1">
        <v>502</v>
      </c>
      <c r="C148" s="1">
        <v>448</v>
      </c>
      <c r="D148" s="1">
        <v>-165.7</v>
      </c>
      <c r="E148" s="1">
        <v>11.4</v>
      </c>
      <c r="F148" s="1">
        <v>3.3</v>
      </c>
      <c r="G148">
        <v>0</v>
      </c>
      <c r="H148">
        <v>0</v>
      </c>
      <c r="I148">
        <v>0</v>
      </c>
      <c r="K148" s="1">
        <v>500</v>
      </c>
      <c r="L148" s="1">
        <v>-156.4</v>
      </c>
      <c r="M148" s="1">
        <v>-10.8</v>
      </c>
      <c r="N148" s="1">
        <v>-3.1</v>
      </c>
      <c r="O148" s="1">
        <v>0</v>
      </c>
      <c r="P148" s="1">
        <v>0</v>
      </c>
      <c r="Q148" s="1">
        <v>0</v>
      </c>
      <c r="R148" s="1">
        <v>502</v>
      </c>
      <c r="S148" s="1">
        <v>449</v>
      </c>
    </row>
    <row r="150" spans="1:19" x14ac:dyDescent="0.25">
      <c r="A150" t="s">
        <v>9</v>
      </c>
      <c r="K150" t="s">
        <v>50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33</v>
      </c>
      <c r="H151" t="s">
        <v>34</v>
      </c>
      <c r="I151" t="s">
        <v>35</v>
      </c>
      <c r="K151" t="s">
        <v>38</v>
      </c>
      <c r="L151" t="s">
        <v>39</v>
      </c>
      <c r="M151" t="s">
        <v>40</v>
      </c>
      <c r="N151" t="s">
        <v>41</v>
      </c>
      <c r="O151" t="s">
        <v>42</v>
      </c>
      <c r="P151" t="s">
        <v>34</v>
      </c>
      <c r="Q151" t="s">
        <v>43</v>
      </c>
      <c r="R151" t="s">
        <v>44</v>
      </c>
      <c r="S151" t="s">
        <v>45</v>
      </c>
    </row>
    <row r="152" spans="1:19" x14ac:dyDescent="0.25">
      <c r="A152" s="1">
        <v>0</v>
      </c>
      <c r="B152" s="1">
        <v>958</v>
      </c>
      <c r="C152" s="1">
        <v>1634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-3.8</v>
      </c>
      <c r="M152" s="1" t="s">
        <v>46</v>
      </c>
      <c r="N152" s="1" t="s">
        <v>46</v>
      </c>
      <c r="O152" s="1">
        <v>0</v>
      </c>
      <c r="P152" s="1" t="s">
        <v>46</v>
      </c>
      <c r="Q152" s="1" t="s">
        <v>46</v>
      </c>
      <c r="R152" s="1">
        <v>958</v>
      </c>
      <c r="S152" s="1">
        <v>1635</v>
      </c>
    </row>
    <row r="153" spans="1:19" x14ac:dyDescent="0.25">
      <c r="A153" s="1">
        <v>25</v>
      </c>
      <c r="B153" s="1">
        <v>930</v>
      </c>
      <c r="C153" s="1">
        <v>1542</v>
      </c>
      <c r="D153" s="1">
        <v>-0.5</v>
      </c>
      <c r="E153" s="1">
        <v>0.7</v>
      </c>
      <c r="F153" s="1">
        <v>0.2</v>
      </c>
      <c r="G153">
        <v>0</v>
      </c>
      <c r="H153">
        <v>0</v>
      </c>
      <c r="I153">
        <v>0</v>
      </c>
      <c r="K153" s="1">
        <v>25</v>
      </c>
      <c r="L153" s="1">
        <v>-0.6</v>
      </c>
      <c r="M153" s="1">
        <v>-0.8</v>
      </c>
      <c r="N153" s="1">
        <v>-0.2</v>
      </c>
      <c r="O153" s="1">
        <v>0</v>
      </c>
      <c r="P153" s="1">
        <v>0</v>
      </c>
      <c r="Q153" s="1">
        <v>0</v>
      </c>
      <c r="R153" s="1">
        <v>931</v>
      </c>
      <c r="S153" s="1">
        <v>1544</v>
      </c>
    </row>
    <row r="154" spans="1:19" x14ac:dyDescent="0.25">
      <c r="A154" s="1">
        <v>50</v>
      </c>
      <c r="B154" s="1">
        <v>903</v>
      </c>
      <c r="C154" s="1">
        <v>1455</v>
      </c>
      <c r="D154" s="1">
        <v>2.2000000000000002</v>
      </c>
      <c r="E154" s="1">
        <v>-1.5</v>
      </c>
      <c r="F154" s="1">
        <v>-0.4</v>
      </c>
      <c r="G154">
        <v>0</v>
      </c>
      <c r="H154">
        <v>0</v>
      </c>
      <c r="I154">
        <v>0</v>
      </c>
      <c r="K154" s="1">
        <v>50</v>
      </c>
      <c r="L154" s="1">
        <v>2.1</v>
      </c>
      <c r="M154" s="1">
        <v>1.4</v>
      </c>
      <c r="N154" s="1">
        <v>0.4</v>
      </c>
      <c r="O154" s="1">
        <v>0</v>
      </c>
      <c r="P154" s="1">
        <v>0</v>
      </c>
      <c r="Q154" s="1">
        <v>0</v>
      </c>
      <c r="R154" s="1">
        <v>903</v>
      </c>
      <c r="S154" s="1">
        <v>1455</v>
      </c>
    </row>
    <row r="155" spans="1:19" x14ac:dyDescent="0.25">
      <c r="A155" s="1">
        <v>75</v>
      </c>
      <c r="B155" s="1">
        <v>877</v>
      </c>
      <c r="C155" s="1">
        <v>1372</v>
      </c>
      <c r="D155" s="1">
        <v>4</v>
      </c>
      <c r="E155" s="1">
        <v>-1.8</v>
      </c>
      <c r="F155" s="1">
        <v>-0.5</v>
      </c>
      <c r="G155">
        <v>0</v>
      </c>
      <c r="H155">
        <v>0</v>
      </c>
      <c r="I155">
        <v>0</v>
      </c>
      <c r="K155" s="1">
        <v>75</v>
      </c>
      <c r="L155" s="1">
        <v>3.9</v>
      </c>
      <c r="M155" s="1">
        <v>1.8</v>
      </c>
      <c r="N155" s="1">
        <v>0.5</v>
      </c>
      <c r="O155" s="1">
        <v>0</v>
      </c>
      <c r="P155" s="1">
        <v>0</v>
      </c>
      <c r="Q155" s="1">
        <v>0</v>
      </c>
      <c r="R155" s="1">
        <v>878</v>
      </c>
      <c r="S155" s="1">
        <v>1373</v>
      </c>
    </row>
    <row r="156" spans="1:19" x14ac:dyDescent="0.25">
      <c r="A156" s="1">
        <v>100</v>
      </c>
      <c r="B156" s="1">
        <v>852</v>
      </c>
      <c r="C156" s="1">
        <v>1293</v>
      </c>
      <c r="D156" s="1">
        <v>5.0999999999999996</v>
      </c>
      <c r="E156" s="1">
        <v>-1.7</v>
      </c>
      <c r="F156" s="1">
        <v>-0.5</v>
      </c>
      <c r="G156">
        <v>0</v>
      </c>
      <c r="H156">
        <v>0</v>
      </c>
      <c r="I156">
        <v>0</v>
      </c>
      <c r="K156" s="1">
        <v>100</v>
      </c>
      <c r="L156" s="1">
        <v>4.9000000000000004</v>
      </c>
      <c r="M156" s="1">
        <v>1.7</v>
      </c>
      <c r="N156" s="1">
        <v>0.5</v>
      </c>
      <c r="O156" s="1">
        <v>0</v>
      </c>
      <c r="P156" s="1">
        <v>0</v>
      </c>
      <c r="Q156" s="1">
        <v>0</v>
      </c>
      <c r="R156" s="1">
        <v>853</v>
      </c>
      <c r="S156" s="1">
        <v>1295</v>
      </c>
    </row>
    <row r="157" spans="1:19" x14ac:dyDescent="0.25">
      <c r="A157" s="1">
        <v>125</v>
      </c>
      <c r="B157" s="1">
        <v>827</v>
      </c>
      <c r="C157" s="1">
        <v>1218</v>
      </c>
      <c r="D157" s="1">
        <v>5.2</v>
      </c>
      <c r="E157" s="1">
        <v>-1.4</v>
      </c>
      <c r="F157" s="1">
        <v>-0.4</v>
      </c>
      <c r="G157">
        <v>0</v>
      </c>
      <c r="H157">
        <v>0</v>
      </c>
      <c r="I157">
        <v>0</v>
      </c>
      <c r="K157" s="1">
        <v>125</v>
      </c>
      <c r="L157" s="1">
        <v>5.0999999999999996</v>
      </c>
      <c r="M157" s="1">
        <v>1.4</v>
      </c>
      <c r="N157" s="1">
        <v>0.4</v>
      </c>
      <c r="O157" s="1">
        <v>0</v>
      </c>
      <c r="P157" s="1">
        <v>0</v>
      </c>
      <c r="Q157" s="1">
        <v>0</v>
      </c>
      <c r="R157" s="1">
        <v>827</v>
      </c>
      <c r="S157" s="1">
        <v>1218</v>
      </c>
    </row>
    <row r="158" spans="1:19" x14ac:dyDescent="0.25">
      <c r="A158" s="1">
        <v>150</v>
      </c>
      <c r="B158" s="1">
        <v>802</v>
      </c>
      <c r="C158" s="1">
        <v>1146</v>
      </c>
      <c r="D158" s="1">
        <v>4.5</v>
      </c>
      <c r="E158" s="1">
        <v>-1</v>
      </c>
      <c r="F158" s="1">
        <v>-0.3</v>
      </c>
      <c r="G158">
        <v>0</v>
      </c>
      <c r="H158">
        <v>0</v>
      </c>
      <c r="I158">
        <v>0</v>
      </c>
      <c r="K158" s="1">
        <v>150</v>
      </c>
      <c r="L158" s="1">
        <v>4.4000000000000004</v>
      </c>
      <c r="M158" s="1">
        <v>1</v>
      </c>
      <c r="N158" s="1">
        <v>0.3</v>
      </c>
      <c r="O158" s="1">
        <v>0</v>
      </c>
      <c r="P158" s="1">
        <v>0</v>
      </c>
      <c r="Q158" s="1">
        <v>0</v>
      </c>
      <c r="R158" s="1">
        <v>803</v>
      </c>
      <c r="S158" s="1">
        <v>1147</v>
      </c>
    </row>
    <row r="159" spans="1:19" x14ac:dyDescent="0.25">
      <c r="A159" s="1">
        <v>175</v>
      </c>
      <c r="B159" s="1">
        <v>778</v>
      </c>
      <c r="C159" s="1">
        <v>1078</v>
      </c>
      <c r="D159" s="1">
        <v>2.8</v>
      </c>
      <c r="E159" s="1">
        <v>-0.6</v>
      </c>
      <c r="F159" s="1">
        <v>-0.2</v>
      </c>
      <c r="G159">
        <v>0</v>
      </c>
      <c r="H159">
        <v>0</v>
      </c>
      <c r="I159">
        <v>0</v>
      </c>
      <c r="K159" s="1">
        <v>175</v>
      </c>
      <c r="L159" s="1">
        <v>2.7</v>
      </c>
      <c r="M159" s="1">
        <v>0.5</v>
      </c>
      <c r="N159" s="1">
        <v>0.2</v>
      </c>
      <c r="O159" s="1">
        <v>0</v>
      </c>
      <c r="P159" s="1">
        <v>0</v>
      </c>
      <c r="Q159" s="1">
        <v>0</v>
      </c>
      <c r="R159" s="1">
        <v>778</v>
      </c>
      <c r="S159" s="1">
        <v>1081</v>
      </c>
    </row>
    <row r="160" spans="1:19" x14ac:dyDescent="0.25">
      <c r="A160" s="10">
        <v>200</v>
      </c>
      <c r="B160" s="10">
        <v>754</v>
      </c>
      <c r="C160" s="10">
        <v>1013</v>
      </c>
      <c r="D160" s="10">
        <v>0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>
        <v>200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754</v>
      </c>
      <c r="S160" s="1">
        <v>1013</v>
      </c>
    </row>
    <row r="161" spans="1:19" x14ac:dyDescent="0.25">
      <c r="A161" s="1">
        <v>225</v>
      </c>
      <c r="B161" s="1">
        <v>730</v>
      </c>
      <c r="C161" s="1">
        <v>951</v>
      </c>
      <c r="D161" s="1">
        <v>-3.9</v>
      </c>
      <c r="E161" s="1">
        <v>0.6</v>
      </c>
      <c r="F161" s="1">
        <v>0.2</v>
      </c>
      <c r="G161">
        <v>0</v>
      </c>
      <c r="H161">
        <v>0</v>
      </c>
      <c r="I161">
        <v>0</v>
      </c>
      <c r="K161" s="1">
        <v>225</v>
      </c>
      <c r="L161" s="1">
        <v>-3.7</v>
      </c>
      <c r="M161" s="1">
        <v>-0.6</v>
      </c>
      <c r="N161" s="1">
        <v>-0.2</v>
      </c>
      <c r="O161" s="1">
        <v>0</v>
      </c>
      <c r="P161" s="1">
        <v>0</v>
      </c>
      <c r="Q161" s="1">
        <v>0</v>
      </c>
      <c r="R161" s="1">
        <v>731</v>
      </c>
      <c r="S161" s="1">
        <v>952</v>
      </c>
    </row>
    <row r="162" spans="1:19" x14ac:dyDescent="0.25">
      <c r="A162" s="1">
        <v>250</v>
      </c>
      <c r="B162" s="1">
        <v>707</v>
      </c>
      <c r="C162" s="1">
        <v>892</v>
      </c>
      <c r="D162" s="1">
        <v>-9</v>
      </c>
      <c r="E162" s="1">
        <v>1.2</v>
      </c>
      <c r="F162" s="1">
        <v>0.4</v>
      </c>
      <c r="G162">
        <v>0</v>
      </c>
      <c r="H162">
        <v>0</v>
      </c>
      <c r="I162">
        <v>0</v>
      </c>
      <c r="K162" s="1">
        <v>250</v>
      </c>
      <c r="L162" s="1">
        <v>-8.5</v>
      </c>
      <c r="M162" s="1">
        <v>-1.2</v>
      </c>
      <c r="N162" s="1">
        <v>-0.3</v>
      </c>
      <c r="O162" s="1">
        <v>0</v>
      </c>
      <c r="P162" s="1">
        <v>0</v>
      </c>
      <c r="Q162" s="1">
        <v>0</v>
      </c>
      <c r="R162" s="1">
        <v>708</v>
      </c>
      <c r="S162" s="1">
        <v>893</v>
      </c>
    </row>
    <row r="163" spans="1:19" x14ac:dyDescent="0.25">
      <c r="A163" s="1">
        <v>275</v>
      </c>
      <c r="B163" s="1">
        <v>685</v>
      </c>
      <c r="C163" s="1">
        <v>836</v>
      </c>
      <c r="D163" s="1">
        <v>-15.5</v>
      </c>
      <c r="E163" s="1">
        <v>1.9</v>
      </c>
      <c r="F163" s="1">
        <v>0.6</v>
      </c>
      <c r="G163">
        <v>0</v>
      </c>
      <c r="H163">
        <v>0</v>
      </c>
      <c r="I163">
        <v>0</v>
      </c>
      <c r="K163" s="1">
        <v>275</v>
      </c>
      <c r="L163" s="1">
        <v>-14.8</v>
      </c>
      <c r="M163" s="1">
        <v>-1.8</v>
      </c>
      <c r="N163" s="1">
        <v>-0.5</v>
      </c>
      <c r="O163" s="1">
        <v>0</v>
      </c>
      <c r="P163" s="1">
        <v>0</v>
      </c>
      <c r="Q163" s="1">
        <v>0</v>
      </c>
      <c r="R163" s="1">
        <v>685</v>
      </c>
      <c r="S163" s="1">
        <v>837</v>
      </c>
    </row>
    <row r="164" spans="1:19" x14ac:dyDescent="0.25">
      <c r="A164" s="1">
        <v>300</v>
      </c>
      <c r="B164" s="1">
        <v>663</v>
      </c>
      <c r="C164" s="1">
        <v>782</v>
      </c>
      <c r="D164" s="1">
        <v>-23.3</v>
      </c>
      <c r="E164" s="1">
        <v>2.7</v>
      </c>
      <c r="F164" s="1">
        <v>0.8</v>
      </c>
      <c r="G164">
        <v>0</v>
      </c>
      <c r="H164">
        <v>0</v>
      </c>
      <c r="I164">
        <v>0</v>
      </c>
      <c r="K164" s="1">
        <v>300</v>
      </c>
      <c r="L164" s="1">
        <v>-22.2</v>
      </c>
      <c r="M164" s="1">
        <v>-2.5</v>
      </c>
      <c r="N164" s="1">
        <v>-0.7</v>
      </c>
      <c r="O164" s="1">
        <v>0</v>
      </c>
      <c r="P164" s="1">
        <v>0</v>
      </c>
      <c r="Q164" s="1">
        <v>0</v>
      </c>
      <c r="R164" s="1">
        <v>663</v>
      </c>
      <c r="S164" s="1">
        <v>784</v>
      </c>
    </row>
    <row r="165" spans="1:19" x14ac:dyDescent="0.25">
      <c r="A165" s="1">
        <v>325</v>
      </c>
      <c r="B165" s="1">
        <v>641</v>
      </c>
      <c r="C165" s="1">
        <v>732</v>
      </c>
      <c r="D165" s="1">
        <v>-32.5</v>
      </c>
      <c r="E165" s="1">
        <v>3.4</v>
      </c>
      <c r="F165" s="1">
        <v>1</v>
      </c>
      <c r="G165">
        <v>0</v>
      </c>
      <c r="H165">
        <v>0</v>
      </c>
      <c r="I165">
        <v>0</v>
      </c>
      <c r="K165" s="1">
        <v>325</v>
      </c>
      <c r="L165" s="1">
        <v>-30.9</v>
      </c>
      <c r="M165" s="1">
        <v>-3.3</v>
      </c>
      <c r="N165" s="1">
        <v>-1</v>
      </c>
      <c r="O165" s="1">
        <v>0</v>
      </c>
      <c r="P165" s="1">
        <v>0</v>
      </c>
      <c r="Q165" s="1">
        <v>0</v>
      </c>
      <c r="R165" s="1">
        <v>642</v>
      </c>
      <c r="S165" s="1">
        <v>735</v>
      </c>
    </row>
    <row r="166" spans="1:19" x14ac:dyDescent="0.25">
      <c r="A166" s="1">
        <v>350</v>
      </c>
      <c r="B166" s="1">
        <v>619</v>
      </c>
      <c r="C166" s="1">
        <v>684</v>
      </c>
      <c r="D166" s="1">
        <v>-43.7</v>
      </c>
      <c r="E166" s="1">
        <v>4.3</v>
      </c>
      <c r="F166" s="1">
        <v>1.2</v>
      </c>
      <c r="G166">
        <v>0</v>
      </c>
      <c r="H166">
        <v>0</v>
      </c>
      <c r="I166">
        <v>0</v>
      </c>
      <c r="K166" s="1">
        <v>350</v>
      </c>
      <c r="L166" s="1">
        <v>-41.4</v>
      </c>
      <c r="M166" s="1">
        <v>-4.0999999999999996</v>
      </c>
      <c r="N166" s="1">
        <v>-1.2</v>
      </c>
      <c r="O166" s="1">
        <v>0</v>
      </c>
      <c r="P166" s="1">
        <v>0</v>
      </c>
      <c r="Q166" s="1">
        <v>0</v>
      </c>
      <c r="R166" s="1">
        <v>620</v>
      </c>
      <c r="S166" s="1">
        <v>685</v>
      </c>
    </row>
    <row r="167" spans="1:19" x14ac:dyDescent="0.25">
      <c r="A167" s="1">
        <v>375</v>
      </c>
      <c r="B167" s="1">
        <v>598</v>
      </c>
      <c r="C167" s="1">
        <v>638</v>
      </c>
      <c r="D167" s="1">
        <v>-56.3</v>
      </c>
      <c r="E167" s="1">
        <v>5.2</v>
      </c>
      <c r="F167" s="1">
        <v>1.5</v>
      </c>
      <c r="G167">
        <v>0</v>
      </c>
      <c r="H167">
        <v>0</v>
      </c>
      <c r="I167">
        <v>0</v>
      </c>
      <c r="K167" s="1">
        <v>375</v>
      </c>
      <c r="L167" s="1">
        <v>-53.1</v>
      </c>
      <c r="M167" s="1">
        <v>-4.9000000000000004</v>
      </c>
      <c r="N167" s="1">
        <v>-1.4</v>
      </c>
      <c r="O167" s="1">
        <v>0</v>
      </c>
      <c r="P167" s="1">
        <v>0</v>
      </c>
      <c r="Q167" s="1">
        <v>0</v>
      </c>
      <c r="R167" s="1">
        <v>599</v>
      </c>
      <c r="S167" s="1">
        <v>640</v>
      </c>
    </row>
    <row r="168" spans="1:19" x14ac:dyDescent="0.25">
      <c r="A168" s="1">
        <v>400</v>
      </c>
      <c r="B168" s="1">
        <v>578</v>
      </c>
      <c r="C168" s="1">
        <v>595</v>
      </c>
      <c r="D168" s="1">
        <v>-70.7</v>
      </c>
      <c r="E168" s="1">
        <v>6.1</v>
      </c>
      <c r="F168" s="1">
        <v>1.8</v>
      </c>
      <c r="G168">
        <v>0</v>
      </c>
      <c r="H168">
        <v>0</v>
      </c>
      <c r="I168">
        <v>0</v>
      </c>
      <c r="K168" s="1">
        <v>400</v>
      </c>
      <c r="L168" s="1">
        <v>-66.3</v>
      </c>
      <c r="M168" s="1">
        <v>-5.7</v>
      </c>
      <c r="N168" s="1">
        <v>-1.7</v>
      </c>
      <c r="O168" s="1">
        <v>0</v>
      </c>
      <c r="P168" s="1">
        <v>0</v>
      </c>
      <c r="Q168" s="1">
        <v>0</v>
      </c>
      <c r="R168" s="1">
        <v>579</v>
      </c>
      <c r="S168" s="1">
        <v>597</v>
      </c>
    </row>
    <row r="169" spans="1:19" x14ac:dyDescent="0.25">
      <c r="A169" s="1">
        <v>425</v>
      </c>
      <c r="B169" s="1">
        <v>558</v>
      </c>
      <c r="C169" s="1">
        <v>555</v>
      </c>
      <c r="D169" s="1">
        <v>-87.7</v>
      </c>
      <c r="E169" s="1">
        <v>7.1</v>
      </c>
      <c r="F169" s="1">
        <v>2.1</v>
      </c>
      <c r="G169">
        <v>0</v>
      </c>
      <c r="H169">
        <v>0</v>
      </c>
      <c r="I169">
        <v>0</v>
      </c>
      <c r="K169" s="1">
        <v>425</v>
      </c>
      <c r="L169" s="1">
        <v>-82.2</v>
      </c>
      <c r="M169" s="1">
        <v>-6.6</v>
      </c>
      <c r="N169" s="1">
        <v>-1.9</v>
      </c>
      <c r="O169" s="1">
        <v>0</v>
      </c>
      <c r="P169" s="1">
        <v>0</v>
      </c>
      <c r="Q169" s="1">
        <v>0</v>
      </c>
      <c r="R169" s="1">
        <v>558</v>
      </c>
      <c r="S169" s="1">
        <v>556</v>
      </c>
    </row>
    <row r="170" spans="1:19" x14ac:dyDescent="0.25">
      <c r="A170" s="1">
        <v>450</v>
      </c>
      <c r="B170" s="1">
        <v>538</v>
      </c>
      <c r="C170" s="1">
        <v>517</v>
      </c>
      <c r="D170" s="1">
        <v>-106.3</v>
      </c>
      <c r="E170" s="1">
        <v>8.1</v>
      </c>
      <c r="F170" s="1">
        <v>2.4</v>
      </c>
      <c r="G170">
        <v>0</v>
      </c>
      <c r="H170">
        <v>0</v>
      </c>
      <c r="I170">
        <v>0</v>
      </c>
      <c r="K170" s="1">
        <v>450</v>
      </c>
      <c r="L170" s="1">
        <v>-99.6</v>
      </c>
      <c r="M170" s="1">
        <v>-7.6</v>
      </c>
      <c r="N170" s="1">
        <v>-2.2000000000000002</v>
      </c>
      <c r="O170" s="1">
        <v>0</v>
      </c>
      <c r="P170" s="1">
        <v>0</v>
      </c>
      <c r="Q170" s="1">
        <v>0</v>
      </c>
      <c r="R170" s="1">
        <v>539</v>
      </c>
      <c r="S170" s="1">
        <v>518</v>
      </c>
    </row>
    <row r="171" spans="1:19" x14ac:dyDescent="0.25">
      <c r="A171" s="1">
        <v>475</v>
      </c>
      <c r="B171" s="1">
        <v>519</v>
      </c>
      <c r="C171" s="1">
        <v>481</v>
      </c>
      <c r="D171" s="1">
        <v>-127.3</v>
      </c>
      <c r="E171" s="1">
        <v>9.1999999999999993</v>
      </c>
      <c r="F171" s="1">
        <v>2.7</v>
      </c>
      <c r="G171">
        <v>0</v>
      </c>
      <c r="H171">
        <v>0</v>
      </c>
      <c r="I171">
        <v>0</v>
      </c>
      <c r="K171" s="1">
        <v>475</v>
      </c>
      <c r="L171" s="1">
        <v>-119.2</v>
      </c>
      <c r="M171" s="1">
        <v>-8.6</v>
      </c>
      <c r="N171" s="1">
        <v>-2.5</v>
      </c>
      <c r="O171" s="1">
        <v>0</v>
      </c>
      <c r="P171" s="1">
        <v>0</v>
      </c>
      <c r="Q171" s="1">
        <v>0</v>
      </c>
      <c r="R171" s="1">
        <v>521</v>
      </c>
      <c r="S171" s="1">
        <v>483</v>
      </c>
    </row>
    <row r="172" spans="1:19" x14ac:dyDescent="0.25">
      <c r="A172" s="1">
        <v>500</v>
      </c>
      <c r="B172" s="1">
        <v>502</v>
      </c>
      <c r="C172" s="1">
        <v>448</v>
      </c>
      <c r="D172" s="1">
        <v>-150.80000000000001</v>
      </c>
      <c r="E172" s="1">
        <v>10.4</v>
      </c>
      <c r="F172" s="1">
        <v>3</v>
      </c>
      <c r="G172">
        <v>0</v>
      </c>
      <c r="H172">
        <v>0</v>
      </c>
      <c r="I172">
        <v>0</v>
      </c>
      <c r="K172" s="1">
        <v>500</v>
      </c>
      <c r="L172" s="1">
        <v>-141.9</v>
      </c>
      <c r="M172" s="1">
        <v>-9.8000000000000007</v>
      </c>
      <c r="N172" s="1">
        <v>-2.8</v>
      </c>
      <c r="O172" s="1">
        <v>0</v>
      </c>
      <c r="P172" s="1">
        <v>0</v>
      </c>
      <c r="Q172" s="1">
        <v>0</v>
      </c>
      <c r="R172" s="1">
        <v>502</v>
      </c>
      <c r="S172" s="1">
        <v>449</v>
      </c>
    </row>
    <row r="174" spans="1:19" x14ac:dyDescent="0.25">
      <c r="A174" t="s">
        <v>10</v>
      </c>
      <c r="K174" t="s">
        <v>51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33</v>
      </c>
      <c r="H175" t="s">
        <v>34</v>
      </c>
      <c r="I175" t="s">
        <v>35</v>
      </c>
      <c r="K175" t="s">
        <v>38</v>
      </c>
      <c r="L175" t="s">
        <v>39</v>
      </c>
      <c r="M175" t="s">
        <v>40</v>
      </c>
      <c r="N175" t="s">
        <v>41</v>
      </c>
      <c r="O175" t="s">
        <v>42</v>
      </c>
      <c r="P175" t="s">
        <v>34</v>
      </c>
      <c r="Q175" t="s">
        <v>43</v>
      </c>
      <c r="R175" t="s">
        <v>44</v>
      </c>
      <c r="S175" t="s">
        <v>45</v>
      </c>
    </row>
    <row r="176" spans="1:19" x14ac:dyDescent="0.25">
      <c r="A176" s="1">
        <v>0</v>
      </c>
      <c r="B176" s="1">
        <v>958</v>
      </c>
      <c r="C176" s="1">
        <v>1634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-3.8</v>
      </c>
      <c r="M176" s="1" t="s">
        <v>46</v>
      </c>
      <c r="N176" s="1" t="s">
        <v>46</v>
      </c>
      <c r="O176" s="1">
        <v>0</v>
      </c>
      <c r="P176" s="1" t="s">
        <v>46</v>
      </c>
      <c r="Q176" s="1" t="s">
        <v>46</v>
      </c>
      <c r="R176" s="1">
        <v>958</v>
      </c>
      <c r="S176" s="1">
        <v>1635</v>
      </c>
    </row>
    <row r="177" spans="1:19" x14ac:dyDescent="0.25">
      <c r="A177" s="1">
        <v>25</v>
      </c>
      <c r="B177" s="1">
        <v>930</v>
      </c>
      <c r="C177" s="1">
        <v>1542</v>
      </c>
      <c r="D177" s="1">
        <v>1.4</v>
      </c>
      <c r="E177" s="1">
        <v>-2</v>
      </c>
      <c r="F177" s="1">
        <v>-0.6</v>
      </c>
      <c r="G177">
        <v>0</v>
      </c>
      <c r="H177">
        <v>0</v>
      </c>
      <c r="I177">
        <v>0</v>
      </c>
      <c r="K177" s="1">
        <v>25</v>
      </c>
      <c r="L177" s="1">
        <v>1.3</v>
      </c>
      <c r="M177" s="1">
        <v>1.8</v>
      </c>
      <c r="N177" s="1">
        <v>0.5</v>
      </c>
      <c r="O177" s="1">
        <v>0</v>
      </c>
      <c r="P177" s="1">
        <v>0</v>
      </c>
      <c r="Q177" s="1">
        <v>0</v>
      </c>
      <c r="R177" s="1">
        <v>931</v>
      </c>
      <c r="S177" s="1">
        <v>1544</v>
      </c>
    </row>
    <row r="178" spans="1:19" x14ac:dyDescent="0.25">
      <c r="A178" s="1">
        <v>50</v>
      </c>
      <c r="B178" s="1">
        <v>903</v>
      </c>
      <c r="C178" s="1">
        <v>1455</v>
      </c>
      <c r="D178" s="1">
        <v>6.1</v>
      </c>
      <c r="E178" s="1">
        <v>-4.2</v>
      </c>
      <c r="F178" s="1">
        <v>-1.2</v>
      </c>
      <c r="G178">
        <v>0</v>
      </c>
      <c r="H178">
        <v>0</v>
      </c>
      <c r="I178">
        <v>0</v>
      </c>
      <c r="K178" s="1">
        <v>50</v>
      </c>
      <c r="L178" s="1">
        <v>5.8</v>
      </c>
      <c r="M178" s="1">
        <v>4</v>
      </c>
      <c r="N178" s="1">
        <v>1.2</v>
      </c>
      <c r="O178" s="1">
        <v>0</v>
      </c>
      <c r="P178" s="1">
        <v>0</v>
      </c>
      <c r="Q178" s="1">
        <v>0</v>
      </c>
      <c r="R178" s="1">
        <v>903</v>
      </c>
      <c r="S178" s="1">
        <v>1455</v>
      </c>
    </row>
    <row r="179" spans="1:19" x14ac:dyDescent="0.25">
      <c r="A179" s="1">
        <v>75</v>
      </c>
      <c r="B179" s="1">
        <v>877</v>
      </c>
      <c r="C179" s="1">
        <v>1372</v>
      </c>
      <c r="D179" s="1">
        <v>9.9</v>
      </c>
      <c r="E179" s="1">
        <v>-4.5</v>
      </c>
      <c r="F179" s="1">
        <v>-1.3</v>
      </c>
      <c r="G179">
        <v>0</v>
      </c>
      <c r="H179">
        <v>0</v>
      </c>
      <c r="I179">
        <v>0</v>
      </c>
      <c r="K179" s="1">
        <v>75</v>
      </c>
      <c r="L179" s="1">
        <v>9.4</v>
      </c>
      <c r="M179" s="1">
        <v>4.3</v>
      </c>
      <c r="N179" s="1">
        <v>1.3</v>
      </c>
      <c r="O179" s="1">
        <v>0</v>
      </c>
      <c r="P179" s="1">
        <v>0</v>
      </c>
      <c r="Q179" s="1">
        <v>0</v>
      </c>
      <c r="R179" s="1">
        <v>878</v>
      </c>
      <c r="S179" s="1">
        <v>1373</v>
      </c>
    </row>
    <row r="180" spans="1:19" x14ac:dyDescent="0.25">
      <c r="A180" s="1">
        <v>100</v>
      </c>
      <c r="B180" s="1">
        <v>852</v>
      </c>
      <c r="C180" s="1">
        <v>1293</v>
      </c>
      <c r="D180" s="1">
        <v>12.8</v>
      </c>
      <c r="E180" s="1">
        <v>-4.4000000000000004</v>
      </c>
      <c r="F180" s="1">
        <v>-1.3</v>
      </c>
      <c r="G180">
        <v>0</v>
      </c>
      <c r="H180">
        <v>0</v>
      </c>
      <c r="I180">
        <v>0</v>
      </c>
      <c r="K180" s="1">
        <v>100</v>
      </c>
      <c r="L180" s="1">
        <v>12.3</v>
      </c>
      <c r="M180" s="1">
        <v>4.2</v>
      </c>
      <c r="N180" s="1">
        <v>1.2</v>
      </c>
      <c r="O180" s="1">
        <v>0</v>
      </c>
      <c r="P180" s="1">
        <v>0</v>
      </c>
      <c r="Q180" s="1">
        <v>0</v>
      </c>
      <c r="R180" s="1">
        <v>853</v>
      </c>
      <c r="S180" s="1">
        <v>1295</v>
      </c>
    </row>
    <row r="181" spans="1:19" x14ac:dyDescent="0.25">
      <c r="A181" s="1">
        <v>125</v>
      </c>
      <c r="B181" s="1">
        <v>827</v>
      </c>
      <c r="C181" s="1">
        <v>1218</v>
      </c>
      <c r="D181" s="1">
        <v>15</v>
      </c>
      <c r="E181" s="1">
        <v>-4.0999999999999996</v>
      </c>
      <c r="F181" s="1">
        <v>-1.2</v>
      </c>
      <c r="G181">
        <v>0</v>
      </c>
      <c r="H181">
        <v>0</v>
      </c>
      <c r="I181">
        <v>0</v>
      </c>
      <c r="K181" s="1">
        <v>125</v>
      </c>
      <c r="L181" s="1">
        <v>14.3</v>
      </c>
      <c r="M181" s="1">
        <v>3.9</v>
      </c>
      <c r="N181" s="1">
        <v>1.1000000000000001</v>
      </c>
      <c r="O181" s="1">
        <v>0</v>
      </c>
      <c r="P181" s="1">
        <v>0</v>
      </c>
      <c r="Q181" s="1">
        <v>0</v>
      </c>
      <c r="R181" s="1">
        <v>827</v>
      </c>
      <c r="S181" s="1">
        <v>1218</v>
      </c>
    </row>
    <row r="182" spans="1:19" x14ac:dyDescent="0.25">
      <c r="A182" s="1">
        <v>150</v>
      </c>
      <c r="B182" s="1">
        <v>802</v>
      </c>
      <c r="C182" s="1">
        <v>1146</v>
      </c>
      <c r="D182" s="1">
        <v>16.2</v>
      </c>
      <c r="E182" s="1">
        <v>-3.7</v>
      </c>
      <c r="F182" s="1">
        <v>-1.1000000000000001</v>
      </c>
      <c r="G182">
        <v>0</v>
      </c>
      <c r="H182">
        <v>0</v>
      </c>
      <c r="I182">
        <v>0</v>
      </c>
      <c r="K182" s="1">
        <v>150</v>
      </c>
      <c r="L182" s="1">
        <v>15.4</v>
      </c>
      <c r="M182" s="1">
        <v>3.5</v>
      </c>
      <c r="N182" s="1">
        <v>1</v>
      </c>
      <c r="O182" s="1">
        <v>0</v>
      </c>
      <c r="P182" s="1">
        <v>0</v>
      </c>
      <c r="Q182" s="1">
        <v>0</v>
      </c>
      <c r="R182" s="1">
        <v>803</v>
      </c>
      <c r="S182" s="1">
        <v>1147</v>
      </c>
    </row>
    <row r="183" spans="1:19" x14ac:dyDescent="0.25">
      <c r="A183" s="1">
        <v>175</v>
      </c>
      <c r="B183" s="1">
        <v>778</v>
      </c>
      <c r="C183" s="1">
        <v>1078</v>
      </c>
      <c r="D183" s="1">
        <v>16.399999999999999</v>
      </c>
      <c r="E183" s="1">
        <v>-3.2</v>
      </c>
      <c r="F183" s="1">
        <v>-0.9</v>
      </c>
      <c r="G183">
        <v>0</v>
      </c>
      <c r="H183">
        <v>0</v>
      </c>
      <c r="I183">
        <v>0</v>
      </c>
      <c r="K183" s="1">
        <v>175</v>
      </c>
      <c r="L183" s="1">
        <v>15.6</v>
      </c>
      <c r="M183" s="1">
        <v>3.1</v>
      </c>
      <c r="N183" s="1">
        <v>0.9</v>
      </c>
      <c r="O183" s="1">
        <v>0</v>
      </c>
      <c r="P183" s="1">
        <v>0</v>
      </c>
      <c r="Q183" s="1">
        <v>0</v>
      </c>
      <c r="R183" s="1">
        <v>778</v>
      </c>
      <c r="S183" s="1">
        <v>1081</v>
      </c>
    </row>
    <row r="184" spans="1:19" x14ac:dyDescent="0.25">
      <c r="A184" s="1">
        <v>200</v>
      </c>
      <c r="B184" s="1">
        <v>754</v>
      </c>
      <c r="C184" s="1">
        <v>1013</v>
      </c>
      <c r="D184" s="1">
        <v>15.6</v>
      </c>
      <c r="E184" s="1">
        <v>-2.7</v>
      </c>
      <c r="F184" s="1">
        <v>-0.8</v>
      </c>
      <c r="G184">
        <v>0</v>
      </c>
      <c r="H184">
        <v>0</v>
      </c>
      <c r="I184">
        <v>0</v>
      </c>
      <c r="K184" s="1">
        <v>200</v>
      </c>
      <c r="L184" s="1">
        <v>14.8</v>
      </c>
      <c r="M184" s="1">
        <v>2.5</v>
      </c>
      <c r="N184" s="1">
        <v>0.7</v>
      </c>
      <c r="O184" s="1">
        <v>0</v>
      </c>
      <c r="P184" s="1">
        <v>0</v>
      </c>
      <c r="Q184" s="1">
        <v>0</v>
      </c>
      <c r="R184" s="1">
        <v>754</v>
      </c>
      <c r="S184" s="1">
        <v>1013</v>
      </c>
    </row>
    <row r="185" spans="1:19" x14ac:dyDescent="0.25">
      <c r="A185" s="1">
        <v>225</v>
      </c>
      <c r="B185" s="1">
        <v>730</v>
      </c>
      <c r="C185" s="1">
        <v>951</v>
      </c>
      <c r="D185" s="1">
        <v>13.6</v>
      </c>
      <c r="E185" s="1">
        <v>-2.1</v>
      </c>
      <c r="F185" s="1">
        <v>-0.6</v>
      </c>
      <c r="G185">
        <v>0</v>
      </c>
      <c r="H185">
        <v>0</v>
      </c>
      <c r="I185">
        <v>0</v>
      </c>
      <c r="K185" s="1">
        <v>225</v>
      </c>
      <c r="L185" s="1">
        <v>13</v>
      </c>
      <c r="M185" s="1">
        <v>2</v>
      </c>
      <c r="N185" s="1">
        <v>0.6</v>
      </c>
      <c r="O185" s="1">
        <v>0</v>
      </c>
      <c r="P185" s="1">
        <v>0</v>
      </c>
      <c r="Q185" s="1">
        <v>0</v>
      </c>
      <c r="R185" s="1">
        <v>731</v>
      </c>
      <c r="S185" s="1">
        <v>952</v>
      </c>
    </row>
    <row r="186" spans="1:19" x14ac:dyDescent="0.25">
      <c r="A186" s="1">
        <v>250</v>
      </c>
      <c r="B186" s="1">
        <v>707</v>
      </c>
      <c r="C186" s="1">
        <v>892</v>
      </c>
      <c r="D186" s="1">
        <v>10.5</v>
      </c>
      <c r="E186" s="1">
        <v>-1.4</v>
      </c>
      <c r="F186" s="1">
        <v>-0.4</v>
      </c>
      <c r="G186">
        <v>0</v>
      </c>
      <c r="H186">
        <v>0</v>
      </c>
      <c r="I186">
        <v>0</v>
      </c>
      <c r="K186" s="1">
        <v>250</v>
      </c>
      <c r="L186" s="1">
        <v>10</v>
      </c>
      <c r="M186" s="1">
        <v>1.4</v>
      </c>
      <c r="N186" s="1">
        <v>0.4</v>
      </c>
      <c r="O186" s="1">
        <v>0</v>
      </c>
      <c r="P186" s="1">
        <v>0</v>
      </c>
      <c r="Q186" s="1">
        <v>0</v>
      </c>
      <c r="R186" s="1">
        <v>708</v>
      </c>
      <c r="S186" s="1">
        <v>893</v>
      </c>
    </row>
    <row r="187" spans="1:19" x14ac:dyDescent="0.25">
      <c r="A187" s="1">
        <v>275</v>
      </c>
      <c r="B187" s="1">
        <v>685</v>
      </c>
      <c r="C187" s="1">
        <v>836</v>
      </c>
      <c r="D187" s="1">
        <v>5.9</v>
      </c>
      <c r="E187" s="1">
        <v>-0.7</v>
      </c>
      <c r="F187" s="1">
        <v>-0.2</v>
      </c>
      <c r="G187">
        <v>0</v>
      </c>
      <c r="H187">
        <v>0</v>
      </c>
      <c r="I187">
        <v>0</v>
      </c>
      <c r="K187" s="1">
        <v>275</v>
      </c>
      <c r="L187" s="1">
        <v>5.6</v>
      </c>
      <c r="M187" s="1">
        <v>0.7</v>
      </c>
      <c r="N187" s="1">
        <v>0.2</v>
      </c>
      <c r="O187" s="1">
        <v>0</v>
      </c>
      <c r="P187" s="1">
        <v>0</v>
      </c>
      <c r="Q187" s="1">
        <v>0</v>
      </c>
      <c r="R187" s="1">
        <v>685</v>
      </c>
      <c r="S187" s="1">
        <v>837</v>
      </c>
    </row>
    <row r="188" spans="1:19" x14ac:dyDescent="0.25">
      <c r="A188" s="10">
        <v>300</v>
      </c>
      <c r="B188" s="10">
        <v>663</v>
      </c>
      <c r="C188" s="10">
        <v>782</v>
      </c>
      <c r="D188" s="10">
        <v>0.1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>
        <v>300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663</v>
      </c>
      <c r="S188" s="1">
        <v>784</v>
      </c>
    </row>
    <row r="189" spans="1:19" x14ac:dyDescent="0.25">
      <c r="A189" s="1">
        <v>325</v>
      </c>
      <c r="B189" s="1">
        <v>641</v>
      </c>
      <c r="C189" s="1">
        <v>732</v>
      </c>
      <c r="D189" s="1">
        <v>-7.2</v>
      </c>
      <c r="E189" s="1">
        <v>0.8</v>
      </c>
      <c r="F189" s="1">
        <v>0.2</v>
      </c>
      <c r="G189">
        <v>0</v>
      </c>
      <c r="H189">
        <v>0</v>
      </c>
      <c r="I189">
        <v>0</v>
      </c>
      <c r="K189" s="1">
        <v>325</v>
      </c>
      <c r="L189" s="1">
        <v>-6.9</v>
      </c>
      <c r="M189" s="1">
        <v>-0.7</v>
      </c>
      <c r="N189" s="1">
        <v>-0.2</v>
      </c>
      <c r="O189" s="1">
        <v>0</v>
      </c>
      <c r="P189" s="1">
        <v>0</v>
      </c>
      <c r="Q189" s="1">
        <v>0</v>
      </c>
      <c r="R189" s="1">
        <v>642</v>
      </c>
      <c r="S189" s="1">
        <v>735</v>
      </c>
    </row>
    <row r="190" spans="1:19" x14ac:dyDescent="0.25">
      <c r="A190" s="1">
        <v>350</v>
      </c>
      <c r="B190" s="1">
        <v>619</v>
      </c>
      <c r="C190" s="1">
        <v>684</v>
      </c>
      <c r="D190" s="1">
        <v>-16.399999999999999</v>
      </c>
      <c r="E190" s="1">
        <v>1.6</v>
      </c>
      <c r="F190" s="1">
        <v>0.5</v>
      </c>
      <c r="G190">
        <v>0</v>
      </c>
      <c r="H190">
        <v>0</v>
      </c>
      <c r="I190">
        <v>0</v>
      </c>
      <c r="K190" s="1">
        <v>350</v>
      </c>
      <c r="L190" s="1">
        <v>-15.5</v>
      </c>
      <c r="M190" s="1">
        <v>-1.5</v>
      </c>
      <c r="N190" s="1">
        <v>-0.4</v>
      </c>
      <c r="O190" s="1">
        <v>0</v>
      </c>
      <c r="P190" s="1">
        <v>0</v>
      </c>
      <c r="Q190" s="1">
        <v>0</v>
      </c>
      <c r="R190" s="1">
        <v>620</v>
      </c>
      <c r="S190" s="1">
        <v>685</v>
      </c>
    </row>
    <row r="191" spans="1:19" x14ac:dyDescent="0.25">
      <c r="A191" s="1">
        <v>375</v>
      </c>
      <c r="B191" s="1">
        <v>598</v>
      </c>
      <c r="C191" s="1">
        <v>638</v>
      </c>
      <c r="D191" s="1">
        <v>-27.1</v>
      </c>
      <c r="E191" s="1">
        <v>2.5</v>
      </c>
      <c r="F191" s="1">
        <v>0.7</v>
      </c>
      <c r="G191">
        <v>0</v>
      </c>
      <c r="H191">
        <v>0</v>
      </c>
      <c r="I191">
        <v>0</v>
      </c>
      <c r="K191" s="1">
        <v>375</v>
      </c>
      <c r="L191" s="1">
        <v>-25.4</v>
      </c>
      <c r="M191" s="1">
        <v>-2.2999999999999998</v>
      </c>
      <c r="N191" s="1">
        <v>-0.7</v>
      </c>
      <c r="O191" s="1">
        <v>0</v>
      </c>
      <c r="P191" s="1">
        <v>0</v>
      </c>
      <c r="Q191" s="1">
        <v>0</v>
      </c>
      <c r="R191" s="1">
        <v>599</v>
      </c>
      <c r="S191" s="1">
        <v>640</v>
      </c>
    </row>
    <row r="192" spans="1:19" x14ac:dyDescent="0.25">
      <c r="A192" s="1">
        <v>400</v>
      </c>
      <c r="B192" s="1">
        <v>578</v>
      </c>
      <c r="C192" s="1">
        <v>595</v>
      </c>
      <c r="D192" s="1">
        <v>-39.5</v>
      </c>
      <c r="E192" s="1">
        <v>3.4</v>
      </c>
      <c r="F192" s="1">
        <v>1</v>
      </c>
      <c r="G192">
        <v>0</v>
      </c>
      <c r="H192">
        <v>0</v>
      </c>
      <c r="I192">
        <v>0</v>
      </c>
      <c r="K192" s="1">
        <v>400</v>
      </c>
      <c r="L192" s="1">
        <v>-36.799999999999997</v>
      </c>
      <c r="M192" s="1">
        <v>-3.2</v>
      </c>
      <c r="N192" s="1">
        <v>-0.9</v>
      </c>
      <c r="O192" s="1">
        <v>0</v>
      </c>
      <c r="P192" s="1">
        <v>0</v>
      </c>
      <c r="Q192" s="1">
        <v>0</v>
      </c>
      <c r="R192" s="1">
        <v>579</v>
      </c>
      <c r="S192" s="1">
        <v>597</v>
      </c>
    </row>
    <row r="193" spans="1:19" x14ac:dyDescent="0.25">
      <c r="A193" s="1">
        <v>425</v>
      </c>
      <c r="B193" s="1">
        <v>558</v>
      </c>
      <c r="C193" s="1">
        <v>555</v>
      </c>
      <c r="D193" s="1">
        <v>-54.6</v>
      </c>
      <c r="E193" s="1">
        <v>4.4000000000000004</v>
      </c>
      <c r="F193" s="1">
        <v>1.3</v>
      </c>
      <c r="G193">
        <v>0</v>
      </c>
      <c r="H193">
        <v>0</v>
      </c>
      <c r="I193">
        <v>0</v>
      </c>
      <c r="K193" s="1">
        <v>425</v>
      </c>
      <c r="L193" s="1">
        <v>-50.7</v>
      </c>
      <c r="M193" s="1">
        <v>-4.0999999999999996</v>
      </c>
      <c r="N193" s="1">
        <v>-1.2</v>
      </c>
      <c r="O193" s="1">
        <v>0</v>
      </c>
      <c r="P193" s="1">
        <v>0</v>
      </c>
      <c r="Q193" s="1">
        <v>0</v>
      </c>
      <c r="R193" s="1">
        <v>558</v>
      </c>
      <c r="S193" s="1">
        <v>556</v>
      </c>
    </row>
    <row r="194" spans="1:19" x14ac:dyDescent="0.25">
      <c r="A194" s="1">
        <v>450</v>
      </c>
      <c r="B194" s="1">
        <v>538</v>
      </c>
      <c r="C194" s="1">
        <v>517</v>
      </c>
      <c r="D194" s="1">
        <v>-71.3</v>
      </c>
      <c r="E194" s="1">
        <v>5.4</v>
      </c>
      <c r="F194" s="1">
        <v>1.6</v>
      </c>
      <c r="G194">
        <v>0</v>
      </c>
      <c r="H194">
        <v>0</v>
      </c>
      <c r="I194">
        <v>0</v>
      </c>
      <c r="K194" s="1">
        <v>450</v>
      </c>
      <c r="L194" s="1">
        <v>-66.3</v>
      </c>
      <c r="M194" s="1">
        <v>-5.0999999999999996</v>
      </c>
      <c r="N194" s="1">
        <v>-1.5</v>
      </c>
      <c r="O194" s="1">
        <v>0</v>
      </c>
      <c r="P194" s="1">
        <v>0</v>
      </c>
      <c r="Q194" s="1">
        <v>0</v>
      </c>
      <c r="R194" s="1">
        <v>539</v>
      </c>
      <c r="S194" s="1">
        <v>518</v>
      </c>
    </row>
    <row r="195" spans="1:19" x14ac:dyDescent="0.25">
      <c r="A195" s="1">
        <v>475</v>
      </c>
      <c r="B195" s="1">
        <v>519</v>
      </c>
      <c r="C195" s="1">
        <v>481</v>
      </c>
      <c r="D195" s="1">
        <v>-90.3</v>
      </c>
      <c r="E195" s="1">
        <v>6.5</v>
      </c>
      <c r="F195" s="1">
        <v>1.9</v>
      </c>
      <c r="G195">
        <v>0</v>
      </c>
      <c r="H195">
        <v>0</v>
      </c>
      <c r="I195">
        <v>0</v>
      </c>
      <c r="K195" s="1">
        <v>475</v>
      </c>
      <c r="L195" s="1">
        <v>-84.1</v>
      </c>
      <c r="M195" s="1">
        <v>-6.1</v>
      </c>
      <c r="N195" s="1">
        <v>-1.8</v>
      </c>
      <c r="O195" s="1">
        <v>0</v>
      </c>
      <c r="P195" s="1">
        <v>0</v>
      </c>
      <c r="Q195" s="1">
        <v>0</v>
      </c>
      <c r="R195" s="1">
        <v>521</v>
      </c>
      <c r="S195" s="1">
        <v>483</v>
      </c>
    </row>
    <row r="196" spans="1:19" x14ac:dyDescent="0.25">
      <c r="A196" s="1">
        <v>500</v>
      </c>
      <c r="B196" s="1">
        <v>502</v>
      </c>
      <c r="C196" s="1">
        <v>448</v>
      </c>
      <c r="D196" s="1">
        <v>-111.9</v>
      </c>
      <c r="E196" s="1">
        <v>7.7</v>
      </c>
      <c r="F196" s="1">
        <v>2.2000000000000002</v>
      </c>
      <c r="G196">
        <v>0</v>
      </c>
      <c r="H196">
        <v>0</v>
      </c>
      <c r="I196">
        <v>0</v>
      </c>
      <c r="K196" s="1">
        <v>500</v>
      </c>
      <c r="L196" s="1">
        <v>-104.9</v>
      </c>
      <c r="M196" s="1">
        <v>-7.2</v>
      </c>
      <c r="N196" s="1">
        <v>-2.1</v>
      </c>
      <c r="O196" s="1">
        <v>0</v>
      </c>
      <c r="P196" s="1">
        <v>0</v>
      </c>
      <c r="Q196" s="1">
        <v>0</v>
      </c>
      <c r="R196" s="1">
        <v>502</v>
      </c>
      <c r="S196" s="1">
        <v>449</v>
      </c>
    </row>
    <row r="198" spans="1:19" x14ac:dyDescent="0.25">
      <c r="A198" t="s">
        <v>31</v>
      </c>
      <c r="K198" t="s">
        <v>52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33</v>
      </c>
      <c r="H199" t="s">
        <v>34</v>
      </c>
      <c r="I199" t="s">
        <v>35</v>
      </c>
      <c r="K199" t="s">
        <v>38</v>
      </c>
      <c r="L199" t="s">
        <v>39</v>
      </c>
      <c r="M199" t="s">
        <v>40</v>
      </c>
      <c r="N199" t="s">
        <v>41</v>
      </c>
      <c r="O199" t="s">
        <v>42</v>
      </c>
      <c r="P199" t="s">
        <v>34</v>
      </c>
      <c r="Q199" t="s">
        <v>43</v>
      </c>
      <c r="R199" t="s">
        <v>44</v>
      </c>
      <c r="S199" t="s">
        <v>45</v>
      </c>
    </row>
    <row r="200" spans="1:19" x14ac:dyDescent="0.25">
      <c r="A200" s="1">
        <v>0</v>
      </c>
      <c r="B200" s="1">
        <v>958</v>
      </c>
      <c r="C200" s="1">
        <v>1634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-3.8</v>
      </c>
      <c r="M200" s="1" t="s">
        <v>46</v>
      </c>
      <c r="N200" s="1" t="s">
        <v>46</v>
      </c>
      <c r="O200" s="1">
        <v>0</v>
      </c>
      <c r="P200" s="1" t="s">
        <v>46</v>
      </c>
      <c r="Q200" s="1" t="s">
        <v>46</v>
      </c>
      <c r="R200" s="1">
        <v>958</v>
      </c>
      <c r="S200" s="1">
        <v>1635</v>
      </c>
    </row>
    <row r="201" spans="1:19" x14ac:dyDescent="0.25">
      <c r="A201" s="1">
        <v>25</v>
      </c>
      <c r="B201" s="1">
        <v>930</v>
      </c>
      <c r="C201" s="1">
        <v>1542</v>
      </c>
      <c r="D201" s="1">
        <v>3.9</v>
      </c>
      <c r="E201" s="1">
        <v>-5.4</v>
      </c>
      <c r="F201" s="1">
        <v>-1.6</v>
      </c>
      <c r="G201">
        <v>0</v>
      </c>
      <c r="H201">
        <v>0</v>
      </c>
      <c r="I201">
        <v>0</v>
      </c>
      <c r="K201" s="1">
        <v>25</v>
      </c>
      <c r="L201" s="1">
        <v>3.5</v>
      </c>
      <c r="M201" s="1">
        <v>4.9000000000000004</v>
      </c>
      <c r="N201" s="1">
        <v>1.4</v>
      </c>
      <c r="O201" s="1">
        <v>0</v>
      </c>
      <c r="P201" s="1">
        <v>0</v>
      </c>
      <c r="Q201" s="1">
        <v>0</v>
      </c>
      <c r="R201" s="1">
        <v>931</v>
      </c>
      <c r="S201" s="1">
        <v>1544</v>
      </c>
    </row>
    <row r="202" spans="1:19" x14ac:dyDescent="0.25">
      <c r="A202" s="1">
        <v>50</v>
      </c>
      <c r="B202" s="1">
        <v>903</v>
      </c>
      <c r="C202" s="1">
        <v>1455</v>
      </c>
      <c r="D202" s="1">
        <v>11.1</v>
      </c>
      <c r="E202" s="1">
        <v>-7.6</v>
      </c>
      <c r="F202" s="1">
        <v>-2.2000000000000002</v>
      </c>
      <c r="G202">
        <v>0</v>
      </c>
      <c r="H202">
        <v>0</v>
      </c>
      <c r="I202">
        <v>0</v>
      </c>
      <c r="K202" s="1">
        <v>50</v>
      </c>
      <c r="L202" s="1">
        <v>10.4</v>
      </c>
      <c r="M202" s="1">
        <v>7.1</v>
      </c>
      <c r="N202" s="1">
        <v>2.1</v>
      </c>
      <c r="O202" s="1">
        <v>0</v>
      </c>
      <c r="P202" s="1">
        <v>0</v>
      </c>
      <c r="Q202" s="1">
        <v>0</v>
      </c>
      <c r="R202" s="1">
        <v>903</v>
      </c>
      <c r="S202" s="1">
        <v>1455</v>
      </c>
    </row>
    <row r="203" spans="1:19" x14ac:dyDescent="0.25">
      <c r="A203" s="1">
        <v>75</v>
      </c>
      <c r="B203" s="1">
        <v>877</v>
      </c>
      <c r="C203" s="1">
        <v>1372</v>
      </c>
      <c r="D203" s="1">
        <v>17.399999999999999</v>
      </c>
      <c r="E203" s="1">
        <v>-7.9</v>
      </c>
      <c r="F203" s="1">
        <v>-2.2999999999999998</v>
      </c>
      <c r="G203">
        <v>0</v>
      </c>
      <c r="H203">
        <v>0</v>
      </c>
      <c r="I203">
        <v>0</v>
      </c>
      <c r="K203" s="1">
        <v>75</v>
      </c>
      <c r="L203" s="1">
        <v>16.3</v>
      </c>
      <c r="M203" s="1">
        <v>7.5</v>
      </c>
      <c r="N203" s="1">
        <v>2.2000000000000002</v>
      </c>
      <c r="O203" s="1">
        <v>0</v>
      </c>
      <c r="P203" s="1">
        <v>0</v>
      </c>
      <c r="Q203" s="1">
        <v>0</v>
      </c>
      <c r="R203" s="1">
        <v>878</v>
      </c>
      <c r="S203" s="1">
        <v>1373</v>
      </c>
    </row>
    <row r="204" spans="1:19" x14ac:dyDescent="0.25">
      <c r="A204" s="1">
        <v>100</v>
      </c>
      <c r="B204" s="1">
        <v>852</v>
      </c>
      <c r="C204" s="1">
        <v>1293</v>
      </c>
      <c r="D204" s="1">
        <v>22.8</v>
      </c>
      <c r="E204" s="1">
        <v>-7.8</v>
      </c>
      <c r="F204" s="1">
        <v>-2.2999999999999998</v>
      </c>
      <c r="G204">
        <v>0</v>
      </c>
      <c r="H204">
        <v>0</v>
      </c>
      <c r="I204">
        <v>0</v>
      </c>
      <c r="K204" s="1">
        <v>100</v>
      </c>
      <c r="L204" s="1">
        <v>21.4</v>
      </c>
      <c r="M204" s="1">
        <v>7.4</v>
      </c>
      <c r="N204" s="1">
        <v>2.2000000000000002</v>
      </c>
      <c r="O204" s="1">
        <v>0</v>
      </c>
      <c r="P204" s="1">
        <v>0</v>
      </c>
      <c r="Q204" s="1">
        <v>0</v>
      </c>
      <c r="R204" s="1">
        <v>853</v>
      </c>
      <c r="S204" s="1">
        <v>1295</v>
      </c>
    </row>
    <row r="205" spans="1:19" x14ac:dyDescent="0.25">
      <c r="A205" s="1">
        <v>125</v>
      </c>
      <c r="B205" s="1">
        <v>827</v>
      </c>
      <c r="C205" s="1">
        <v>1218</v>
      </c>
      <c r="D205" s="1">
        <v>27.5</v>
      </c>
      <c r="E205" s="1">
        <v>-7.5</v>
      </c>
      <c r="F205" s="1">
        <v>-2.2000000000000002</v>
      </c>
      <c r="G205">
        <v>0</v>
      </c>
      <c r="H205">
        <v>0</v>
      </c>
      <c r="I205">
        <v>0</v>
      </c>
      <c r="K205" s="1">
        <v>125</v>
      </c>
      <c r="L205" s="1">
        <v>25.9</v>
      </c>
      <c r="M205" s="1">
        <v>7.1</v>
      </c>
      <c r="N205" s="1">
        <v>2.1</v>
      </c>
      <c r="O205" s="1">
        <v>0</v>
      </c>
      <c r="P205" s="1">
        <v>0</v>
      </c>
      <c r="Q205" s="1">
        <v>0</v>
      </c>
      <c r="R205" s="1">
        <v>827</v>
      </c>
      <c r="S205" s="1">
        <v>1218</v>
      </c>
    </row>
    <row r="206" spans="1:19" x14ac:dyDescent="0.25">
      <c r="A206" s="1">
        <v>150</v>
      </c>
      <c r="B206" s="1">
        <v>802</v>
      </c>
      <c r="C206" s="1">
        <v>1146</v>
      </c>
      <c r="D206" s="1">
        <v>31.2</v>
      </c>
      <c r="E206" s="1">
        <v>-7.1</v>
      </c>
      <c r="F206" s="1">
        <v>-2.1</v>
      </c>
      <c r="G206">
        <v>0</v>
      </c>
      <c r="H206">
        <v>0</v>
      </c>
      <c r="I206">
        <v>0</v>
      </c>
      <c r="K206" s="1">
        <v>150</v>
      </c>
      <c r="L206" s="1">
        <v>29.2</v>
      </c>
      <c r="M206" s="1">
        <v>6.7</v>
      </c>
      <c r="N206" s="1">
        <v>2</v>
      </c>
      <c r="O206" s="1">
        <v>0</v>
      </c>
      <c r="P206" s="1">
        <v>0</v>
      </c>
      <c r="Q206" s="1">
        <v>0</v>
      </c>
      <c r="R206" s="1">
        <v>803</v>
      </c>
      <c r="S206" s="1">
        <v>1147</v>
      </c>
    </row>
    <row r="207" spans="1:19" x14ac:dyDescent="0.25">
      <c r="A207" s="1">
        <v>175</v>
      </c>
      <c r="B207" s="1">
        <v>778</v>
      </c>
      <c r="C207" s="1">
        <v>1078</v>
      </c>
      <c r="D207" s="1">
        <v>33.799999999999997</v>
      </c>
      <c r="E207" s="1">
        <v>-6.7</v>
      </c>
      <c r="F207" s="1">
        <v>-1.9</v>
      </c>
      <c r="G207">
        <v>0</v>
      </c>
      <c r="H207">
        <v>0</v>
      </c>
      <c r="I207">
        <v>0</v>
      </c>
      <c r="K207" s="1">
        <v>175</v>
      </c>
      <c r="L207" s="1">
        <v>31.7</v>
      </c>
      <c r="M207" s="1">
        <v>6.2</v>
      </c>
      <c r="N207" s="1">
        <v>1.8</v>
      </c>
      <c r="O207" s="1">
        <v>0</v>
      </c>
      <c r="P207" s="1">
        <v>0</v>
      </c>
      <c r="Q207" s="1">
        <v>0</v>
      </c>
      <c r="R207" s="1">
        <v>778</v>
      </c>
      <c r="S207" s="1">
        <v>1081</v>
      </c>
    </row>
    <row r="208" spans="1:19" x14ac:dyDescent="0.25">
      <c r="A208" s="1">
        <v>200</v>
      </c>
      <c r="B208" s="1">
        <v>754</v>
      </c>
      <c r="C208" s="1">
        <v>1013</v>
      </c>
      <c r="D208" s="1">
        <v>35.5</v>
      </c>
      <c r="E208" s="1">
        <v>-6.1</v>
      </c>
      <c r="F208" s="1">
        <v>-1.8</v>
      </c>
      <c r="G208">
        <v>0</v>
      </c>
      <c r="H208">
        <v>0</v>
      </c>
      <c r="I208">
        <v>0</v>
      </c>
      <c r="K208" s="1">
        <v>200</v>
      </c>
      <c r="L208" s="1">
        <v>33.200000000000003</v>
      </c>
      <c r="M208" s="1">
        <v>5.7</v>
      </c>
      <c r="N208" s="1">
        <v>1.7</v>
      </c>
      <c r="O208" s="1">
        <v>0</v>
      </c>
      <c r="P208" s="1">
        <v>0</v>
      </c>
      <c r="Q208" s="1">
        <v>0</v>
      </c>
      <c r="R208" s="1">
        <v>754</v>
      </c>
      <c r="S208" s="1">
        <v>1013</v>
      </c>
    </row>
    <row r="209" spans="1:19" x14ac:dyDescent="0.25">
      <c r="A209" s="1">
        <v>225</v>
      </c>
      <c r="B209" s="1">
        <v>730</v>
      </c>
      <c r="C209" s="1">
        <v>951</v>
      </c>
      <c r="D209" s="1">
        <v>36</v>
      </c>
      <c r="E209" s="1">
        <v>-5.5</v>
      </c>
      <c r="F209" s="1">
        <v>-1.6</v>
      </c>
      <c r="G209">
        <v>0</v>
      </c>
      <c r="H209">
        <v>0</v>
      </c>
      <c r="I209">
        <v>0</v>
      </c>
      <c r="K209" s="1">
        <v>225</v>
      </c>
      <c r="L209" s="1">
        <v>33.700000000000003</v>
      </c>
      <c r="M209" s="1">
        <v>5.0999999999999996</v>
      </c>
      <c r="N209" s="1">
        <v>1.5</v>
      </c>
      <c r="O209" s="1">
        <v>0</v>
      </c>
      <c r="P209" s="1">
        <v>0</v>
      </c>
      <c r="Q209" s="1">
        <v>0</v>
      </c>
      <c r="R209" s="1">
        <v>731</v>
      </c>
      <c r="S209" s="1">
        <v>952</v>
      </c>
    </row>
    <row r="210" spans="1:19" x14ac:dyDescent="0.25">
      <c r="A210" s="1">
        <v>250</v>
      </c>
      <c r="B210" s="1">
        <v>707</v>
      </c>
      <c r="C210" s="1">
        <v>892</v>
      </c>
      <c r="D210" s="1">
        <v>35.4</v>
      </c>
      <c r="E210" s="1">
        <v>-4.9000000000000004</v>
      </c>
      <c r="F210" s="1">
        <v>-1.4</v>
      </c>
      <c r="G210">
        <v>0</v>
      </c>
      <c r="H210">
        <v>0</v>
      </c>
      <c r="I210">
        <v>0</v>
      </c>
      <c r="K210" s="1">
        <v>250</v>
      </c>
      <c r="L210" s="1">
        <v>32.9</v>
      </c>
      <c r="M210" s="1">
        <v>4.5</v>
      </c>
      <c r="N210" s="1">
        <v>1.3</v>
      </c>
      <c r="O210" s="1">
        <v>0</v>
      </c>
      <c r="P210" s="1">
        <v>0</v>
      </c>
      <c r="Q210" s="1">
        <v>0</v>
      </c>
      <c r="R210" s="1">
        <v>708</v>
      </c>
      <c r="S210" s="1">
        <v>893</v>
      </c>
    </row>
    <row r="211" spans="1:19" x14ac:dyDescent="0.25">
      <c r="A211" s="1">
        <v>275</v>
      </c>
      <c r="B211" s="1">
        <v>685</v>
      </c>
      <c r="C211" s="1">
        <v>836</v>
      </c>
      <c r="D211" s="1">
        <v>33.299999999999997</v>
      </c>
      <c r="E211" s="1">
        <v>-4.2</v>
      </c>
      <c r="F211" s="1">
        <v>-1.2</v>
      </c>
      <c r="G211">
        <v>0</v>
      </c>
      <c r="H211">
        <v>0</v>
      </c>
      <c r="I211">
        <v>0</v>
      </c>
      <c r="K211" s="1">
        <v>275</v>
      </c>
      <c r="L211" s="1">
        <v>30.9</v>
      </c>
      <c r="M211" s="1">
        <v>3.9</v>
      </c>
      <c r="N211" s="1">
        <v>1.1000000000000001</v>
      </c>
      <c r="O211" s="1">
        <v>0</v>
      </c>
      <c r="P211" s="1">
        <v>0</v>
      </c>
      <c r="Q211" s="1">
        <v>0</v>
      </c>
      <c r="R211" s="1">
        <v>685</v>
      </c>
      <c r="S211" s="1">
        <v>837</v>
      </c>
    </row>
    <row r="212" spans="1:19" x14ac:dyDescent="0.25">
      <c r="A212" s="1">
        <v>300</v>
      </c>
      <c r="B212" s="1">
        <v>663</v>
      </c>
      <c r="C212" s="1">
        <v>782</v>
      </c>
      <c r="D212" s="1">
        <v>30</v>
      </c>
      <c r="E212" s="1">
        <v>-3.4</v>
      </c>
      <c r="F212" s="1">
        <v>-1</v>
      </c>
      <c r="G212">
        <v>0</v>
      </c>
      <c r="H212">
        <v>0</v>
      </c>
      <c r="I212">
        <v>0</v>
      </c>
      <c r="K212" s="1">
        <v>300</v>
      </c>
      <c r="L212" s="1">
        <v>27.6</v>
      </c>
      <c r="M212" s="1">
        <v>3.2</v>
      </c>
      <c r="N212" s="1">
        <v>0.9</v>
      </c>
      <c r="O212" s="1">
        <v>0</v>
      </c>
      <c r="P212" s="1">
        <v>0</v>
      </c>
      <c r="Q212" s="1">
        <v>0</v>
      </c>
      <c r="R212" s="1">
        <v>663</v>
      </c>
      <c r="S212" s="1">
        <v>784</v>
      </c>
    </row>
    <row r="213" spans="1:19" x14ac:dyDescent="0.25">
      <c r="A213" s="1">
        <v>325</v>
      </c>
      <c r="B213" s="1">
        <v>641</v>
      </c>
      <c r="C213" s="1">
        <v>732</v>
      </c>
      <c r="D213" s="1">
        <v>25.1</v>
      </c>
      <c r="E213" s="1">
        <v>-2.7</v>
      </c>
      <c r="F213" s="1">
        <v>-0.8</v>
      </c>
      <c r="G213">
        <v>0</v>
      </c>
      <c r="H213">
        <v>0</v>
      </c>
      <c r="I213">
        <v>0</v>
      </c>
      <c r="K213" s="1">
        <v>325</v>
      </c>
      <c r="L213" s="1">
        <v>23</v>
      </c>
      <c r="M213" s="1">
        <v>2.4</v>
      </c>
      <c r="N213" s="1">
        <v>0.7</v>
      </c>
      <c r="O213" s="1">
        <v>0</v>
      </c>
      <c r="P213" s="1">
        <v>0</v>
      </c>
      <c r="Q213" s="1">
        <v>0</v>
      </c>
      <c r="R213" s="1">
        <v>642</v>
      </c>
      <c r="S213" s="1">
        <v>735</v>
      </c>
    </row>
    <row r="214" spans="1:19" x14ac:dyDescent="0.25">
      <c r="A214" s="1">
        <v>350</v>
      </c>
      <c r="B214" s="1">
        <v>619</v>
      </c>
      <c r="C214" s="1">
        <v>684</v>
      </c>
      <c r="D214" s="1">
        <v>18.5</v>
      </c>
      <c r="E214" s="1">
        <v>-1.8</v>
      </c>
      <c r="F214" s="1">
        <v>-0.5</v>
      </c>
      <c r="G214">
        <v>0</v>
      </c>
      <c r="H214">
        <v>0</v>
      </c>
      <c r="I214">
        <v>0</v>
      </c>
      <c r="K214" s="1">
        <v>350</v>
      </c>
      <c r="L214" s="1">
        <v>16.7</v>
      </c>
      <c r="M214" s="1">
        <v>1.6</v>
      </c>
      <c r="N214" s="1">
        <v>0.5</v>
      </c>
      <c r="O214" s="1">
        <v>0</v>
      </c>
      <c r="P214" s="1">
        <v>0</v>
      </c>
      <c r="Q214" s="1">
        <v>0</v>
      </c>
      <c r="R214" s="1">
        <v>620</v>
      </c>
      <c r="S214" s="1">
        <v>685</v>
      </c>
    </row>
    <row r="215" spans="1:19" x14ac:dyDescent="0.25">
      <c r="A215" s="1">
        <v>375</v>
      </c>
      <c r="B215" s="1">
        <v>598</v>
      </c>
      <c r="C215" s="1">
        <v>638</v>
      </c>
      <c r="D215" s="1">
        <v>10.3</v>
      </c>
      <c r="E215" s="1">
        <v>-0.9</v>
      </c>
      <c r="F215" s="1">
        <v>-0.3</v>
      </c>
      <c r="G215">
        <v>0</v>
      </c>
      <c r="H215">
        <v>0</v>
      </c>
      <c r="I215">
        <v>0</v>
      </c>
      <c r="K215" s="1">
        <v>375</v>
      </c>
      <c r="L215" s="1">
        <v>9.1</v>
      </c>
      <c r="M215" s="1">
        <v>0.8</v>
      </c>
      <c r="N215" s="1">
        <v>0.2</v>
      </c>
      <c r="O215" s="1">
        <v>0</v>
      </c>
      <c r="P215" s="1">
        <v>0</v>
      </c>
      <c r="Q215" s="1">
        <v>0</v>
      </c>
      <c r="R215" s="1">
        <v>599</v>
      </c>
      <c r="S215" s="1">
        <v>640</v>
      </c>
    </row>
    <row r="216" spans="1:19" x14ac:dyDescent="0.25">
      <c r="A216" s="10">
        <v>400</v>
      </c>
      <c r="B216" s="10">
        <v>578</v>
      </c>
      <c r="C216" s="10">
        <v>595</v>
      </c>
      <c r="D216" s="10">
        <v>0.3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>
        <v>400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579</v>
      </c>
      <c r="S216" s="1">
        <v>597</v>
      </c>
    </row>
    <row r="217" spans="1:19" x14ac:dyDescent="0.25">
      <c r="A217" s="1">
        <v>425</v>
      </c>
      <c r="B217" s="1">
        <v>558</v>
      </c>
      <c r="C217" s="1">
        <v>555</v>
      </c>
      <c r="D217" s="1">
        <v>-12.2</v>
      </c>
      <c r="E217" s="1">
        <v>1</v>
      </c>
      <c r="F217" s="1">
        <v>0.3</v>
      </c>
      <c r="G217">
        <v>0</v>
      </c>
      <c r="H217">
        <v>0</v>
      </c>
      <c r="I217">
        <v>0</v>
      </c>
      <c r="K217" s="1">
        <v>425</v>
      </c>
      <c r="L217" s="1">
        <v>-11.6</v>
      </c>
      <c r="M217" s="1">
        <v>-0.9</v>
      </c>
      <c r="N217" s="1">
        <v>-0.3</v>
      </c>
      <c r="O217" s="1">
        <v>0</v>
      </c>
      <c r="P217" s="1">
        <v>0</v>
      </c>
      <c r="Q217" s="1">
        <v>0</v>
      </c>
      <c r="R217" s="1">
        <v>558</v>
      </c>
      <c r="S217" s="1">
        <v>556</v>
      </c>
    </row>
    <row r="218" spans="1:19" x14ac:dyDescent="0.25">
      <c r="A218" s="1">
        <v>450</v>
      </c>
      <c r="B218" s="1">
        <v>538</v>
      </c>
      <c r="C218" s="1">
        <v>517</v>
      </c>
      <c r="D218" s="1">
        <v>-26.5</v>
      </c>
      <c r="E218" s="1">
        <v>2</v>
      </c>
      <c r="F218" s="1">
        <v>0.6</v>
      </c>
      <c r="G218">
        <v>0</v>
      </c>
      <c r="H218">
        <v>0</v>
      </c>
      <c r="I218">
        <v>0</v>
      </c>
      <c r="K218" s="1">
        <v>450</v>
      </c>
      <c r="L218" s="1">
        <v>-25</v>
      </c>
      <c r="M218" s="1">
        <v>-1.9</v>
      </c>
      <c r="N218" s="1">
        <v>-0.6</v>
      </c>
      <c r="O218" s="1">
        <v>0</v>
      </c>
      <c r="P218" s="1">
        <v>0</v>
      </c>
      <c r="Q218" s="1">
        <v>0</v>
      </c>
      <c r="R218" s="1">
        <v>539</v>
      </c>
      <c r="S218" s="1">
        <v>518</v>
      </c>
    </row>
    <row r="219" spans="1:19" x14ac:dyDescent="0.25">
      <c r="A219" s="1">
        <v>475</v>
      </c>
      <c r="B219" s="1">
        <v>519</v>
      </c>
      <c r="C219" s="1">
        <v>481</v>
      </c>
      <c r="D219" s="1">
        <v>-43.1</v>
      </c>
      <c r="E219" s="1">
        <v>3.1</v>
      </c>
      <c r="F219" s="1">
        <v>0.9</v>
      </c>
      <c r="G219">
        <v>0</v>
      </c>
      <c r="H219">
        <v>0</v>
      </c>
      <c r="I219">
        <v>0</v>
      </c>
      <c r="K219" s="1">
        <v>475</v>
      </c>
      <c r="L219" s="1">
        <v>-40.5</v>
      </c>
      <c r="M219" s="1">
        <v>-2.9</v>
      </c>
      <c r="N219" s="1">
        <v>-0.9</v>
      </c>
      <c r="O219" s="1">
        <v>0</v>
      </c>
      <c r="P219" s="1">
        <v>0</v>
      </c>
      <c r="Q219" s="1">
        <v>0</v>
      </c>
      <c r="R219" s="1">
        <v>521</v>
      </c>
      <c r="S219" s="1">
        <v>483</v>
      </c>
    </row>
    <row r="220" spans="1:19" x14ac:dyDescent="0.25">
      <c r="A220" s="1">
        <v>500</v>
      </c>
      <c r="B220" s="1">
        <v>502</v>
      </c>
      <c r="C220" s="1">
        <v>448</v>
      </c>
      <c r="D220" s="1">
        <v>-62.1</v>
      </c>
      <c r="E220" s="1">
        <v>4.3</v>
      </c>
      <c r="F220" s="1">
        <v>1.2</v>
      </c>
      <c r="G220">
        <v>0</v>
      </c>
      <c r="H220">
        <v>0</v>
      </c>
      <c r="I220">
        <v>0</v>
      </c>
      <c r="K220" s="1">
        <v>500</v>
      </c>
      <c r="L220" s="1">
        <v>-58.9</v>
      </c>
      <c r="M220" s="1">
        <v>-4</v>
      </c>
      <c r="N220" s="1">
        <v>-1.2</v>
      </c>
      <c r="O220" s="1">
        <v>0</v>
      </c>
      <c r="P220" s="1">
        <v>0</v>
      </c>
      <c r="Q220" s="1">
        <v>0</v>
      </c>
      <c r="R220" s="1">
        <v>502</v>
      </c>
      <c r="S220" s="1">
        <v>449</v>
      </c>
    </row>
    <row r="222" spans="1:19" x14ac:dyDescent="0.25">
      <c r="A222" t="s">
        <v>32</v>
      </c>
      <c r="K222" t="s">
        <v>53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33</v>
      </c>
      <c r="H223" t="s">
        <v>34</v>
      </c>
      <c r="I223" t="s">
        <v>35</v>
      </c>
      <c r="K223" t="s">
        <v>38</v>
      </c>
      <c r="L223" t="s">
        <v>39</v>
      </c>
      <c r="M223" t="s">
        <v>40</v>
      </c>
      <c r="N223" t="s">
        <v>41</v>
      </c>
      <c r="O223" t="s">
        <v>42</v>
      </c>
      <c r="P223" t="s">
        <v>34</v>
      </c>
      <c r="Q223" t="s">
        <v>43</v>
      </c>
      <c r="R223" t="s">
        <v>44</v>
      </c>
      <c r="S223" t="s">
        <v>45</v>
      </c>
    </row>
    <row r="224" spans="1:19" x14ac:dyDescent="0.25">
      <c r="A224" s="1">
        <v>0</v>
      </c>
      <c r="B224" s="1">
        <v>958</v>
      </c>
      <c r="C224" s="1">
        <v>1634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-3.8</v>
      </c>
      <c r="M224" s="1" t="s">
        <v>46</v>
      </c>
      <c r="N224" s="1" t="s">
        <v>46</v>
      </c>
      <c r="O224" s="1">
        <v>0</v>
      </c>
      <c r="P224" s="1" t="s">
        <v>46</v>
      </c>
      <c r="Q224" s="1" t="s">
        <v>46</v>
      </c>
      <c r="R224" s="1">
        <v>958</v>
      </c>
      <c r="S224" s="1">
        <v>1635</v>
      </c>
    </row>
    <row r="225" spans="1:19" x14ac:dyDescent="0.25">
      <c r="A225" s="1">
        <v>25</v>
      </c>
      <c r="B225" s="1">
        <v>930</v>
      </c>
      <c r="C225" s="1">
        <v>1542</v>
      </c>
      <c r="D225" s="1">
        <v>7</v>
      </c>
      <c r="E225" s="1">
        <v>-9.6999999999999993</v>
      </c>
      <c r="F225" s="1">
        <v>-2.8</v>
      </c>
      <c r="G225" s="2">
        <v>0</v>
      </c>
      <c r="H225" s="2">
        <v>0</v>
      </c>
      <c r="I225" s="2">
        <v>0</v>
      </c>
      <c r="K225" s="1">
        <v>25</v>
      </c>
      <c r="L225" s="1">
        <v>6.4</v>
      </c>
      <c r="M225" s="1">
        <v>9</v>
      </c>
      <c r="N225" s="1">
        <v>2.6</v>
      </c>
      <c r="O225" s="1">
        <v>0</v>
      </c>
      <c r="P225" s="1">
        <v>0</v>
      </c>
      <c r="Q225" s="1">
        <v>0</v>
      </c>
      <c r="R225" s="1">
        <v>931</v>
      </c>
      <c r="S225" s="1">
        <v>1544</v>
      </c>
    </row>
    <row r="226" spans="1:19" x14ac:dyDescent="0.25">
      <c r="A226" s="1">
        <v>50</v>
      </c>
      <c r="B226" s="1">
        <v>903</v>
      </c>
      <c r="C226" s="1">
        <v>1455</v>
      </c>
      <c r="D226" s="1">
        <v>17.5</v>
      </c>
      <c r="E226" s="1">
        <v>-11.9</v>
      </c>
      <c r="F226" s="1">
        <v>-3.5</v>
      </c>
      <c r="G226" s="2">
        <v>0</v>
      </c>
      <c r="H226" s="2">
        <v>0</v>
      </c>
      <c r="I226" s="2">
        <v>0</v>
      </c>
      <c r="K226" s="1">
        <v>50</v>
      </c>
      <c r="L226" s="1">
        <v>16.3</v>
      </c>
      <c r="M226" s="1">
        <v>11.2</v>
      </c>
      <c r="N226" s="1">
        <v>3.2</v>
      </c>
      <c r="O226" s="1">
        <v>0</v>
      </c>
      <c r="P226" s="1">
        <v>0</v>
      </c>
      <c r="Q226" s="1">
        <v>0</v>
      </c>
      <c r="R226" s="1">
        <v>903</v>
      </c>
      <c r="S226" s="1">
        <v>1455</v>
      </c>
    </row>
    <row r="227" spans="1:19" x14ac:dyDescent="0.25">
      <c r="A227" s="1">
        <v>75</v>
      </c>
      <c r="B227" s="1">
        <v>877</v>
      </c>
      <c r="C227" s="1">
        <v>1372</v>
      </c>
      <c r="D227" s="1">
        <v>26.8</v>
      </c>
      <c r="E227" s="1">
        <v>-12.3</v>
      </c>
      <c r="F227" s="1">
        <v>-3.6</v>
      </c>
      <c r="G227" s="2">
        <v>0</v>
      </c>
      <c r="H227" s="2">
        <v>0</v>
      </c>
      <c r="I227" s="2">
        <v>0</v>
      </c>
      <c r="K227" s="1">
        <v>75</v>
      </c>
      <c r="L227" s="1">
        <v>25.2</v>
      </c>
      <c r="M227" s="1">
        <v>11.5</v>
      </c>
      <c r="N227" s="1">
        <v>3.4</v>
      </c>
      <c r="O227" s="1">
        <v>0</v>
      </c>
      <c r="P227" s="1">
        <v>0</v>
      </c>
      <c r="Q227" s="1">
        <v>0</v>
      </c>
      <c r="R227" s="1">
        <v>878</v>
      </c>
      <c r="S227" s="1">
        <v>1373</v>
      </c>
    </row>
    <row r="228" spans="1:19" x14ac:dyDescent="0.25">
      <c r="A228" s="1">
        <v>100</v>
      </c>
      <c r="B228" s="1">
        <v>852</v>
      </c>
      <c r="C228" s="1">
        <v>1293</v>
      </c>
      <c r="D228" s="1">
        <v>35.299999999999997</v>
      </c>
      <c r="E228" s="1">
        <v>-12.2</v>
      </c>
      <c r="F228" s="1">
        <v>-3.5</v>
      </c>
      <c r="G228" s="2">
        <v>0</v>
      </c>
      <c r="H228" s="2">
        <v>0</v>
      </c>
      <c r="I228" s="2">
        <v>0</v>
      </c>
      <c r="K228" s="1">
        <v>100</v>
      </c>
      <c r="L228" s="1">
        <v>33.200000000000003</v>
      </c>
      <c r="M228" s="1">
        <v>11.4</v>
      </c>
      <c r="N228" s="1">
        <v>3.3</v>
      </c>
      <c r="O228" s="1">
        <v>0</v>
      </c>
      <c r="P228" s="1">
        <v>0</v>
      </c>
      <c r="Q228" s="1">
        <v>0</v>
      </c>
      <c r="R228" s="1">
        <v>853</v>
      </c>
      <c r="S228" s="1">
        <v>1295</v>
      </c>
    </row>
    <row r="229" spans="1:19" x14ac:dyDescent="0.25">
      <c r="A229" s="1">
        <v>125</v>
      </c>
      <c r="B229" s="1">
        <v>827</v>
      </c>
      <c r="C229" s="1">
        <v>1218</v>
      </c>
      <c r="D229" s="1">
        <v>43.3</v>
      </c>
      <c r="E229" s="1">
        <v>-11.9</v>
      </c>
      <c r="F229" s="1">
        <v>-3.4</v>
      </c>
      <c r="G229" s="2">
        <v>0</v>
      </c>
      <c r="H229" s="2">
        <v>0</v>
      </c>
      <c r="I229" s="2">
        <v>0</v>
      </c>
      <c r="K229" s="1">
        <v>125</v>
      </c>
      <c r="L229" s="1">
        <v>40.6</v>
      </c>
      <c r="M229" s="1">
        <v>11.1</v>
      </c>
      <c r="N229" s="1">
        <v>3.2</v>
      </c>
      <c r="O229" s="1">
        <v>0</v>
      </c>
      <c r="P229" s="1">
        <v>0</v>
      </c>
      <c r="Q229" s="1">
        <v>0</v>
      </c>
      <c r="R229" s="1">
        <v>827</v>
      </c>
      <c r="S229" s="1">
        <v>1218</v>
      </c>
    </row>
    <row r="230" spans="1:19" x14ac:dyDescent="0.25">
      <c r="A230" s="1">
        <v>150</v>
      </c>
      <c r="B230" s="1">
        <v>802</v>
      </c>
      <c r="C230" s="1">
        <v>1146</v>
      </c>
      <c r="D230" s="1">
        <v>50</v>
      </c>
      <c r="E230" s="1">
        <v>-11.5</v>
      </c>
      <c r="F230" s="1">
        <v>-3.3</v>
      </c>
      <c r="G230" s="2">
        <v>0</v>
      </c>
      <c r="H230" s="2">
        <v>0</v>
      </c>
      <c r="I230" s="2">
        <v>0</v>
      </c>
      <c r="K230" s="1">
        <v>150</v>
      </c>
      <c r="L230" s="1">
        <v>46.9</v>
      </c>
      <c r="M230" s="1">
        <v>10.8</v>
      </c>
      <c r="N230" s="1">
        <v>3.1</v>
      </c>
      <c r="O230" s="1">
        <v>0</v>
      </c>
      <c r="P230" s="1">
        <v>0</v>
      </c>
      <c r="Q230" s="1">
        <v>0</v>
      </c>
      <c r="R230" s="1">
        <v>803</v>
      </c>
      <c r="S230" s="1">
        <v>1147</v>
      </c>
    </row>
    <row r="231" spans="1:19" x14ac:dyDescent="0.25">
      <c r="A231" s="1">
        <v>175</v>
      </c>
      <c r="B231" s="1">
        <v>778</v>
      </c>
      <c r="C231" s="1">
        <v>1078</v>
      </c>
      <c r="D231" s="1">
        <v>55.8</v>
      </c>
      <c r="E231" s="1">
        <v>-11</v>
      </c>
      <c r="F231" s="1">
        <v>-3.2</v>
      </c>
      <c r="G231" s="2">
        <v>0</v>
      </c>
      <c r="H231" s="2">
        <v>0</v>
      </c>
      <c r="I231" s="2">
        <v>0</v>
      </c>
      <c r="K231" s="1">
        <v>175</v>
      </c>
      <c r="L231" s="1">
        <v>52.3</v>
      </c>
      <c r="M231" s="1">
        <v>10.3</v>
      </c>
      <c r="N231" s="1">
        <v>3</v>
      </c>
      <c r="O231" s="1">
        <v>0</v>
      </c>
      <c r="P231" s="1">
        <v>0</v>
      </c>
      <c r="Q231" s="1">
        <v>0</v>
      </c>
      <c r="R231" s="1">
        <v>778</v>
      </c>
      <c r="S231" s="1">
        <v>1081</v>
      </c>
    </row>
    <row r="232" spans="1:19" x14ac:dyDescent="0.25">
      <c r="A232" s="1">
        <v>200</v>
      </c>
      <c r="B232" s="1">
        <v>754</v>
      </c>
      <c r="C232" s="1">
        <v>1013</v>
      </c>
      <c r="D232" s="1">
        <v>60.7</v>
      </c>
      <c r="E232" s="1">
        <v>-10.4</v>
      </c>
      <c r="F232" s="1">
        <v>-3</v>
      </c>
      <c r="G232" s="2">
        <v>0</v>
      </c>
      <c r="H232" s="2">
        <v>0</v>
      </c>
      <c r="I232" s="2">
        <v>0</v>
      </c>
      <c r="K232" s="1">
        <v>200</v>
      </c>
      <c r="L232" s="1">
        <v>56.8</v>
      </c>
      <c r="M232" s="1">
        <v>9.8000000000000007</v>
      </c>
      <c r="N232" s="1">
        <v>2.8</v>
      </c>
      <c r="O232" s="1">
        <v>0</v>
      </c>
      <c r="P232" s="1">
        <v>0</v>
      </c>
      <c r="Q232" s="1">
        <v>0</v>
      </c>
      <c r="R232" s="1">
        <v>754</v>
      </c>
      <c r="S232" s="1">
        <v>1013</v>
      </c>
    </row>
    <row r="233" spans="1:19" x14ac:dyDescent="0.25">
      <c r="A233" s="1">
        <v>225</v>
      </c>
      <c r="B233" s="1">
        <v>730</v>
      </c>
      <c r="C233" s="1">
        <v>951</v>
      </c>
      <c r="D233" s="1">
        <v>64.3</v>
      </c>
      <c r="E233" s="1">
        <v>-9.8000000000000007</v>
      </c>
      <c r="F233" s="1">
        <v>-2.9</v>
      </c>
      <c r="G233" s="2">
        <v>0</v>
      </c>
      <c r="H233" s="2">
        <v>0</v>
      </c>
      <c r="I233" s="2">
        <v>0</v>
      </c>
      <c r="K233" s="1">
        <v>225</v>
      </c>
      <c r="L233" s="1">
        <v>60.2</v>
      </c>
      <c r="M233" s="1">
        <v>9.1999999999999993</v>
      </c>
      <c r="N233" s="1">
        <v>2.7</v>
      </c>
      <c r="O233" s="1">
        <v>0</v>
      </c>
      <c r="P233" s="1">
        <v>0</v>
      </c>
      <c r="Q233" s="1">
        <v>0</v>
      </c>
      <c r="R233" s="1">
        <v>731</v>
      </c>
      <c r="S233" s="1">
        <v>952</v>
      </c>
    </row>
    <row r="234" spans="1:19" x14ac:dyDescent="0.25">
      <c r="A234" s="1">
        <v>250</v>
      </c>
      <c r="B234" s="1">
        <v>707</v>
      </c>
      <c r="C234" s="1">
        <v>892</v>
      </c>
      <c r="D234" s="1">
        <v>66.7</v>
      </c>
      <c r="E234" s="1">
        <v>-9.1999999999999993</v>
      </c>
      <c r="F234" s="1">
        <v>-2.7</v>
      </c>
      <c r="G234" s="2">
        <v>0</v>
      </c>
      <c r="H234" s="2">
        <v>0</v>
      </c>
      <c r="I234" s="2">
        <v>0</v>
      </c>
      <c r="K234" s="1">
        <v>250</v>
      </c>
      <c r="L234" s="1">
        <v>62.3</v>
      </c>
      <c r="M234" s="1">
        <v>8.6</v>
      </c>
      <c r="N234" s="1">
        <v>2.5</v>
      </c>
      <c r="O234" s="1">
        <v>0</v>
      </c>
      <c r="P234" s="1">
        <v>0</v>
      </c>
      <c r="Q234" s="1">
        <v>0</v>
      </c>
      <c r="R234" s="1">
        <v>708</v>
      </c>
      <c r="S234" s="1">
        <v>893</v>
      </c>
    </row>
    <row r="235" spans="1:19" x14ac:dyDescent="0.25">
      <c r="A235" s="1">
        <v>275</v>
      </c>
      <c r="B235" s="1">
        <v>685</v>
      </c>
      <c r="C235" s="1">
        <v>836</v>
      </c>
      <c r="D235" s="1">
        <v>67.900000000000006</v>
      </c>
      <c r="E235" s="1">
        <v>-8.5</v>
      </c>
      <c r="F235" s="1">
        <v>-2.5</v>
      </c>
      <c r="G235" s="2">
        <v>0</v>
      </c>
      <c r="H235" s="2">
        <v>0</v>
      </c>
      <c r="I235" s="2">
        <v>0</v>
      </c>
      <c r="K235" s="1">
        <v>275</v>
      </c>
      <c r="L235" s="1">
        <v>63.3</v>
      </c>
      <c r="M235" s="1">
        <v>7.9</v>
      </c>
      <c r="N235" s="1">
        <v>2.2999999999999998</v>
      </c>
      <c r="O235" s="1">
        <v>0</v>
      </c>
      <c r="P235" s="1">
        <v>0</v>
      </c>
      <c r="Q235" s="1">
        <v>0</v>
      </c>
      <c r="R235" s="1">
        <v>685</v>
      </c>
      <c r="S235" s="1">
        <v>837</v>
      </c>
    </row>
    <row r="236" spans="1:19" x14ac:dyDescent="0.25">
      <c r="A236" s="1">
        <v>300</v>
      </c>
      <c r="B236" s="1">
        <v>663</v>
      </c>
      <c r="C236" s="1">
        <v>782</v>
      </c>
      <c r="D236" s="1">
        <v>67.7</v>
      </c>
      <c r="E236" s="1">
        <v>-7.8</v>
      </c>
      <c r="F236" s="1">
        <v>-2.2999999999999998</v>
      </c>
      <c r="G236" s="2">
        <v>0</v>
      </c>
      <c r="H236" s="2">
        <v>0</v>
      </c>
      <c r="I236" s="2">
        <v>0</v>
      </c>
      <c r="K236" s="1">
        <v>300</v>
      </c>
      <c r="L236" s="1">
        <v>62.9</v>
      </c>
      <c r="M236" s="1">
        <v>7.2</v>
      </c>
      <c r="N236" s="1">
        <v>2.1</v>
      </c>
      <c r="O236" s="1">
        <v>0</v>
      </c>
      <c r="P236" s="1">
        <v>0</v>
      </c>
      <c r="Q236" s="1">
        <v>0</v>
      </c>
      <c r="R236" s="1">
        <v>663</v>
      </c>
      <c r="S236" s="1">
        <v>784</v>
      </c>
    </row>
    <row r="237" spans="1:19" x14ac:dyDescent="0.25">
      <c r="A237" s="1">
        <v>325</v>
      </c>
      <c r="B237" s="1">
        <v>641</v>
      </c>
      <c r="C237" s="1">
        <v>732</v>
      </c>
      <c r="D237" s="1">
        <v>65.900000000000006</v>
      </c>
      <c r="E237" s="1">
        <v>-7</v>
      </c>
      <c r="F237" s="1">
        <v>-2</v>
      </c>
      <c r="G237" s="2">
        <v>0</v>
      </c>
      <c r="H237" s="2">
        <v>0</v>
      </c>
      <c r="I237" s="2">
        <v>0</v>
      </c>
      <c r="K237" s="1">
        <v>325</v>
      </c>
      <c r="L237" s="1">
        <v>61.2</v>
      </c>
      <c r="M237" s="1">
        <v>6.5</v>
      </c>
      <c r="N237" s="1">
        <v>1.9</v>
      </c>
      <c r="O237" s="1">
        <v>0</v>
      </c>
      <c r="P237" s="1">
        <v>0</v>
      </c>
      <c r="Q237" s="1">
        <v>0</v>
      </c>
      <c r="R237" s="1">
        <v>642</v>
      </c>
      <c r="S237" s="1">
        <v>735</v>
      </c>
    </row>
    <row r="238" spans="1:19" x14ac:dyDescent="0.25">
      <c r="A238" s="1">
        <v>350</v>
      </c>
      <c r="B238" s="1">
        <v>619</v>
      </c>
      <c r="C238" s="1">
        <v>684</v>
      </c>
      <c r="D238" s="1">
        <v>62.5</v>
      </c>
      <c r="E238" s="1">
        <v>-6.1</v>
      </c>
      <c r="F238" s="1">
        <v>-1.8</v>
      </c>
      <c r="G238" s="2">
        <v>0</v>
      </c>
      <c r="H238" s="2">
        <v>0</v>
      </c>
      <c r="I238" s="2">
        <v>0</v>
      </c>
      <c r="K238" s="1">
        <v>350</v>
      </c>
      <c r="L238" s="1">
        <v>58</v>
      </c>
      <c r="M238" s="1">
        <v>5.7</v>
      </c>
      <c r="N238" s="1">
        <v>1.7</v>
      </c>
      <c r="O238" s="1">
        <v>0</v>
      </c>
      <c r="P238" s="1">
        <v>0</v>
      </c>
      <c r="Q238" s="1">
        <v>0</v>
      </c>
      <c r="R238" s="1">
        <v>620</v>
      </c>
      <c r="S238" s="1">
        <v>685</v>
      </c>
    </row>
    <row r="239" spans="1:19" x14ac:dyDescent="0.25">
      <c r="A239" s="1">
        <v>375</v>
      </c>
      <c r="B239" s="1">
        <v>598</v>
      </c>
      <c r="C239" s="1">
        <v>638</v>
      </c>
      <c r="D239" s="1">
        <v>57.4</v>
      </c>
      <c r="E239" s="1">
        <v>-5.3</v>
      </c>
      <c r="F239" s="1">
        <v>-1.5</v>
      </c>
      <c r="G239" s="2">
        <v>0</v>
      </c>
      <c r="H239" s="2">
        <v>0</v>
      </c>
      <c r="I239" s="2">
        <v>0</v>
      </c>
      <c r="K239" s="1">
        <v>375</v>
      </c>
      <c r="L239" s="1">
        <v>53.3</v>
      </c>
      <c r="M239" s="1">
        <v>4.9000000000000004</v>
      </c>
      <c r="N239" s="1">
        <v>1.4</v>
      </c>
      <c r="O239" s="1">
        <v>0</v>
      </c>
      <c r="P239" s="1">
        <v>0</v>
      </c>
      <c r="Q239" s="1">
        <v>0</v>
      </c>
      <c r="R239" s="1">
        <v>599</v>
      </c>
      <c r="S239" s="1">
        <v>640</v>
      </c>
    </row>
    <row r="240" spans="1:19" x14ac:dyDescent="0.25">
      <c r="A240" s="1">
        <v>400</v>
      </c>
      <c r="B240" s="1">
        <v>578</v>
      </c>
      <c r="C240" s="1">
        <v>595</v>
      </c>
      <c r="D240" s="1">
        <v>50.5</v>
      </c>
      <c r="E240" s="1">
        <v>-4.3</v>
      </c>
      <c r="F240" s="1">
        <v>-1.3</v>
      </c>
      <c r="G240" s="2">
        <v>0</v>
      </c>
      <c r="H240" s="2">
        <v>0</v>
      </c>
      <c r="I240" s="2">
        <v>0</v>
      </c>
      <c r="K240" s="1">
        <v>400</v>
      </c>
      <c r="L240" s="1">
        <v>47.1</v>
      </c>
      <c r="M240" s="1">
        <v>4</v>
      </c>
      <c r="N240" s="1">
        <v>1.2</v>
      </c>
      <c r="O240" s="1">
        <v>0</v>
      </c>
      <c r="P240" s="1">
        <v>0</v>
      </c>
      <c r="Q240" s="1">
        <v>0</v>
      </c>
      <c r="R240" s="1">
        <v>579</v>
      </c>
      <c r="S240" s="1">
        <v>597</v>
      </c>
    </row>
    <row r="241" spans="1:19" x14ac:dyDescent="0.25">
      <c r="A241" s="1">
        <v>425</v>
      </c>
      <c r="B241" s="1">
        <v>558</v>
      </c>
      <c r="C241" s="1">
        <v>555</v>
      </c>
      <c r="D241" s="1">
        <v>41.2</v>
      </c>
      <c r="E241" s="1">
        <v>-3.3</v>
      </c>
      <c r="F241" s="1">
        <v>-1</v>
      </c>
      <c r="G241" s="2">
        <v>0</v>
      </c>
      <c r="H241" s="2">
        <v>0</v>
      </c>
      <c r="I241" s="2">
        <v>0</v>
      </c>
      <c r="K241" s="1">
        <v>425</v>
      </c>
      <c r="L241" s="1">
        <v>38.5</v>
      </c>
      <c r="M241" s="1">
        <v>3.1</v>
      </c>
      <c r="N241" s="1">
        <v>0.9</v>
      </c>
      <c r="O241" s="1">
        <v>0</v>
      </c>
      <c r="P241" s="1">
        <v>0</v>
      </c>
      <c r="Q241" s="1">
        <v>0</v>
      </c>
      <c r="R241" s="1">
        <v>558</v>
      </c>
      <c r="S241" s="1">
        <v>556</v>
      </c>
    </row>
    <row r="242" spans="1:19" x14ac:dyDescent="0.25">
      <c r="A242" s="1">
        <v>450</v>
      </c>
      <c r="B242" s="1">
        <v>538</v>
      </c>
      <c r="C242" s="1">
        <v>516</v>
      </c>
      <c r="D242" s="1">
        <v>30.1</v>
      </c>
      <c r="E242" s="1">
        <v>-2.2999999999999998</v>
      </c>
      <c r="F242" s="1">
        <v>-0.7</v>
      </c>
      <c r="G242" s="2">
        <v>0</v>
      </c>
      <c r="H242" s="2">
        <v>0</v>
      </c>
      <c r="I242" s="2">
        <v>0</v>
      </c>
      <c r="K242" s="1">
        <v>450</v>
      </c>
      <c r="L242" s="1">
        <v>28</v>
      </c>
      <c r="M242" s="1">
        <v>2.1</v>
      </c>
      <c r="N242" s="1">
        <v>0.6</v>
      </c>
      <c r="O242" s="1">
        <v>0</v>
      </c>
      <c r="P242" s="1">
        <v>0</v>
      </c>
      <c r="Q242" s="1">
        <v>0</v>
      </c>
      <c r="R242" s="1">
        <v>539</v>
      </c>
      <c r="S242" s="1">
        <v>518</v>
      </c>
    </row>
    <row r="243" spans="1:19" x14ac:dyDescent="0.25">
      <c r="A243" s="1">
        <v>475</v>
      </c>
      <c r="B243" s="1">
        <v>519</v>
      </c>
      <c r="C243" s="1">
        <v>481</v>
      </c>
      <c r="D243" s="1">
        <v>16.600000000000001</v>
      </c>
      <c r="E243" s="1">
        <v>-1.2</v>
      </c>
      <c r="F243" s="1">
        <v>-0.3</v>
      </c>
      <c r="G243" s="2">
        <v>0</v>
      </c>
      <c r="H243" s="2">
        <v>0</v>
      </c>
      <c r="I243" s="2">
        <v>0</v>
      </c>
      <c r="K243" s="1">
        <v>475</v>
      </c>
      <c r="L243" s="1">
        <v>15.4</v>
      </c>
      <c r="M243" s="1">
        <v>1.1000000000000001</v>
      </c>
      <c r="N243" s="1">
        <v>0.3</v>
      </c>
      <c r="O243" s="1">
        <v>0</v>
      </c>
      <c r="P243" s="1">
        <v>0</v>
      </c>
      <c r="Q243" s="1">
        <v>0</v>
      </c>
      <c r="R243" s="1">
        <v>521</v>
      </c>
      <c r="S243" s="1">
        <v>483</v>
      </c>
    </row>
    <row r="244" spans="1:19" x14ac:dyDescent="0.25">
      <c r="A244" s="10">
        <v>500</v>
      </c>
      <c r="B244" s="10">
        <v>502</v>
      </c>
      <c r="C244" s="10">
        <v>448</v>
      </c>
      <c r="D244" s="10">
        <v>0.6</v>
      </c>
      <c r="E244" s="10">
        <v>0</v>
      </c>
      <c r="F244" s="10">
        <v>0</v>
      </c>
      <c r="G244" s="2">
        <v>0</v>
      </c>
      <c r="H244" s="2">
        <v>0</v>
      </c>
      <c r="I244" s="2">
        <v>0</v>
      </c>
      <c r="K244" s="1">
        <v>500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502</v>
      </c>
      <c r="S244" s="1">
        <v>449</v>
      </c>
    </row>
    <row r="246" spans="1:19" ht="30" x14ac:dyDescent="0.25">
      <c r="A246" t="s">
        <v>71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31</v>
      </c>
      <c r="H246" s="13" t="s">
        <v>32</v>
      </c>
      <c r="I246" s="27" t="s">
        <v>72</v>
      </c>
    </row>
    <row r="247" spans="1:19" x14ac:dyDescent="0.25">
      <c r="A247" t="s">
        <v>63</v>
      </c>
      <c r="B247" s="22" cm="1">
        <f t="array" ref="B247">INDEX(LINEST(J$22:J$34,$A$22:$A$34^{1,2,3}), 1,4)</f>
        <v>-5.2059485970102628</v>
      </c>
      <c r="C247" s="22" cm="1">
        <f t="array" ref="C247">INDEX(LINEST(K$22:K$34,$A$22:$A$34^{1,2,3}), 1,4)</f>
        <v>-4.7525005970900196</v>
      </c>
      <c r="D247" s="23" cm="1">
        <f t="array" ref="D247">INDEX(LINEST(L$22:L$34,$A$22:$A$34^{1,2,3}), 1,4)</f>
        <v>-5.0272528369766345</v>
      </c>
      <c r="E247" s="23" cm="1">
        <f t="array" ref="E247">INDEX(LINEST(M$22:M$34,$A$22:$A$34^{1,2,3}), 1,4)</f>
        <v>-4.0333228126796179</v>
      </c>
      <c r="F247" s="23" cm="1">
        <f t="array" ref="F247">INDEX(LINEST(N$22:N$34,$A$22:$A$34^{1,2,3}), 1,4)</f>
        <v>-4.8095353297591785</v>
      </c>
      <c r="G247" s="23" cm="1">
        <f t="array" ref="G247">INDEX(LINEST(O$22:O$34,$A$22:$A$34^{1,2,3}), 1,4)</f>
        <v>-4.7909317431191063</v>
      </c>
      <c r="H247" s="23" cm="1">
        <f t="array" ref="H247">INDEX(LINEST(P$22:P$34,$A$22:$A$34^{1,2,3}), 1,4)</f>
        <v>-5.4980084067894257</v>
      </c>
      <c r="I247" s="23" cm="1">
        <f t="array" ref="I247">INDEX(LINEST(Q$22:Q$34,$A$22:$A$34^{1,2,3}), 1,4)</f>
        <v>1.8236221979001898E-15</v>
      </c>
      <c r="J247" s="22"/>
    </row>
    <row r="248" spans="1:19" x14ac:dyDescent="0.25">
      <c r="A248" t="s">
        <v>64</v>
      </c>
      <c r="B248" s="23" cm="1">
        <f t="array" ref="B248">INDEX(LINEST(J$22:J$34,$A$22:$A$34^{1,2,3}), 1,3)</f>
        <v>0.1352293598174954</v>
      </c>
      <c r="C248" s="22" cm="1">
        <f t="array" ref="C248">INDEX(LINEST(K$22:K$34,$A$22:$A$34^{1,2,3}), 1,3)</f>
        <v>9.3215775933462308E-2</v>
      </c>
      <c r="D248" s="23" cm="1">
        <f t="array" ref="D248">INDEX(LINEST(L$22:L$34,$A$22:$A$34^{1,2,3}), 1,3)</f>
        <v>0.12786814217063</v>
      </c>
      <c r="E248" s="23" cm="1">
        <f t="array" ref="E248">INDEX(LINEST(M$22:M$34,$A$22:$A$34^{1,2,3}), 1,3)</f>
        <v>0.12450414126295757</v>
      </c>
      <c r="F248" s="23" cm="1">
        <f t="array" ref="F248">INDEX(LINEST(N$22:N$34,$A$22:$A$34^{1,2,3}), 1,3)</f>
        <v>0.21097903971797527</v>
      </c>
      <c r="G248" s="23" cm="1">
        <f t="array" ref="G248">INDEX(LINEST(O$22:O$34,$A$22:$A$34^{1,2,3}), 1,3)</f>
        <v>0.27995929260443264</v>
      </c>
      <c r="H248" s="23" cm="1">
        <f t="array" ref="H248">INDEX(LINEST(P$22:P$34,$A$22:$A$34^{1,2,3}), 1,3)</f>
        <v>0.48079594931568603</v>
      </c>
      <c r="I248" s="23" cm="1">
        <f t="array" ref="I248">INDEX(LINEST(Q$22:Q$34,$A$22:$A$34^{1,2,3}), 1,3)</f>
        <v>1.5024454823627685E-2</v>
      </c>
      <c r="J248" s="22"/>
      <c r="K248" s="26"/>
      <c r="L248" s="26"/>
      <c r="M248" s="26"/>
      <c r="N248" s="48"/>
      <c r="O248" s="48"/>
    </row>
    <row r="249" spans="1:19" x14ac:dyDescent="0.25">
      <c r="A249" t="s">
        <v>65</v>
      </c>
      <c r="B249" s="23" cm="1">
        <f t="array" ref="B249">INDEX(LINEST(J$22:J$34,$A$22:$A$34^{1,2,3}), 1,2)</f>
        <v>-2.0526545020137449E-4</v>
      </c>
      <c r="C249" s="23" cm="1">
        <f t="array" ref="C249">INDEX(LINEST(K$22:K$34,$A$22:$A$34^{1,2,3}), 1,2)</f>
        <v>-3.6433702876008975E-4</v>
      </c>
      <c r="D249" s="23" cm="1">
        <f t="array" ref="D249">INDEX(LINEST(L$22:L$34,$A$22:$A$34^{1,2,3}), 1,2)</f>
        <v>-4.8651364749741945E-4</v>
      </c>
      <c r="E249" s="23" cm="1">
        <f t="array" ref="E249">INDEX(LINEST(M$22:M$34,$A$22:$A$34^{1,2,3}), 1,2)</f>
        <v>-2.694803051298314E-4</v>
      </c>
      <c r="F249" s="23" cm="1">
        <f t="array" ref="F249">INDEX(LINEST(N$22:N$34,$A$22:$A$34^{1,2,3}), 1,2)</f>
        <v>-3.4546440699885549E-4</v>
      </c>
      <c r="G249" s="23" cm="1">
        <f t="array" ref="G249">INDEX(LINEST(O$22:O$34,$A$22:$A$34^{1,2,3}), 1,2)</f>
        <v>-2.9275840702080303E-4</v>
      </c>
      <c r="H249" s="23" cm="1">
        <f t="array" ref="H249">INDEX(LINEST(P$22:P$34,$A$22:$A$34^{1,2,3}), 1,2)</f>
        <v>-5.6684158661216629E-4</v>
      </c>
      <c r="I249" s="23" cm="1">
        <f t="array" ref="I249">INDEX(LINEST(Q$22:Q$34,$A$22:$A$34^{1,2,3}), 1,2)</f>
        <v>4.5856050408397691E-20</v>
      </c>
      <c r="J249" s="22"/>
      <c r="K249" s="20"/>
      <c r="L249" s="20"/>
      <c r="M249" s="20"/>
      <c r="N249" s="20"/>
      <c r="O249" s="20"/>
    </row>
    <row r="250" spans="1:19" x14ac:dyDescent="0.25">
      <c r="A250" t="s">
        <v>66</v>
      </c>
      <c r="B250" s="22" cm="1">
        <f t="array" ref="B250">INDEX(LINEST(J$22:J$34,$A$22:$A$34^{1,2,3}), 1)</f>
        <v>-1.6735930270936985E-6</v>
      </c>
      <c r="C250" s="22" cm="1">
        <f t="array" ref="C250">INDEX(LINEST(K$22:K$34,$A$22:$A$34^{1,2,3}), 1)</f>
        <v>-9.3981353223507954E-7</v>
      </c>
      <c r="D250" s="23" cm="1">
        <f t="array" ref="D250">INDEX(LINEST(L$22:L$34,$A$22:$A$34^{1,2,3}), 1)</f>
        <v>-7.3835523096164615E-7</v>
      </c>
      <c r="E250" s="23" cm="1">
        <f t="array" ref="E250">INDEX(LINEST(M$22:M$34,$A$22:$A$34^{1,2,3}), 1)</f>
        <v>-1.1130248042595425E-6</v>
      </c>
      <c r="F250" s="23" cm="1">
        <f t="array" ref="F250">INDEX(LINEST(N$22:N$34,$A$22:$A$34^{1,2,3}), 1)</f>
        <v>-1.0112445699970547E-6</v>
      </c>
      <c r="G250" s="23" cm="1">
        <f t="array" ref="G250">INDEX(LINEST(O$22:O$34,$A$22:$A$34^{1,2,3}), 1)</f>
        <v>-9.2285704391460936E-7</v>
      </c>
      <c r="H250" s="23" cm="1">
        <f t="array" ref="H250">INDEX(LINEST(P$22:P$34,$A$22:$A$34^{1,2,3}), 1)</f>
        <v>-8.050767610594829E-7</v>
      </c>
      <c r="I250" s="23" cm="1">
        <f t="array" ref="I250">INDEX(LINEST(Q$22:Q$34,$A$22:$A$34^{1,2,3}), 1)</f>
        <v>-4.3822555927697231E-23</v>
      </c>
      <c r="J250" s="22"/>
      <c r="K250" s="19"/>
      <c r="L250" s="19"/>
      <c r="M250" s="19"/>
      <c r="N250" s="19"/>
      <c r="O250" s="19"/>
    </row>
    <row r="251" spans="1:19" x14ac:dyDescent="0.25">
      <c r="A251" t="s">
        <v>67</v>
      </c>
      <c r="B251" s="22"/>
      <c r="C251" s="22"/>
      <c r="D251" s="23"/>
      <c r="E251" s="23"/>
      <c r="F251" s="23"/>
      <c r="G251" s="23"/>
      <c r="H251" s="23"/>
      <c r="I251" s="23"/>
      <c r="J251" s="22"/>
      <c r="K251" s="19"/>
      <c r="L251" s="19"/>
      <c r="M251" s="19"/>
      <c r="N251" s="19"/>
      <c r="O251" s="19"/>
    </row>
    <row r="252" spans="1:19" x14ac:dyDescent="0.25">
      <c r="A252" t="s">
        <v>68</v>
      </c>
      <c r="B252" s="22"/>
      <c r="C252" s="22"/>
      <c r="D252" s="23"/>
      <c r="E252" s="23"/>
      <c r="F252" s="23"/>
      <c r="G252" s="23"/>
      <c r="H252" s="23"/>
      <c r="I252" s="23"/>
      <c r="J252" s="19"/>
      <c r="K252" s="19"/>
      <c r="L252" s="19"/>
      <c r="M252" s="19"/>
      <c r="N252" s="19"/>
      <c r="O252" s="19"/>
    </row>
    <row r="253" spans="1:19" x14ac:dyDescent="0.25">
      <c r="A253" t="s">
        <v>69</v>
      </c>
      <c r="B253" s="22"/>
      <c r="C253" s="22"/>
      <c r="D253" s="23"/>
      <c r="E253" s="23"/>
      <c r="F253" s="23"/>
      <c r="G253" s="23"/>
      <c r="H253" s="23"/>
      <c r="I253" s="23"/>
      <c r="J253" s="19"/>
      <c r="K253" s="19"/>
      <c r="L253" s="19"/>
      <c r="M253" s="19"/>
      <c r="N253" s="19"/>
      <c r="O253" s="19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t="s">
        <v>70</v>
      </c>
    </row>
    <row r="256" spans="1:19" x14ac:dyDescent="0.25">
      <c r="A256" s="21" t="s">
        <v>4</v>
      </c>
      <c r="B256" s="20"/>
      <c r="C256" s="20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1.8236221979001898E-15</v>
      </c>
    </row>
    <row r="258" spans="1:9" x14ac:dyDescent="0.25">
      <c r="A258" s="1">
        <v>25</v>
      </c>
      <c r="B258" s="2" cm="1">
        <f t="array" ref="B258">TrajectoryToComeUp(B$247:B$250,$A258)</f>
        <v>0.79186215959883055</v>
      </c>
      <c r="C258" s="2" cm="1">
        <f t="array" ref="C258">TrajectoryToComeUp(C$247:C$250,$A258)</f>
        <v>1.0658005712678766</v>
      </c>
      <c r="D258" s="25" cm="1">
        <f t="array" ref="D258">TrajectoryToComeUp(D$247:D$250,$A258)</f>
        <v>0.85846284515221893</v>
      </c>
      <c r="E258" s="25" cm="1">
        <f t="array" ref="E258">TrajectoryToComeUp(E$247:E$250,$A258)</f>
        <v>0.44261419375135136</v>
      </c>
      <c r="F258" s="25" cm="1">
        <f t="array" ref="F258">TrajectoryToComeUp(F$247:F$250,$A258)</f>
        <v>-9.328988496388578E-2</v>
      </c>
      <c r="G258" s="25" cm="1">
        <f t="array" ref="G258">TrajectoryToComeUp(G$247:G$250,$A258)</f>
        <v>-0.80426277051701689</v>
      </c>
      <c r="H258" s="25" cm="1">
        <f t="array" ref="H258">TrajectoryToComeUp(H$247:H$250,$A258)</f>
        <v>-2.4620140040314267</v>
      </c>
      <c r="I258" s="2" cm="1">
        <f t="array" ref="I258">EvaluatePolynomial(I$247:I$250,$A258)</f>
        <v>0.37561137059069399</v>
      </c>
    </row>
    <row r="259" spans="1:9" x14ac:dyDescent="0.25">
      <c r="A259" s="1">
        <v>50</v>
      </c>
      <c r="B259" s="2" cm="1">
        <f t="array" ref="B259">TrajectoryToComeUp(B$247:B$250,$A259)</f>
        <v>-0.16663132799487165</v>
      </c>
      <c r="C259" s="24" cm="1">
        <f t="array" ref="C259">TrajectoryToComeUp(C$247:C$250,$A259)</f>
        <v>0.22400621276930269</v>
      </c>
      <c r="D259" s="25" cm="1">
        <f t="array" ref="D259">TrajectoryToComeUp(D$247:D$250,$A259)</f>
        <v>-1.1515149788222268E-2</v>
      </c>
      <c r="E259" s="25" cm="1">
        <f t="array" ref="E259">TrajectoryToComeUp(E$247:E$250,$A259)</f>
        <v>-0.27581107742224786</v>
      </c>
      <c r="F259" s="25" cm="1">
        <f t="array" ref="F259">TrajectoryToComeUp(F$247:F$250,$A259)</f>
        <v>-0.94987001347856292</v>
      </c>
      <c r="G259" s="25" cm="1">
        <f t="array" ref="G259">TrajectoryToComeUp(G$247:G$250,$A259)</f>
        <v>-1.6719559478122383</v>
      </c>
      <c r="H259" s="25" cm="1">
        <f t="array" ref="H259">TrajectoryToComeUp(H$247:H$250,$A259)</f>
        <v>-3.4048100994664048</v>
      </c>
      <c r="I259" s="2" cm="1">
        <f t="array" ref="I259">EvaluatePolynomial(I$247:I$250,$A259)</f>
        <v>0.7512227411813861</v>
      </c>
    </row>
    <row r="260" spans="1:9" x14ac:dyDescent="0.25">
      <c r="A260" s="1">
        <v>75</v>
      </c>
      <c r="B260" s="2" cm="1">
        <f t="array" ref="B260">TrajectoryToComeUp(B$247:B$250,$A260)</f>
        <v>-0.41007842314853427</v>
      </c>
      <c r="C260" s="2" cm="1">
        <f t="array" ref="C260">TrajectoryToComeUp(C$247:C$250,$A260)</f>
        <v>2.7626269702336729E-2</v>
      </c>
      <c r="D260" s="25" cm="1">
        <f t="array" ref="D260">TrajectoryToComeUp(D$247:D$250,$A260)</f>
        <v>-0.20196332607809156</v>
      </c>
      <c r="E260" s="25" cm="1">
        <f t="array" ref="E260">TrajectoryToComeUp(E$247:E$250,$A260)</f>
        <v>-0.44254716351865386</v>
      </c>
      <c r="F260" s="25" cm="1">
        <f t="array" ref="F260">TrajectoryToComeUp(F$247:F$250,$A260)</f>
        <v>-1.1525382075670527</v>
      </c>
      <c r="G260" s="25" cm="1">
        <f t="array" ref="G260">TrajectoryToComeUp(G$247:G$250,$A260)</f>
        <v>-1.8893225129759799</v>
      </c>
      <c r="H260" s="25" cm="1">
        <f t="array" ref="H260">TrajectoryToComeUp(H$247:H$250,$A260)</f>
        <v>-3.6044749478162164</v>
      </c>
      <c r="I260" s="2" cm="1">
        <f t="array" ref="I260">EvaluatePolynomial(I$247:I$250,$A260)</f>
        <v>1.1268341117720784</v>
      </c>
    </row>
    <row r="261" spans="1:9" x14ac:dyDescent="0.25">
      <c r="A261" s="1">
        <v>100</v>
      </c>
      <c r="B261" s="2" cm="1">
        <f t="array" ref="B261">TrajectoryToComeUp(B$247:B$250,$A261)</f>
        <v>-0.45907398556318341</v>
      </c>
      <c r="C261" s="2" cm="1">
        <f t="array" ref="C261">TrajectoryToComeUp(C$247:C$250,$A261)</f>
        <v>1.4106823579765363E-3</v>
      </c>
      <c r="D261" s="25" cm="1">
        <f t="array" ref="D261">TrajectoryToComeUp(D$247:D$250,$A261)</f>
        <v>-0.21560696741505242</v>
      </c>
      <c r="E261" s="25" cm="1">
        <f t="array" ref="E261">TrajectoryToComeUp(E$247:E$250,$A261)</f>
        <v>-0.46092634580582831</v>
      </c>
      <c r="F261" s="25" cm="1">
        <f t="array" ref="F261">TrajectoryToComeUp(F$247:F$250,$A261)</f>
        <v>-1.182248000205274</v>
      </c>
      <c r="G261" s="25" cm="1">
        <f t="array" ref="G261">TrajectoryToComeUp(G$247:G$250,$A261)</f>
        <v>-1.9354556403201517</v>
      </c>
      <c r="H261" s="25" cm="1">
        <f t="array" ref="H261">TrajectoryToComeUp(H$247:H$250,$A261)</f>
        <v>-3.6108093897598033</v>
      </c>
      <c r="I261" s="2" cm="1">
        <f t="array" ref="I261">EvaluatePolynomial(I$247:I$250,$A261)</f>
        <v>1.5024454823627706</v>
      </c>
    </row>
    <row r="262" spans="1:9" x14ac:dyDescent="0.25">
      <c r="A262" s="1">
        <v>125</v>
      </c>
      <c r="B262" s="2" cm="1">
        <f t="array" ref="B262">TrajectoryToComeUp(B$247:B$250,$A262)</f>
        <v>-0.41773698717902441</v>
      </c>
      <c r="C262" s="2" cm="1">
        <f t="array" ref="C262">TrajectoryToComeUp(C$247:C$250,$A262)</f>
        <v>5.0309438794421887E-2</v>
      </c>
      <c r="D262" s="25" cm="1">
        <f t="array" ref="D262">TrajectoryToComeUp(D$247:D$250,$A262)</f>
        <v>-0.15299113053863775</v>
      </c>
      <c r="E262" s="25" cm="1">
        <f t="array" ref="E262">TrajectoryToComeUp(E$247:E$250,$A262)</f>
        <v>-0.41161508053736356</v>
      </c>
      <c r="F262" s="25" cm="1">
        <f t="array" ref="F262">TrajectoryToComeUp(F$247:F$250,$A262)</f>
        <v>-1.1351900979884091</v>
      </c>
      <c r="G262" s="25" cm="1">
        <f t="array" ref="G262">TrajectoryToComeUp(G$247:G$250,$A262)</f>
        <v>-1.9061739647071363</v>
      </c>
      <c r="H262" s="25" cm="1">
        <f t="array" ref="H262">TrajectoryToComeUp(H$247:H$250,$A262)</f>
        <v>-3.5337735934329539</v>
      </c>
      <c r="I262" s="2" cm="1">
        <f t="array" ref="I262">EvaluatePolynomial(I$247:I$250,$A262)</f>
        <v>1.8780568529534631</v>
      </c>
    </row>
    <row r="263" spans="1:9" x14ac:dyDescent="0.25">
      <c r="A263" s="1">
        <v>150</v>
      </c>
      <c r="B263" s="2" cm="1">
        <f t="array" ref="B263">TrajectoryToComeUp(B$247:B$250,$A263)</f>
        <v>-0.3207737519761259</v>
      </c>
      <c r="C263" s="2" cm="1">
        <f t="array" ref="C263">TrajectoryToComeUp(C$247:C$250,$A263)</f>
        <v>0.14263920169773908</v>
      </c>
      <c r="D263" s="25" cm="1">
        <f t="array" ref="D263">TrajectoryToComeUp(D$247:D$250,$A263)</f>
        <v>-4.7630834362024768E-2</v>
      </c>
      <c r="E263" s="25" cm="1">
        <f t="array" ref="E263">TrajectoryToComeUp(E$247:E$250,$A263)</f>
        <v>-0.32150218646445705</v>
      </c>
      <c r="F263" s="25" cm="1">
        <f t="array" ref="F263">TrajectoryToComeUp(F$247:F$250,$A263)</f>
        <v>-1.0434280697815204</v>
      </c>
      <c r="G263" s="25" cm="1">
        <f t="array" ref="G263">TrajectoryToComeUp(G$247:G$250,$A263)</f>
        <v>-1.8334170310910609</v>
      </c>
      <c r="H263" s="25" cm="1">
        <f t="array" ref="H263">TrajectoryToComeUp(H$247:H$250,$A263)</f>
        <v>-3.4100209482142652</v>
      </c>
      <c r="I263" s="2" cm="1">
        <f t="array" ref="I263">EvaluatePolynomial(I$247:I$250,$A263)</f>
        <v>2.2536682235441554</v>
      </c>
    </row>
    <row r="264" spans="1:9" x14ac:dyDescent="0.25">
      <c r="A264" s="1">
        <v>175</v>
      </c>
      <c r="B264" s="2" cm="1">
        <f t="array" ref="B264">TrajectoryToComeUp(B$247:B$250,$A264)</f>
        <v>-0.18305841880308851</v>
      </c>
      <c r="C264" s="2" cm="1">
        <f t="array" ref="C264">TrajectoryToComeUp(C$247:C$250,$A264)</f>
        <v>0.26482139793338538</v>
      </c>
      <c r="D264" s="25" cm="1">
        <f t="array" ref="D264">TrajectoryToComeUp(D$247:D$250,$A264)</f>
        <v>8.6110341580567296E-2</v>
      </c>
      <c r="E264" s="25" cm="1">
        <f t="array" ref="E264">TrajectoryToComeUp(E$247:E$250,$A264)</f>
        <v>-0.20211144305190773</v>
      </c>
      <c r="F264" s="25" cm="1">
        <f t="array" ref="F264">TrajectoryToComeUp(F$247:F$250,$A264)</f>
        <v>-0.92070344509820434</v>
      </c>
      <c r="G264" s="25" cm="1">
        <f t="array" ref="G264">TrajectoryToComeUp(G$247:G$250,$A264)</f>
        <v>-1.7308732158808371</v>
      </c>
      <c r="H264" s="25" cm="1">
        <f t="array" ref="H264">TrajectoryToComeUp(H$247:H$250,$A264)</f>
        <v>-3.2552600495517074</v>
      </c>
      <c r="I264" s="2" cm="1">
        <f t="array" ref="I264">EvaluatePolynomial(I$247:I$250,$A264)</f>
        <v>2.6292795941348479</v>
      </c>
    </row>
    <row r="265" spans="1:9" x14ac:dyDescent="0.25">
      <c r="A265" s="1">
        <v>200</v>
      </c>
      <c r="B265" s="2" cm="1">
        <f t="array" ref="B265">TrajectoryToComeUp(B$247:B$250,$A265)</f>
        <v>-1.2028057084212489E-2</v>
      </c>
      <c r="C265" s="2" cm="1">
        <f t="array" ref="C265">TrajectoryToComeUp(C$247:C$250,$A265)</f>
        <v>0.41006674093408912</v>
      </c>
      <c r="D265" s="25" cm="1">
        <f t="array" ref="D265">TrajectoryToComeUp(D$247:D$250,$A265)</f>
        <v>0.24105060752202898</v>
      </c>
      <c r="E265" s="25" cm="1">
        <f t="array" ref="E265">TrajectoryToComeUp(E$247:E$250,$A265)</f>
        <v>-5.9204740032115108E-2</v>
      </c>
      <c r="F265" s="25" cm="1">
        <f t="array" ref="F265">TrajectoryToComeUp(F$247:F$250,$A265)</f>
        <v>-0.77388698869526096</v>
      </c>
      <c r="G265" s="25" cm="1">
        <f t="array" ref="G265">TrajectoryToComeUp(G$247:G$250,$A265)</f>
        <v>-1.6053867072809211</v>
      </c>
      <c r="H265" s="25" cm="1">
        <f t="array" ref="H265">TrajectoryToComeUp(H$247:H$250,$A265)</f>
        <v>-3.0773451951692632</v>
      </c>
      <c r="I265" s="2" cm="1">
        <f t="array" ref="I265">EvaluatePolynomial(I$247:I$250,$A265)</f>
        <v>3.00489096472554</v>
      </c>
    </row>
    <row r="266" spans="1:9" x14ac:dyDescent="0.25">
      <c r="A266" s="1">
        <v>225</v>
      </c>
      <c r="B266" s="2" cm="1">
        <f t="array" ref="B266">TrajectoryToComeUp(B$247:B$250,$A266)</f>
        <v>0.18818562794477961</v>
      </c>
      <c r="C266" s="2" cm="1">
        <f t="array" ref="C266">TrajectoryToComeUp(C$247:C$250,$A266)</f>
        <v>0.57460340482914418</v>
      </c>
      <c r="D266" s="25" cm="1">
        <f t="array" ref="D266">TrajectoryToComeUp(D$247:D$250,$A266)</f>
        <v>0.41320008025841087</v>
      </c>
      <c r="E266" s="25" cm="1">
        <f t="array" ref="E266">TrajectoryToComeUp(E$247:E$250,$A266)</f>
        <v>0.10401687274358801</v>
      </c>
      <c r="F266" s="25" cm="1">
        <f t="array" ref="F266">TrajectoryToComeUp(F$247:F$250,$A266)</f>
        <v>-0.60679579210424428</v>
      </c>
      <c r="G266" s="25" cm="1">
        <f t="array" ref="G266">TrajectoryToComeUp(G$247:G$250,$A266)</f>
        <v>-1.4607598320715658</v>
      </c>
      <c r="H266" s="25" cm="1">
        <f t="array" ref="H266">TrajectoryToComeUp(H$247:H$250,$A266)</f>
        <v>-2.8806398838024814</v>
      </c>
      <c r="I266" s="2" cm="1">
        <f t="array" ref="I266">EvaluatePolynomial(I$247:I$250,$A266)</f>
        <v>3.3805023353162329</v>
      </c>
    </row>
    <row r="267" spans="1:9" x14ac:dyDescent="0.25">
      <c r="A267" s="1">
        <v>250</v>
      </c>
      <c r="B267" s="2" cm="1">
        <f t="array" ref="B267">TrajectoryToComeUp(B$247:B$250,$A267)</f>
        <v>0.41510361314245431</v>
      </c>
      <c r="C267" s="2" cm="1">
        <f t="array" ref="C267">TrajectoryToComeUp(C$247:C$250,$A267)</f>
        <v>0.75616829409612696</v>
      </c>
      <c r="D267" s="25" cm="1">
        <f t="array" ref="D267">TrajectoryToComeUp(D$247:D$250,$A267)</f>
        <v>0.60016482986734276</v>
      </c>
      <c r="E267" s="25" cm="1">
        <f t="array" ref="E267">TrajectoryToComeUp(E$247:E$250,$A267)</f>
        <v>0.28563276536440169</v>
      </c>
      <c r="F267" s="25" cm="1">
        <f t="array" ref="F267">TrajectoryToComeUp(F$247:F$250,$A267)</f>
        <v>-0.42172011024408751</v>
      </c>
      <c r="G267" s="25" cm="1">
        <f t="array" ref="G267">TrajectoryToComeUp(G$247:G$250,$A267)</f>
        <v>-1.2992739863209237</v>
      </c>
      <c r="H267" s="25" cm="1">
        <f t="array" ref="H267">TrajectoryToComeUp(H$247:H$250,$A267)</f>
        <v>-2.6677622146926909</v>
      </c>
      <c r="I267" s="2" cm="1">
        <f t="array" ref="I267">EvaluatePolynomial(I$247:I$250,$A267)</f>
        <v>3.7561137059069254</v>
      </c>
    </row>
    <row r="268" spans="1:9" x14ac:dyDescent="0.25">
      <c r="A268" s="1">
        <v>275</v>
      </c>
      <c r="B268" s="2" cm="1">
        <f t="array" ref="B268">TrajectoryToComeUp(B$247:B$250,$A268)</f>
        <v>0.66714833832789944</v>
      </c>
      <c r="C268" s="2" cm="1">
        <f t="array" ref="C268">TrajectoryToComeUp(C$247:C$250,$A268)</f>
        <v>0.95332125703894866</v>
      </c>
      <c r="D268" s="25" cm="1">
        <f t="array" ref="D268">TrajectoryToComeUp(D$247:D$250,$A268)</f>
        <v>0.8004214463982261</v>
      </c>
      <c r="E268" s="25" cm="1">
        <f t="array" ref="E268">TrajectoryToComeUp(E$247:E$250,$A268)</f>
        <v>0.48442071879618021</v>
      </c>
      <c r="F268" s="25" cm="1">
        <f t="array" ref="F268">TrajectoryToComeUp(F$247:F$250,$A268)</f>
        <v>-0.22011737806320292</v>
      </c>
      <c r="G268" s="25" cm="1">
        <f t="array" ref="G268">TrajectoryToComeUp(G$247:G$250,$A268)</f>
        <v>-1.1223809675269092</v>
      </c>
      <c r="H268" s="25" cm="1">
        <f t="array" ref="H268">TrajectoryToComeUp(H$247:H$250,$A268)</f>
        <v>-2.4403782509934633</v>
      </c>
      <c r="I268" s="2" cm="1">
        <f t="array" ref="I268">EvaluatePolynomial(I$247:I$250,$A268)</f>
        <v>4.1317250764976174</v>
      </c>
    </row>
    <row r="269" spans="1:9" x14ac:dyDescent="0.25">
      <c r="A269" s="1">
        <v>300</v>
      </c>
      <c r="B269" s="2" cm="1">
        <f t="array" ref="B269">TrajectoryToComeUp(B$247:B$250,$A269)</f>
        <v>0.94326809671384038</v>
      </c>
      <c r="C269" s="2" cm="1">
        <f t="array" ref="C269">TrajectoryToComeUp(C$247:C$250,$A269)</f>
        <v>1.1651021925268852</v>
      </c>
      <c r="D269" s="25" cm="1">
        <f t="array" ref="D269">TrajectoryToComeUp(D$247:D$250,$A269)</f>
        <v>1.0129543232173277</v>
      </c>
      <c r="E269" s="25" cm="1">
        <f t="array" ref="E269">TrajectoryToComeUp(E$247:E$250,$A269)</f>
        <v>0.69956592034949405</v>
      </c>
      <c r="F269" s="25" cm="1">
        <f t="array" ref="F269">TrajectoryToComeUp(F$247:F$250,$A269)</f>
        <v>-2.959218860531034E-3</v>
      </c>
      <c r="G269" s="25" cm="1">
        <f t="array" ref="G269">TrajectoryToComeUp(G$247:G$250,$A269)</f>
        <v>-0.93104864068813187</v>
      </c>
      <c r="H269" s="25" cm="1">
        <f t="array" ref="H269">TrajectoryToComeUp(H$247:H$250,$A269)</f>
        <v>-2.1995987014738461</v>
      </c>
      <c r="I269" s="2" cm="1">
        <f t="array" ref="I269">EvaluatePolynomial(I$247:I$250,$A269)</f>
        <v>4.5073364470883099</v>
      </c>
    </row>
    <row r="270" spans="1:9" x14ac:dyDescent="0.25">
      <c r="A270" s="1">
        <v>325</v>
      </c>
      <c r="B270" s="2" cm="1">
        <f t="array" ref="B270">TrajectoryToComeUp(B$247:B$250,$A270)</f>
        <v>1.2427347836013942</v>
      </c>
      <c r="C270" s="2" cm="1">
        <f t="array" ref="C270">TrajectoryToComeUp(C$247:C$250,$A270)</f>
        <v>1.3908464151617412</v>
      </c>
      <c r="D270" s="25" cm="1">
        <f t="array" ref="D270">TrajectoryToComeUp(D$247:D$250,$A270)</f>
        <v>1.237060348039756</v>
      </c>
      <c r="E270" s="25" cm="1">
        <f t="array" ref="E270">TrajectoryToComeUp(E$247:E$250,$A270)</f>
        <v>0.93050426893165983</v>
      </c>
      <c r="F270" s="25" cm="1">
        <f t="array" ref="F270">TrajectoryToComeUp(F$247:F$250,$A270)</f>
        <v>0.22908170508004541</v>
      </c>
      <c r="G270" s="25" cm="1">
        <f t="array" ref="G270">TrajectoryToComeUp(G$247:G$250,$A270)</f>
        <v>-0.72594706618824556</v>
      </c>
      <c r="H270" s="25" cm="1">
        <f t="array" ref="H270">TrajectoryToComeUp(H$247:H$250,$A270)</f>
        <v>-1.9461925183585662</v>
      </c>
      <c r="I270" s="2" cm="1">
        <f t="array" ref="I270">EvaluatePolynomial(I$247:I$250,$A270)</f>
        <v>4.8829478176790024</v>
      </c>
    </row>
    <row r="271" spans="1:9" x14ac:dyDescent="0.25">
      <c r="A271" s="1">
        <v>350</v>
      </c>
      <c r="B271" s="2" cm="1">
        <f t="array" ref="B271">TrajectoryToComeUp(B$247:B$250,$A271)</f>
        <v>1.5650283242056449</v>
      </c>
      <c r="C271" s="2" cm="1">
        <f t="array" ref="C271">TrajectoryToComeUp(C$247:C$250,$A271)</f>
        <v>1.6300791496590923</v>
      </c>
      <c r="D271" s="25" cm="1">
        <f t="array" ref="D271">TrajectoryToComeUp(D$247:D$250,$A271)</f>
        <v>1.4722372978048741</v>
      </c>
      <c r="E271" s="25" cm="1">
        <f t="array" ref="E271">TrajectoryToComeUp(E$247:E$250,$A271)</f>
        <v>1.1768328351907629</v>
      </c>
      <c r="F271" s="25" cm="1">
        <f t="array" ref="F271">TrajectoryToComeUp(F$247:F$250,$A271)</f>
        <v>0.47552492069860991</v>
      </c>
      <c r="G271" s="25" cm="1">
        <f t="array" ref="G271">TrajectoryToComeUp(G$247:G$250,$A271)</f>
        <v>-0.50755485858700222</v>
      </c>
      <c r="H271" s="25" cm="1">
        <f t="array" ref="H271">TrajectoryToComeUp(H$247:H$250,$A271)</f>
        <v>-1.6807089532367139</v>
      </c>
      <c r="I271" s="2" cm="1">
        <f t="array" ref="I271">EvaluatePolynomial(I$247:I$250,$A271)</f>
        <v>5.2585591882696949</v>
      </c>
    </row>
    <row r="272" spans="1:9" x14ac:dyDescent="0.25">
      <c r="A272" s="1">
        <v>375</v>
      </c>
      <c r="B272" s="2" cm="1">
        <f t="array" ref="B272">TrajectoryToComeUp(B$247:B$250,$A272)</f>
        <v>1.9097673303509877</v>
      </c>
      <c r="C272" s="2" cm="1">
        <f t="array" ref="C272">TrajectoryToComeUp(C$247:C$250,$A272)</f>
        <v>1.8824522274770279</v>
      </c>
      <c r="D272" s="25" cm="1">
        <f t="array" ref="D272">TrajectoryToComeUp(D$247:D$250,$A272)</f>
        <v>1.7181168756015479</v>
      </c>
      <c r="E272" s="25" cm="1">
        <f t="array" ref="E272">TrajectoryToComeUp(E$247:E$250,$A272)</f>
        <v>1.4382561376020637</v>
      </c>
      <c r="F272" s="25" cm="1">
        <f t="array" ref="F272">TrajectoryToComeUp(F$247:F$250,$A272)</f>
        <v>0.73601808108455835</v>
      </c>
      <c r="G272" s="25" cm="1">
        <f t="array" ref="G272">TrajectoryToComeUp(G$247:G$250,$A272)</f>
        <v>-0.27622300189488613</v>
      </c>
      <c r="H272" s="25" cm="1">
        <f t="array" ref="H272">TrajectoryToComeUp(H$247:H$250,$A272)</f>
        <v>-1.4035507906069542</v>
      </c>
      <c r="I272" s="2" cm="1">
        <f t="array" ref="I272">EvaluatePolynomial(I$247:I$250,$A272)</f>
        <v>5.6341705588603874</v>
      </c>
    </row>
    <row r="273" spans="1:9" x14ac:dyDescent="0.25">
      <c r="A273" s="1">
        <v>400</v>
      </c>
      <c r="B273" s="2" cm="1">
        <f t="array" ref="B273">TrajectoryToComeUp(B$247:B$250,$A273)</f>
        <v>2.2766657609057179</v>
      </c>
      <c r="C273" s="2" cm="1">
        <f t="array" ref="C273">TrajectoryToComeUp(C$247:C$250,$A273)</f>
        <v>2.1477045222091142</v>
      </c>
      <c r="D273" s="25" cm="1">
        <f t="array" ref="D273">TrajectoryToComeUp(D$247:D$250,$A273)</f>
        <v>1.9744228587464276</v>
      </c>
      <c r="E273" s="25" cm="1">
        <f t="array" ref="E273">TrajectoryToComeUp(E$247:E$250,$A273)</f>
        <v>1.7145525650220081</v>
      </c>
      <c r="F273" s="25" cm="1">
        <f t="array" ref="F273">TrajectoryToComeUp(F$247:F$250,$A273)</f>
        <v>1.0102969260549364</v>
      </c>
      <c r="G273" s="25" cm="1">
        <f t="array" ref="G273">TrajectoryToComeUp(G$247:G$250,$A273)</f>
        <v>-3.2214734119761515E-2</v>
      </c>
      <c r="H273" s="25" cm="1">
        <f t="array" ref="H273">TrajectoryToComeUp(H$247:H$250,$A273)</f>
        <v>-1.1150201188432871</v>
      </c>
      <c r="I273" s="2" cm="1">
        <f t="array" ref="I273">EvaluatePolynomial(I$247:I$250,$A273)</f>
        <v>6.0097819294510808</v>
      </c>
    </row>
    <row r="274" spans="1:9" x14ac:dyDescent="0.25">
      <c r="A274" s="1">
        <v>425</v>
      </c>
      <c r="B274" s="2" cm="1">
        <f t="array" ref="B274">TrajectoryToComeUp(B$247:B$250,$A274)</f>
        <v>2.6655048785338273</v>
      </c>
      <c r="C274" s="2" cm="1">
        <f t="array" ref="C274">TrajectoryToComeUp(C$247:C$250,$A274)</f>
        <v>2.4256363489563131</v>
      </c>
      <c r="D274" s="25" cm="1">
        <f t="array" ref="D274">TrajectoryToComeUp(D$247:D$250,$A274)</f>
        <v>2.2409440181287148</v>
      </c>
      <c r="E274" s="25" cm="1">
        <f t="array" ref="E274">TrajectoryToComeUp(E$247:E$250,$A274)</f>
        <v>2.0055526501055265</v>
      </c>
      <c r="F274" s="25" cm="1">
        <f t="array" ref="F274">TrajectoryToComeUp(F$247:F$250,$A274)</f>
        <v>1.2981593742933673</v>
      </c>
      <c r="G274" s="25" cm="1">
        <f t="array" ref="G274">TrajectoryToComeUp(G$247:G$250,$A274)</f>
        <v>0.22426864508529901</v>
      </c>
      <c r="H274" s="25" cm="1">
        <f t="array" ref="H274">TrajectoryToComeUp(H$247:H$250,$A274)</f>
        <v>-0.81534794670229938</v>
      </c>
      <c r="I274" s="2" cm="1">
        <f t="array" ref="I274">EvaluatePolynomial(I$247:I$250,$A274)</f>
        <v>6.3853933000417733</v>
      </c>
    </row>
    <row r="275" spans="1:9" x14ac:dyDescent="0.25">
      <c r="A275" s="1">
        <v>450</v>
      </c>
      <c r="B275" s="2" cm="1">
        <f t="array" ref="B275">TrajectoryToComeUp(B$247:B$250,$A275)</f>
        <v>3.0761145541961987</v>
      </c>
      <c r="C275" s="2" cm="1">
        <f t="array" ref="C275">TrajectoryToComeUp(C$247:C$250,$A275)</f>
        <v>2.7160923972415949</v>
      </c>
      <c r="D275" s="25" cm="1">
        <f t="array" ref="D275">TrajectoryToComeUp(D$247:D$250,$A275)</f>
        <v>2.517516064440013</v>
      </c>
      <c r="E275" s="25" cm="1">
        <f t="array" ref="E275">TrajectoryToComeUp(E$247:E$250,$A275)</f>
        <v>2.3111245849175641</v>
      </c>
      <c r="F275" s="25" cm="1">
        <f t="array" ref="F275">TrajectoryToComeUp(F$247:F$250,$A275)</f>
        <v>1.59944825144267</v>
      </c>
      <c r="G275" s="25" cm="1">
        <f t="array" ref="G275">TrajectoryToComeUp(G$247:G$250,$A275)</f>
        <v>0.49307056932346233</v>
      </c>
      <c r="H275" s="25" cm="1">
        <f t="array" ref="H275">TrajectoryToComeUp(H$247:H$250,$A275)</f>
        <v>-0.50471394766133848</v>
      </c>
      <c r="I275" s="2" cm="1">
        <f t="array" ref="I275">EvaluatePolynomial(I$247:I$250,$A275)</f>
        <v>6.7610046706324658</v>
      </c>
    </row>
    <row r="276" spans="1:9" x14ac:dyDescent="0.25">
      <c r="A276" s="1">
        <v>475</v>
      </c>
      <c r="B276" s="2" cm="1">
        <f t="array" ref="B276">TrajectoryToComeUp(B$247:B$250,$A276)</f>
        <v>3.5083604754935278</v>
      </c>
      <c r="C276" s="2" cm="1">
        <f t="array" ref="C276">TrajectoryToComeUp(C$247:C$250,$A276)</f>
        <v>3.0189500535304652</v>
      </c>
      <c r="D276" s="25" cm="1">
        <f t="array" ref="D276">TrajectoryToComeUp(D$247:D$250,$A276)</f>
        <v>2.8040092955947435</v>
      </c>
      <c r="E276" s="25" cm="1">
        <f t="array" ref="E276">TrajectoryToComeUp(E$247:E$250,$A276)</f>
        <v>2.6311643105620237</v>
      </c>
      <c r="F276" s="25" cm="1">
        <f t="array" ref="F276">TrajectoryToComeUp(F$247:F$250,$A276)</f>
        <v>1.9140394724840168</v>
      </c>
      <c r="G276" s="25" cm="1">
        <f t="array" ref="G276">TrajectoryToComeUp(G$247:G$250,$A276)</f>
        <v>0.77406743354459606</v>
      </c>
      <c r="H276" s="25" cm="1">
        <f t="array" ref="H276">TrajectoryToComeUp(H$247:H$250,$A276)</f>
        <v>-0.183259969202519</v>
      </c>
      <c r="I276" s="2" cm="1">
        <f t="array" ref="I276">EvaluatePolynomial(I$247:I$250,$A276)</f>
        <v>7.1366160412231574</v>
      </c>
    </row>
    <row r="277" spans="1:9" x14ac:dyDescent="0.25">
      <c r="A277" s="10">
        <v>500</v>
      </c>
      <c r="B277" s="2" cm="1">
        <f t="array" ref="B277">TrajectoryToComeUp(B$247:B$250,$A277)</f>
        <v>3.9621351925063704</v>
      </c>
      <c r="C277" s="2" cm="1">
        <f t="array" ref="C277">TrajectoryToComeUp(C$247:C$250,$A277)</f>
        <v>3.3341112269953248</v>
      </c>
      <c r="D277" s="25" cm="1">
        <f t="array" ref="D277">TrajectoryToComeUp(D$247:D$250,$A277)</f>
        <v>3.1003199499244447</v>
      </c>
      <c r="E277" s="25" cm="1">
        <f t="array" ref="E277">TrajectoryToComeUp(E$247:E$250,$A277)</f>
        <v>2.9655885799220298</v>
      </c>
      <c r="F277" s="25" cm="1">
        <f t="array" ref="F277">TrajectoryToComeUp(F$247:F$250,$A277)</f>
        <v>2.2418337694023451</v>
      </c>
      <c r="G277" s="25" cm="1">
        <f t="array" ref="G277">TrajectoryToComeUp(G$247:G$250,$A277)</f>
        <v>1.0671603537085941</v>
      </c>
      <c r="H277" s="25" cm="1">
        <f t="array" ref="H277">TrajectoryToComeUp(H$247:H$250,$A277)</f>
        <v>0.14890051068846677</v>
      </c>
      <c r="I277" s="2" cm="1">
        <f t="array" ref="I277">EvaluatePolynomial(I$247:I$250,$A277)</f>
        <v>7.5122274118138499</v>
      </c>
    </row>
    <row r="278" spans="1:9" x14ac:dyDescent="0.25">
      <c r="A278" s="1">
        <v>525</v>
      </c>
      <c r="B278" s="40" cm="1">
        <f t="array" ref="B278">TrajectoryToComeUp(B$247:B$250,$A278)</f>
        <v>4.437351721966607</v>
      </c>
      <c r="C278" s="40" cm="1">
        <f t="array" ref="C278">TrajectoryToComeUp(C$247:C$250,$A278)</f>
        <v>3.6614965107757387</v>
      </c>
      <c r="D278" s="40" cm="1">
        <f t="array" ref="D278">TrajectoryToComeUp(D$247:D$250,$A278)</f>
        <v>3.4063640298879827</v>
      </c>
      <c r="E278" s="40" cm="1">
        <f t="array" ref="E278">TrajectoryToComeUp(E$247:E$250,$A278)</f>
        <v>3.3143300024743954</v>
      </c>
      <c r="F278" s="40" cm="1">
        <f t="array" ref="F278">TrajectoryToComeUp(F$247:F$250,$A278)</f>
        <v>2.582750782375939</v>
      </c>
      <c r="G278" s="40" cm="1">
        <f t="array" ref="G278">TrajectoryToComeUp(G$247:G$250,$A278)</f>
        <v>1.3722692808306096</v>
      </c>
      <c r="H278" s="40" cm="1">
        <f t="array" ref="H278">TrajectoryToComeUp(H$247:H$250,$A278)</f>
        <v>0.49167562888034411</v>
      </c>
      <c r="I278" s="2" cm="1">
        <f t="array" ref="I278">EvaluatePolynomial(I$247:I$250,$A278)</f>
        <v>7.8878387824045424</v>
      </c>
    </row>
    <row r="279" spans="1:9" x14ac:dyDescent="0.25">
      <c r="A279" s="1">
        <v>550</v>
      </c>
      <c r="B279" s="40" cm="1">
        <f t="array" ref="B279">TrajectoryToComeUp(B$247:B$250,$A279)</f>
        <v>4.9339388957457757</v>
      </c>
      <c r="C279" s="40" cm="1">
        <f t="array" ref="C279">TrajectoryToComeUp(C$247:C$250,$A279)</f>
        <v>4.0010409356222594</v>
      </c>
      <c r="D279" s="40" cm="1">
        <f t="array" ref="D279">TrajectoryToComeUp(D$247:D$250,$A279)</f>
        <v>3.7220728102244256</v>
      </c>
      <c r="E279" s="40" cm="1">
        <f t="array" ref="E279">TrajectoryToComeUp(E$247:E$250,$A279)</f>
        <v>3.6773334405183333</v>
      </c>
      <c r="F279" s="40" cm="1">
        <f t="array" ref="F279">TrajectoryToComeUp(F$247:F$250,$A279)</f>
        <v>2.9367247624597561</v>
      </c>
      <c r="G279" s="40" cm="1">
        <f t="array" ref="G279">TrajectoryToComeUp(G$247:G$250,$A279)</f>
        <v>1.6893287202866767</v>
      </c>
      <c r="H279" s="40" cm="1">
        <f t="array" ref="H279">TrajectoryToComeUp(H$247:H$250,$A279)</f>
        <v>0.84499022462934337</v>
      </c>
      <c r="I279" s="2" cm="1">
        <f t="array" ref="I279">EvaluatePolynomial(I$247:I$250,$A279)</f>
        <v>8.2634501529952349</v>
      </c>
    </row>
    <row r="280" spans="1:9" x14ac:dyDescent="0.25">
      <c r="A280" s="1">
        <v>575</v>
      </c>
      <c r="B280" s="40" cm="1">
        <f t="array" ref="B280">TrajectoryToComeUp(B$247:B$250,$A280)</f>
        <v>5.451837922781233</v>
      </c>
      <c r="C280" s="40" cm="1">
        <f t="array" ref="C280">TrajectoryToComeUp(C$247:C$250,$A280)</f>
        <v>4.3526908312853427</v>
      </c>
      <c r="D280" s="40" cm="1">
        <f t="array" ref="D280">TrajectoryToComeUp(D$247:D$250,$A280)</f>
        <v>4.0473895178921371</v>
      </c>
      <c r="E280" s="40" cm="1">
        <f t="array" ref="E280">TrajectoryToComeUp(E$247:E$250,$A280)</f>
        <v>4.054553345518408</v>
      </c>
      <c r="F280" s="40" cm="1">
        <f t="array" ref="F280">TrajectoryToComeUp(F$247:F$250,$A280)</f>
        <v>3.3037013953078924</v>
      </c>
      <c r="G280" s="40" cm="1">
        <f t="array" ref="G280">TrajectoryToComeUp(G$247:G$250,$A280)</f>
        <v>2.0182845678222132</v>
      </c>
      <c r="H280" s="40" cm="1">
        <f t="array" ref="H280">TrajectoryToComeUp(H$247:H$250,$A280)</f>
        <v>1.2087822086253919</v>
      </c>
      <c r="I280" s="2" cm="1">
        <f t="array" ref="I280">EvaluatePolynomial(I$247:I$250,$A280)</f>
        <v>8.6390615235859283</v>
      </c>
    </row>
    <row r="281" spans="1:9" x14ac:dyDescent="0.25">
      <c r="A281" s="1">
        <v>600</v>
      </c>
      <c r="B281" s="40" cm="1">
        <f t="array" ref="B281">TrajectoryToComeUp(B$247:B$250,$A281)</f>
        <v>5.990999810520778</v>
      </c>
      <c r="C281" s="40" cm="1">
        <f t="array" ref="C281">TrajectoryToComeUp(C$247:C$250,$A281)</f>
        <v>4.7164014725570356</v>
      </c>
      <c r="D281" s="40" cm="1">
        <f t="array" ref="D281">TrajectoryToComeUp(D$247:D$250,$A281)</f>
        <v>4.3822668420230864</v>
      </c>
      <c r="E281" s="40" cm="1">
        <f t="array" ref="E281">TrajectoryToComeUp(E$247:E$250,$A281)</f>
        <v>4.4459517603617584</v>
      </c>
      <c r="F281" s="40" cm="1">
        <f t="array" ref="F281">TrajectoryToComeUp(F$247:F$250,$A281)</f>
        <v>3.6836354189654306</v>
      </c>
      <c r="G281" s="40" cm="1">
        <f t="array" ref="G281">TrajectoryToComeUp(G$247:G$250,$A281)</f>
        <v>2.3590917365584039</v>
      </c>
      <c r="H281" s="40" cm="1">
        <f t="array" ref="H281">TrajectoryToComeUp(H$247:H$250,$A281)</f>
        <v>1.5829998397767662</v>
      </c>
      <c r="I281" s="2" cm="1">
        <f t="array" ref="I281">EvaluatePolynomial(I$247:I$250,$A281)</f>
        <v>9.0146728941766199</v>
      </c>
    </row>
    <row r="282" spans="1:9" x14ac:dyDescent="0.25">
      <c r="A282" s="1">
        <v>625</v>
      </c>
      <c r="B282" s="40" cm="1">
        <f t="array" ref="B282">TrajectoryToComeUp(B$247:B$250,$A282)</f>
        <v>6.5513834052205597</v>
      </c>
      <c r="C282" s="40" cm="1">
        <f t="array" ref="C282">TrajectoryToComeUp(C$247:C$250,$A282)</f>
        <v>5.0921352902626582</v>
      </c>
      <c r="D282" s="40" cm="1">
        <f t="array" ref="D282">TrajectoryToComeUp(D$247:D$250,$A282)</f>
        <v>4.7266650414881273</v>
      </c>
      <c r="E282" s="40" cm="1">
        <f t="array" ref="E282">TrajectoryToComeUp(E$247:E$250,$A282)</f>
        <v>4.8514968010735817</v>
      </c>
      <c r="F282" s="40" cm="1">
        <f t="array" ref="F282">TrajectoryToComeUp(F$247:F$250,$A282)</f>
        <v>4.0764888133902364</v>
      </c>
      <c r="G282" s="40" cm="1">
        <f t="array" ref="G282">TrajectoryToComeUp(G$247:G$250,$A282)</f>
        <v>2.7117123535170409</v>
      </c>
      <c r="H282" s="40" cm="1">
        <f t="array" ref="H282">TrajectoryToComeUp(H$247:H$250,$A282)</f>
        <v>1.9675996555664157</v>
      </c>
      <c r="I282" s="2" cm="1">
        <f t="array" ref="I282">EvaluatePolynomial(I$247:I$250,$A282)</f>
        <v>9.3902842647673133</v>
      </c>
    </row>
    <row r="283" spans="1:9" x14ac:dyDescent="0.25">
      <c r="A283" s="1">
        <v>650</v>
      </c>
      <c r="B283" s="40" cm="1">
        <f t="array" ref="B283">TrajectoryToComeUp(B$247:B$250,$A283)</f>
        <v>7.1329538844819371</v>
      </c>
      <c r="C283" s="40" cm="1">
        <f t="array" ref="C283">TrajectoryToComeUp(C$247:C$250,$A283)</f>
        <v>5.4798604951005565</v>
      </c>
      <c r="D283" s="40" cm="1">
        <f t="array" ref="D283">TrajectoryToComeUp(D$247:D$250,$A283)</f>
        <v>5.080550489177984</v>
      </c>
      <c r="E283" s="40" cm="1">
        <f t="array" ref="E283">TrajectoryToComeUp(E$247:E$250,$A283)</f>
        <v>5.2711614889059666</v>
      </c>
      <c r="F283" s="40" cm="1">
        <f t="array" ref="F283">TrajectoryToComeUp(F$247:F$250,$A283)</f>
        <v>4.4822294077774281</v>
      </c>
      <c r="G283" s="40" cm="1">
        <f t="array" ref="G283">TrajectoryToComeUp(G$247:G$250,$A283)</f>
        <v>3.0761143723319506</v>
      </c>
      <c r="H283" s="40" cm="1">
        <f t="array" ref="H283">TrajectoryToComeUp(H$247:H$250,$A283)</f>
        <v>2.3625448800183726</v>
      </c>
      <c r="I283" s="2" cm="1">
        <f t="array" ref="I283">EvaluatePolynomial(I$247:I$250,$A283)</f>
        <v>9.7658956353580049</v>
      </c>
    </row>
    <row r="284" spans="1:9" x14ac:dyDescent="0.25">
      <c r="A284" s="1">
        <v>675</v>
      </c>
      <c r="B284" s="40" cm="1">
        <f t="array" ref="B284">TrajectoryToComeUp(B$247:B$250,$A284)</f>
        <v>7.7356815847801395</v>
      </c>
      <c r="C284" s="40" cm="1">
        <f t="array" ref="C284">TrajectoryToComeUp(C$247:C$250,$A284)</f>
        <v>5.8795500072952489</v>
      </c>
      <c r="D284" s="40" cm="1">
        <f t="array" ref="D284">TrajectoryToComeUp(D$247:D$250,$A284)</f>
        <v>5.4438945397773431</v>
      </c>
      <c r="E284" s="40" cm="1">
        <f t="array" ref="E284">TrajectoryToComeUp(E$247:E$250,$A284)</f>
        <v>5.7049228419625422</v>
      </c>
      <c r="F284" s="40" cm="1">
        <f t="array" ref="F284">TrajectoryToComeUp(F$247:F$250,$A284)</f>
        <v>4.9008297973672938</v>
      </c>
      <c r="G284" s="40" cm="1">
        <f t="array" ref="G284">TrajectoryToComeUp(G$247:G$250,$A284)</f>
        <v>3.4522704942467599</v>
      </c>
      <c r="H284" s="40" cm="1">
        <f t="array" ref="H284">TrajectoryToComeUp(H$247:H$250,$A284)</f>
        <v>2.7678041854494118</v>
      </c>
      <c r="I284" s="40" cm="1">
        <f t="array" ref="I284">EvaluatePolynomial(I$247:I$250,$A284)</f>
        <v>10.141507005948696</v>
      </c>
    </row>
    <row r="285" spans="1:9" x14ac:dyDescent="0.25">
      <c r="A285" s="1">
        <v>700</v>
      </c>
      <c r="B285" s="40" cm="1">
        <f t="array" ref="B285">TrajectoryToComeUp(B$247:B$250,$A285)</f>
        <v>8.3595410802367951</v>
      </c>
      <c r="C285" s="40" cm="1">
        <f t="array" ref="C285">TrajectoryToComeUp(C$247:C$250,$A285)</f>
        <v>6.2911806156106094</v>
      </c>
      <c r="D285" s="40" cm="1">
        <f t="array" ref="D285">TrajectoryToComeUp(D$247:D$250,$A285)</f>
        <v>5.8166726401587976</v>
      </c>
      <c r="E285" s="40" cm="1">
        <f t="array" ref="E285">TrajectoryToComeUp(E$247:E$250,$A285)</f>
        <v>6.1527611614749969</v>
      </c>
      <c r="F285" s="40" cm="1">
        <f t="array" ref="F285">TrajectoryToComeUp(F$247:F$250,$A285)</f>
        <v>5.3322664923657923</v>
      </c>
      <c r="G285" s="40" cm="1">
        <f t="array" ref="G285">TrajectoryToComeUp(G$247:G$250,$A285)</f>
        <v>3.8401573203274393</v>
      </c>
      <c r="H285" s="40" cm="1">
        <f t="array" ref="H285">TrajectoryToComeUp(H$247:H$250,$A285)</f>
        <v>3.1833507195596185</v>
      </c>
      <c r="I285" s="40" cm="1">
        <f t="array" ref="I285">EvaluatePolynomial(I$247:I$250,$A285)</f>
        <v>10.517118376539388</v>
      </c>
    </row>
    <row r="286" spans="1:9" x14ac:dyDescent="0.25">
      <c r="A286" s="1">
        <v>725</v>
      </c>
      <c r="B286" s="40" cm="1">
        <f t="array" ref="B286">TrajectoryToComeUp(B$247:B$250,$A286)</f>
        <v>9.0045104519912336</v>
      </c>
      <c r="C286" s="40" cm="1">
        <f t="array" ref="C286">TrajectoryToComeUp(C$247:C$250,$A286)</f>
        <v>6.7147323103603194</v>
      </c>
      <c r="D286" s="40" cm="1">
        <f t="array" ref="D286">TrajectoryToComeUp(D$247:D$250,$A286)</f>
        <v>6.1988636238332004</v>
      </c>
      <c r="E286" s="40" cm="1">
        <f t="array" ref="E286">TrajectoryToComeUp(E$247:E$250,$A286)</f>
        <v>6.6146594657465032</v>
      </c>
      <c r="F286" s="40" cm="1">
        <f t="array" ref="F286">TrajectoryToComeUp(F$247:F$250,$A286)</f>
        <v>5.7765192429504744</v>
      </c>
      <c r="G286" s="40" cm="1">
        <f t="array" ref="G286">TrajectoryToComeUp(G$247:G$250,$A286)</f>
        <v>4.2397546790791321</v>
      </c>
      <c r="H286" s="40" cm="1">
        <f t="array" ref="H286">TrajectoryToComeUp(H$247:H$250,$A286)</f>
        <v>3.6091613338145896</v>
      </c>
      <c r="I286" s="40" cm="1">
        <f t="array" ref="I286">EvaluatePolynomial(I$247:I$250,$A286)</f>
        <v>10.892729747130081</v>
      </c>
    </row>
    <row r="287" spans="1:9" x14ac:dyDescent="0.25">
      <c r="A287" s="1">
        <v>750</v>
      </c>
      <c r="B287" s="40" cm="1">
        <f t="array" ref="B287">TrajectoryToComeUp(B$247:B$250,$A287)</f>
        <v>9.6705707036975461</v>
      </c>
      <c r="C287" s="40" cm="1">
        <f t="array" ref="C287">TrajectoryToComeUp(C$247:C$250,$A287)</f>
        <v>7.1501877498162401</v>
      </c>
      <c r="D287" s="40" cm="1">
        <f t="array" ref="D287">TrajectoryToComeUp(D$247:D$250,$A287)</f>
        <v>6.5904491465099602</v>
      </c>
      <c r="E287" s="40" cm="1">
        <f t="array" ref="E287">TrajectoryToComeUp(E$247:E$250,$A287)</f>
        <v>7.0906030373064803</v>
      </c>
      <c r="F287" s="40" cm="1">
        <f t="array" ref="F287">TrajectoryToComeUp(F$247:F$250,$A287)</f>
        <v>6.2335704992752179</v>
      </c>
      <c r="G287" s="40" cm="1">
        <f t="array" ref="G287">TrajectoryToComeUp(G$247:G$250,$A287)</f>
        <v>4.6510450885396279</v>
      </c>
      <c r="H287" s="40" cm="1">
        <f t="array" ref="H287">TrajectoryToComeUp(H$247:H$250,$A287)</f>
        <v>4.0452159661511713</v>
      </c>
      <c r="I287" s="40" cm="1">
        <f t="array" ref="I287">EvaluatePolynomial(I$247:I$250,$A287)</f>
        <v>11.268341117720773</v>
      </c>
    </row>
    <row r="288" spans="1:9" x14ac:dyDescent="0.25">
      <c r="A288" s="1">
        <v>775</v>
      </c>
      <c r="B288" s="40" cm="1">
        <f t="array" ref="B288">TrajectoryToComeUp(B$247:B$250,$A288)</f>
        <v>10.357705290151229</v>
      </c>
      <c r="C288" s="40" cm="1">
        <f t="array" ref="C288">TrajectoryToComeUp(C$247:C$250,$A288)</f>
        <v>7.5975318298925671</v>
      </c>
      <c r="D288" s="40" cm="1">
        <f t="array" ref="D288">TrajectoryToComeUp(D$247:D$250,$A288)</f>
        <v>6.9914132309037225</v>
      </c>
      <c r="E288" s="40" cm="1">
        <f t="array" ref="E288">TrajectoryToComeUp(E$247:E$250,$A288)</f>
        <v>7.5805790577128134</v>
      </c>
      <c r="F288" s="40" cm="1">
        <f t="array" ref="F288">TrajectoryToComeUp(F$247:F$250,$A288)</f>
        <v>6.7034049759901757</v>
      </c>
      <c r="G288" s="40" cm="1">
        <f t="array" ref="G288">TrajectoryToComeUp(G$247:G$250,$A288)</f>
        <v>5.0740133224837818</v>
      </c>
      <c r="H288" s="40" cm="1">
        <f t="array" ref="H288">TrajectoryToComeUp(H$247:H$250,$A288)</f>
        <v>4.4914971431595205</v>
      </c>
      <c r="I288" s="40" cm="1">
        <f t="array" ref="I288">EvaluatePolynomial(I$247:I$250,$A288)</f>
        <v>11.643952488311465</v>
      </c>
    </row>
    <row r="289" spans="1:9" x14ac:dyDescent="0.25">
      <c r="A289" s="1">
        <v>800</v>
      </c>
      <c r="B289" s="40" cm="1">
        <f t="array" ref="B289">TrajectoryToComeUp(B$247:B$250,$A289)</f>
        <v>11.065899734298341</v>
      </c>
      <c r="C289" s="40" cm="1">
        <f t="array" ref="C289">TrajectoryToComeUp(C$247:C$250,$A289)</f>
        <v>8.0567513345142281</v>
      </c>
      <c r="D289" s="40" cm="1">
        <f t="array" ref="D289">TrajectoryToComeUp(D$247:D$250,$A289)</f>
        <v>7.4017418968897992</v>
      </c>
      <c r="E289" s="40" cm="1">
        <f t="array" ref="E289">TrajectoryToComeUp(E$247:E$250,$A289)</f>
        <v>8.0845763108286448</v>
      </c>
      <c r="F289" s="40" cm="1">
        <f t="array" ref="F289">TrajectoryToComeUp(F$247:F$250,$A289)</f>
        <v>7.1860092984142305</v>
      </c>
      <c r="G289" s="40" cm="1">
        <f t="array" ref="G289">TrajectoryToComeUp(G$247:G$250,$A289)</f>
        <v>5.5086460579645866</v>
      </c>
      <c r="H289" s="40" cm="1">
        <f t="array" ref="H289">TrajectoryToComeUp(H$247:H$250,$A289)</f>
        <v>4.9479895756060284</v>
      </c>
      <c r="I289" s="40" cm="1">
        <f t="array" ref="I289">EvaluatePolynomial(I$247:I$250,$A289)</f>
        <v>12.019563858902156</v>
      </c>
    </row>
    <row r="290" spans="1:9" x14ac:dyDescent="0.25">
      <c r="A290" s="1">
        <v>825</v>
      </c>
      <c r="B290" s="40" cm="1">
        <f t="array" ref="B290">TrajectoryToComeUp(B$247:B$250,$A290)</f>
        <v>11.795141313879359</v>
      </c>
      <c r="C290" s="40" cm="1">
        <f t="array" ref="C290">TrajectoryToComeUp(C$247:C$250,$A290)</f>
        <v>8.5278346495546415</v>
      </c>
      <c r="D290" s="40" cm="1">
        <f t="array" ref="D290">TrajectoryToComeUp(D$247:D$250,$A290)</f>
        <v>7.8214228589040742</v>
      </c>
      <c r="E290" s="40" cm="1">
        <f t="array" ref="E290">TrajectoryToComeUp(E$247:E$250,$A290)</f>
        <v>8.6025849400488568</v>
      </c>
      <c r="F290" s="40" cm="1">
        <f t="array" ref="F290">TrajectoryToComeUp(F$247:F$250,$A290)</f>
        <v>7.6813717130397343</v>
      </c>
      <c r="G290" s="40" cm="1">
        <f t="array" ref="G290">TrajectoryToComeUp(G$247:G$250,$A290)</f>
        <v>5.954931586937704</v>
      </c>
      <c r="H290" s="40" cm="1">
        <f t="array" ref="H290">TrajectoryToComeUp(H$247:H$250,$A290)</f>
        <v>5.4146798274975181</v>
      </c>
      <c r="I290" s="40" cm="1">
        <f t="array" ref="I290">EvaluatePolynomial(I$247:I$250,$A290)</f>
        <v>12.39517522949285</v>
      </c>
    </row>
    <row r="291" spans="1:9" x14ac:dyDescent="0.25">
      <c r="A291" s="1">
        <v>850</v>
      </c>
      <c r="B291" s="40" cm="1">
        <f t="array" ref="B291">TrajectoryToComeUp(B$247:B$250,$A291)</f>
        <v>12.545418803371174</v>
      </c>
      <c r="C291" s="40" cm="1">
        <f t="array" ref="C291">TrajectoryToComeUp(C$247:C$250,$A291)</f>
        <v>9.010771527255061</v>
      </c>
      <c r="D291" s="40" cm="1">
        <f t="array" ref="D291">TrajectoryToComeUp(D$247:D$250,$A291)</f>
        <v>8.2504452767429139</v>
      </c>
      <c r="E291" s="40" cm="1">
        <f t="array" ref="E291">TrajectoryToComeUp(E$247:E$250,$A291)</f>
        <v>9.1345962483689451</v>
      </c>
      <c r="F291" s="40" cm="1">
        <f t="array" ref="F291">TrajectoryToComeUp(F$247:F$250,$A291)</f>
        <v>8.1894818491246415</v>
      </c>
      <c r="G291" s="40" cm="1">
        <f t="array" ref="G291">TrajectoryToComeUp(G$247:G$250,$A291)</f>
        <v>6.4128595787757758</v>
      </c>
      <c r="H291" s="40" cm="1">
        <f t="array" ref="H291">TrajectoryToComeUp(H$247:H$250,$A291)</f>
        <v>5.891556043545898</v>
      </c>
      <c r="I291" s="40" cm="1">
        <f t="array" ref="I291">EvaluatePolynomial(I$247:I$250,$A291)</f>
        <v>12.770786600083539</v>
      </c>
    </row>
    <row r="292" spans="1:9" x14ac:dyDescent="0.25">
      <c r="A292" s="1">
        <v>875</v>
      </c>
      <c r="B292" s="40" cm="1">
        <f t="array" ref="B292">TrajectoryToComeUp(B$247:B$250,$A292)</f>
        <v>13.316722260167607</v>
      </c>
      <c r="C292" s="40" cm="1">
        <f t="array" ref="C292">TrajectoryToComeUp(C$247:C$250,$A292)</f>
        <v>9.5055528910291596</v>
      </c>
      <c r="D292" s="40" cm="1">
        <f t="array" ref="D292">TrajectoryToComeUp(D$247:D$250,$A292)</f>
        <v>8.6887995490830985</v>
      </c>
      <c r="E292" s="40" cm="1">
        <f t="array" ref="E292">TrajectoryToComeUp(E$247:E$250,$A292)</f>
        <v>9.6806025327277663</v>
      </c>
      <c r="F292" s="40" cm="1">
        <f t="array" ref="F292">TrajectoryToComeUp(F$247:F$250,$A292)</f>
        <v>8.7103305211545763</v>
      </c>
      <c r="G292" s="40" cm="1">
        <f t="array" ref="G292">TrajectoryToComeUp(G$247:G$250,$A292)</f>
        <v>6.8824208834945733</v>
      </c>
      <c r="H292" s="40" cm="1">
        <f t="array" ref="H292">TrajectoryToComeUp(H$247:H$250,$A292)</f>
        <v>6.3786077233531406</v>
      </c>
      <c r="I292" s="40" cm="1">
        <f t="array" ref="I292">EvaluatePolynomial(I$247:I$250,$A292)</f>
        <v>13.146397970674233</v>
      </c>
    </row>
    <row r="293" spans="1:9" x14ac:dyDescent="0.25">
      <c r="A293" s="1">
        <v>900</v>
      </c>
      <c r="B293" s="40" cm="1">
        <f t="array" ref="B293">TrajectoryToComeUp(B$247:B$250,$A293)</f>
        <v>14.109042846396488</v>
      </c>
      <c r="C293" s="40" cm="1">
        <f t="array" ref="C293">TrajectoryToComeUp(C$247:C$250,$A293)</f>
        <v>10.012170672800218</v>
      </c>
      <c r="D293" s="40" cm="1">
        <f t="array" ref="D293">TrajectoryToComeUp(D$247:D$250,$A293)</f>
        <v>9.1364771414151065</v>
      </c>
      <c r="E293" s="40" cm="1">
        <f t="array" ref="E293">TrajectoryToComeUp(E$247:E$250,$A293)</f>
        <v>10.240596945959865</v>
      </c>
      <c r="F293" s="40" cm="1">
        <f t="array" ref="F293">TrajectoryToComeUp(F$247:F$250,$A293)</f>
        <v>9.2439095642278577</v>
      </c>
      <c r="G293" s="40" cm="1">
        <f t="array" ref="G293">TrajectoryToComeUp(G$247:G$250,$A293)</f>
        <v>7.3636073677747822</v>
      </c>
      <c r="H293" s="40" cm="1">
        <f t="array" ref="H293">TrajectoryToComeUp(H$247:H$250,$A293)</f>
        <v>6.8758255332321081</v>
      </c>
      <c r="I293" s="40" cm="1">
        <f t="array" ref="I293">EvaluatePolynomial(I$247:I$250,$A293)</f>
        <v>13.522009341264923</v>
      </c>
    </row>
    <row r="294" spans="1:9" x14ac:dyDescent="0.25">
      <c r="A294" s="1">
        <v>925</v>
      </c>
      <c r="B294" s="40" cm="1">
        <f t="array" ref="B294">TrajectoryToComeUp(B$247:B$250,$A294)</f>
        <v>14.922372679631303</v>
      </c>
      <c r="C294" s="40" cm="1">
        <f t="array" ref="C294">TrajectoryToComeUp(C$247:C$250,$A294)</f>
        <v>10.530617676716012</v>
      </c>
      <c r="D294" s="40" cm="1">
        <f t="array" ref="D294">TrajectoryToComeUp(D$247:D$250,$A294)</f>
        <v>9.5934704418790808</v>
      </c>
      <c r="E294" s="40" cm="1">
        <f t="array" ref="E294">TrajectoryToComeUp(E$247:E$250,$A294)</f>
        <v>10.814573381133881</v>
      </c>
      <c r="F294" s="40" cm="1">
        <f t="array" ref="F294">TrajectoryToComeUp(F$247:F$250,$A294)</f>
        <v>9.7902116961348948</v>
      </c>
      <c r="G294" s="40" cm="1">
        <f t="array" ref="G294">TrajectoryToComeUp(G$247:G$250,$A294)</f>
        <v>7.8564117775748477</v>
      </c>
      <c r="H294" s="40" cm="1">
        <f t="array" ref="H294">TrajectoryToComeUp(H$247:H$250,$A294)</f>
        <v>7.383201148542927</v>
      </c>
      <c r="I294" s="40" cm="1">
        <f t="array" ref="I294">EvaluatePolynomial(I$247:I$250,$A294)</f>
        <v>13.897620711855614</v>
      </c>
    </row>
    <row r="295" spans="1:9" x14ac:dyDescent="0.25">
      <c r="A295" s="1">
        <v>950</v>
      </c>
      <c r="B295" s="40" cm="1">
        <f t="array" ref="B295">TrajectoryToComeUp(B$247:B$250,$A295)</f>
        <v>15.756704707174627</v>
      </c>
      <c r="C295" s="40" cm="1">
        <f t="array" ref="C295">TrajectoryToComeUp(C$247:C$250,$A295)</f>
        <v>11.060887464382454</v>
      </c>
      <c r="D295" s="40" cm="1">
        <f t="array" ref="D295">TrajectoryToComeUp(D$247:D$250,$A295)</f>
        <v>10.059772639863587</v>
      </c>
      <c r="E295" s="40" cm="1">
        <f t="array" ref="E295">TrajectoryToComeUp(E$247:E$250,$A295)</f>
        <v>11.402526374153346</v>
      </c>
      <c r="F295" s="40" cm="1">
        <f t="array" ref="F295">TrajectoryToComeUp(F$247:F$250,$A295)</f>
        <v>10.349230401214468</v>
      </c>
      <c r="G295" s="40" cm="1">
        <f t="array" ref="G295">TrajectoryToComeUp(G$247:G$250,$A295)</f>
        <v>8.3608276224365383</v>
      </c>
      <c r="H295" s="40" cm="1">
        <f t="array" ref="H295">TrajectoryToComeUp(H$247:H$250,$A295)</f>
        <v>7.9007271209235999</v>
      </c>
      <c r="I295" s="40" cm="1">
        <f t="array" ref="I295">EvaluatePolynomial(I$247:I$250,$A295)</f>
        <v>14.273232082446306</v>
      </c>
    </row>
    <row r="296" spans="1:9" x14ac:dyDescent="0.25">
      <c r="A296" s="1">
        <v>975</v>
      </c>
      <c r="B296" s="40" cm="1">
        <f t="array" ref="B296">TrajectoryToComeUp(B$247:B$250,$A296)</f>
        <v>16.612032599682639</v>
      </c>
      <c r="C296" s="40" cm="1">
        <f t="array" ref="C296">TrajectoryToComeUp(C$247:C$250,$A296)</f>
        <v>11.602974257753566</v>
      </c>
      <c r="D296" s="40" cm="1">
        <f t="array" ref="D296">TrajectoryToComeUp(D$247:D$250,$A296)</f>
        <v>10.535377623281423</v>
      </c>
      <c r="E296" s="40" cm="1">
        <f t="array" ref="E296">TrajectoryToComeUp(E$247:E$250,$A296)</f>
        <v>12.004451021341939</v>
      </c>
      <c r="F296" s="40" cm="1">
        <f t="array" ref="F296">TrajectoryToComeUp(F$247:F$250,$A296)</f>
        <v>10.920959832078299</v>
      </c>
      <c r="G296" s="40" cm="1">
        <f t="array" ref="G296">TrajectoryToComeUp(G$247:G$250,$A296)</f>
        <v>8.8768490775896467</v>
      </c>
      <c r="H296" s="40" cm="1">
        <f t="array" ref="H296">TrajectoryToComeUp(H$247:H$250,$A296)</f>
        <v>8.4283967659466956</v>
      </c>
      <c r="I296" s="40" cm="1">
        <f t="array" ref="I296">EvaluatePolynomial(I$247:I$250,$A296)</f>
        <v>14.648843453036998</v>
      </c>
    </row>
    <row r="297" spans="1:9" x14ac:dyDescent="0.25">
      <c r="A297" s="1">
        <v>1000</v>
      </c>
      <c r="B297" s="40" cm="1">
        <f t="array" ref="B297">TrajectoryToComeUp(B$247:B$250,$A297)</f>
        <v>17.488350660745876</v>
      </c>
      <c r="C297" s="40" cm="1">
        <f t="array" ref="C297">TrajectoryToComeUp(C$247:C$250,$A297)</f>
        <v>12.156872856587972</v>
      </c>
      <c r="D297" s="40" cm="1">
        <f t="array" ref="D297">TrajectoryToComeUp(D$247:D$250,$A297)</f>
        <v>11.020279891254122</v>
      </c>
      <c r="E297" s="40" cm="1">
        <f t="array" ref="E297">TrajectoryToComeUp(E$247:E$250,$A297)</f>
        <v>12.620342909390962</v>
      </c>
      <c r="F297" s="40" cm="1">
        <f t="array" ref="F297">TrajectoryToComeUp(F$247:F$250,$A297)</f>
        <v>11.505394726076943</v>
      </c>
      <c r="G297" s="40" cm="1">
        <f t="array" ref="G297">TrajectoryToComeUp(G$247:G$250,$A297)</f>
        <v>9.4044709007409892</v>
      </c>
      <c r="H297" s="40" cm="1">
        <f t="array" ref="H297">TrajectoryToComeUp(H$247:H$250,$A297)</f>
        <v>8.9662040676275261</v>
      </c>
      <c r="I297" s="40" cm="1">
        <f t="array" ref="I297">EvaluatePolynomial(I$247:I$250,$A297)</f>
        <v>15.024454823627689</v>
      </c>
    </row>
  </sheetData>
  <mergeCells count="4">
    <mergeCell ref="C20:G20"/>
    <mergeCell ref="J20:N20"/>
    <mergeCell ref="N248:O248"/>
    <mergeCell ref="F1:H1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A446-FEBC-405E-9524-8BE549C2CC28}">
  <sheetPr codeName="Sheet2"/>
  <dimension ref="A1:AE277"/>
  <sheetViews>
    <sheetView workbookViewId="0">
      <selection activeCell="G6" sqref="G6:H7"/>
    </sheetView>
  </sheetViews>
  <sheetFormatPr defaultRowHeight="15" x14ac:dyDescent="0.25"/>
  <cols>
    <col min="1" max="1" width="34.5703125" customWidth="1"/>
    <col min="2" max="2" width="31.28515625" customWidth="1"/>
    <col min="3" max="3" width="22.85546875" customWidth="1"/>
    <col min="4" max="4" width="16.42578125" customWidth="1"/>
    <col min="5" max="5" width="15.140625" customWidth="1"/>
    <col min="6" max="6" width="22.285156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2.28515625" customWidth="1"/>
    <col min="19" max="19" width="9.5703125" customWidth="1"/>
    <col min="20" max="20" width="10.5703125" customWidth="1"/>
    <col min="21" max="21" width="10.28515625" customWidth="1"/>
    <col min="22" max="22" width="7.28515625" customWidth="1"/>
    <col min="23" max="23" width="9.85546875" customWidth="1"/>
  </cols>
  <sheetData>
    <row r="1" spans="1:31" x14ac:dyDescent="0.25">
      <c r="A1" t="s">
        <v>18</v>
      </c>
      <c r="B1" t="s">
        <v>86</v>
      </c>
      <c r="C1" t="s">
        <v>96</v>
      </c>
      <c r="D1" t="s">
        <v>28</v>
      </c>
      <c r="F1" s="48" t="s">
        <v>89</v>
      </c>
      <c r="G1" s="48"/>
      <c r="H1" s="48"/>
      <c r="I1" s="48"/>
    </row>
    <row r="2" spans="1:31" x14ac:dyDescent="0.25">
      <c r="A2" t="s">
        <v>20</v>
      </c>
      <c r="B2" s="2">
        <v>62</v>
      </c>
      <c r="C2" s="2">
        <f>CONVERT($B$2,"grain","g")</f>
        <v>4.0175324200000002</v>
      </c>
      <c r="F2" t="s">
        <v>90</v>
      </c>
      <c r="G2" s="2">
        <v>62</v>
      </c>
      <c r="H2" s="2">
        <f>CONVERT($G$2,"grain","g")</f>
        <v>4.0175324200000002</v>
      </c>
    </row>
    <row r="3" spans="1:31" x14ac:dyDescent="0.25">
      <c r="A3" t="s">
        <v>0</v>
      </c>
      <c r="B3" s="2">
        <v>0.224</v>
      </c>
      <c r="C3" s="2">
        <f>CONVERT($B$3,"in","mm")</f>
        <v>5.6896000000000004</v>
      </c>
      <c r="F3" t="s">
        <v>91</v>
      </c>
      <c r="G3" s="2">
        <v>0.224</v>
      </c>
      <c r="H3" s="2">
        <f>CONVERT($G$3,"in","mm")</f>
        <v>5.6896000000000004</v>
      </c>
    </row>
    <row r="4" spans="1:31" x14ac:dyDescent="0.25">
      <c r="A4" t="s">
        <v>11</v>
      </c>
      <c r="B4" s="2"/>
      <c r="C4" s="2"/>
      <c r="F4" t="s">
        <v>11</v>
      </c>
      <c r="G4" s="2"/>
      <c r="H4" s="2"/>
    </row>
    <row r="5" spans="1:31" x14ac:dyDescent="0.25">
      <c r="A5" t="s">
        <v>21</v>
      </c>
      <c r="B5" s="2">
        <v>0.309</v>
      </c>
      <c r="C5" s="2"/>
      <c r="F5" t="s">
        <v>21</v>
      </c>
      <c r="G5" s="2">
        <v>0.23400000000000001</v>
      </c>
      <c r="H5" s="2"/>
    </row>
    <row r="6" spans="1:31" x14ac:dyDescent="0.25">
      <c r="A6" t="s">
        <v>22</v>
      </c>
      <c r="B6" s="2">
        <v>3137.5</v>
      </c>
      <c r="C6" s="2">
        <f>CONVERT($B$6,"J","flb")</f>
        <v>2314.1012433574201</v>
      </c>
      <c r="F6" t="s">
        <v>92</v>
      </c>
      <c r="G6" s="2" cm="1">
        <f t="array" ref="G6">MuzzleVelocityToMuzzleEnergyFtLb(G7,G2)</f>
        <v>1003.4262756103549</v>
      </c>
      <c r="H6" s="2" cm="1">
        <f t="array" ref="H6">MuzzleVelocityToMuzzleEnergyJoules(H7,H2)</f>
        <v>1360.4633542998497</v>
      </c>
    </row>
    <row r="7" spans="1:31" x14ac:dyDescent="0.25">
      <c r="A7" t="s">
        <v>19</v>
      </c>
      <c r="B7" s="2" cm="1">
        <f t="array" ref="B7">MuzzleEnergyToMuzzleVelocityMPS(B6,C2)</f>
        <v>1249.7615815510926</v>
      </c>
      <c r="C7" s="2" cm="1">
        <f t="array" ref="C7">MuzzleEnergyToMuzzleVelocityFPS(C6,B2)</f>
        <v>4100.2676560075215</v>
      </c>
      <c r="F7" t="s">
        <v>93</v>
      </c>
      <c r="G7" s="2">
        <v>2700</v>
      </c>
      <c r="H7" s="2">
        <f>CONVERT($G$7,"ft","m")</f>
        <v>822.96</v>
      </c>
    </row>
    <row r="8" spans="1:31" x14ac:dyDescent="0.25">
      <c r="A8" t="s">
        <v>1</v>
      </c>
      <c r="B8" s="2">
        <v>0</v>
      </c>
      <c r="C8" s="2"/>
    </row>
    <row r="9" spans="1:31" x14ac:dyDescent="0.25">
      <c r="A9" t="s">
        <v>2</v>
      </c>
      <c r="B9" s="2">
        <v>14</v>
      </c>
      <c r="C9" s="2">
        <f>CONVERT($B$9,"m/sec","km/hr")</f>
        <v>50.4</v>
      </c>
    </row>
    <row r="10" spans="1:31" x14ac:dyDescent="0.25">
      <c r="A10" t="s">
        <v>3</v>
      </c>
      <c r="B10" s="2"/>
      <c r="C10" s="2">
        <v>280</v>
      </c>
    </row>
    <row r="11" spans="1:31" x14ac:dyDescent="0.25">
      <c r="A11" s="21" t="s">
        <v>74</v>
      </c>
      <c r="B11" s="2">
        <v>0.5</v>
      </c>
      <c r="C11" s="28"/>
    </row>
    <row r="12" spans="1:31" x14ac:dyDescent="0.25">
      <c r="A12" s="21" t="s">
        <v>75</v>
      </c>
      <c r="B12" s="2" cm="1">
        <f t="array" ref="B12">MOAToMRAD($B$11)</f>
        <v>0.14544410433286079</v>
      </c>
      <c r="C12" s="28">
        <f>$B$12/2</f>
        <v>7.2722052166430393E-2</v>
      </c>
    </row>
    <row r="13" spans="1:31" x14ac:dyDescent="0.25">
      <c r="A13" s="21" t="s">
        <v>26</v>
      </c>
      <c r="B13" s="2">
        <f>CONVERT(1.5,"in","cm")</f>
        <v>3.81</v>
      </c>
      <c r="D13" s="2">
        <f>CONVERT($B$13,"cm","in")</f>
        <v>1.5</v>
      </c>
    </row>
    <row r="14" spans="1:31" x14ac:dyDescent="0.25">
      <c r="A14" s="21" t="s">
        <v>5</v>
      </c>
      <c r="B14" t="s">
        <v>73</v>
      </c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</row>
    <row r="15" spans="1:31" x14ac:dyDescent="0.25">
      <c r="A15" t="s">
        <v>76</v>
      </c>
      <c r="B15" s="20" t="s">
        <v>84</v>
      </c>
      <c r="C15" s="20" t="s">
        <v>81</v>
      </c>
      <c r="D15" s="20" t="s">
        <v>82</v>
      </c>
      <c r="E15" s="20" t="s">
        <v>83</v>
      </c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</row>
    <row r="16" spans="1:31" x14ac:dyDescent="0.25">
      <c r="A16" s="21" t="s">
        <v>79</v>
      </c>
      <c r="B16" s="2">
        <v>0.625</v>
      </c>
      <c r="C16">
        <f>$B16/2</f>
        <v>0.3125</v>
      </c>
      <c r="D16" s="2">
        <f>$B$16 * $B$18</f>
        <v>0.36361026083215198</v>
      </c>
      <c r="E16" s="25">
        <f>$D16/2</f>
        <v>0.18180513041607599</v>
      </c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</row>
    <row r="17" spans="1:31" x14ac:dyDescent="0.25">
      <c r="A17" s="21" t="s">
        <v>80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5">
        <f>$D17/2</f>
        <v>7.2722052166430393E-2</v>
      </c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x14ac:dyDescent="0.25">
      <c r="A18" s="11" t="s">
        <v>78</v>
      </c>
      <c r="B18" s="12">
        <f>$B$12/$B$17</f>
        <v>0.58177641733144314</v>
      </c>
      <c r="C18" s="2"/>
      <c r="J18" s="2">
        <v>4.5</v>
      </c>
      <c r="K18" s="2">
        <v>4.25</v>
      </c>
      <c r="L18" s="2">
        <v>4.25</v>
      </c>
      <c r="M18" s="2">
        <v>4.25</v>
      </c>
      <c r="N18" s="2">
        <v>4.25</v>
      </c>
      <c r="O18" s="2">
        <v>4.25</v>
      </c>
      <c r="P18" s="2">
        <v>4.25</v>
      </c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x14ac:dyDescent="0.25">
      <c r="A19" s="38" t="s">
        <v>85</v>
      </c>
      <c r="B19" s="39"/>
      <c r="C19" s="2"/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x14ac:dyDescent="0.25">
      <c r="C20" s="47" t="s">
        <v>24</v>
      </c>
      <c r="D20" s="47"/>
      <c r="E20" s="47"/>
      <c r="F20" s="47"/>
      <c r="G20" s="47"/>
      <c r="H20" s="13"/>
      <c r="I20" s="13"/>
      <c r="J20" s="47" t="s">
        <v>25</v>
      </c>
      <c r="K20" s="47"/>
      <c r="L20" s="47"/>
      <c r="M20" s="47"/>
      <c r="N20" s="47"/>
      <c r="O20" s="13"/>
      <c r="P20" s="13"/>
      <c r="Q20" s="29" t="s">
        <v>29</v>
      </c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31</v>
      </c>
      <c r="I21" t="s">
        <v>32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31</v>
      </c>
      <c r="P21" s="16" t="s">
        <v>32</v>
      </c>
      <c r="Q21" s="35" t="s">
        <v>30</v>
      </c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x14ac:dyDescent="0.25">
      <c r="A22" s="1">
        <v>0</v>
      </c>
      <c r="B22" s="1">
        <v>1679.8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8">
        <f t="shared" si="1"/>
        <v>-3.81</v>
      </c>
      <c r="Q22" s="35">
        <v>0</v>
      </c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x14ac:dyDescent="0.25">
      <c r="A23" s="1">
        <v>25</v>
      </c>
      <c r="B23" s="1">
        <v>1603.5</v>
      </c>
      <c r="C23" s="6">
        <v>-0.25</v>
      </c>
      <c r="D23" s="6">
        <v>-0.33300000000000002</v>
      </c>
      <c r="E23" s="6">
        <v>-0.3125</v>
      </c>
      <c r="F23" s="6">
        <v>-0.16700000000000001</v>
      </c>
      <c r="G23" s="6">
        <v>0</v>
      </c>
      <c r="H23" s="6">
        <v>0.3125</v>
      </c>
      <c r="I23" s="14">
        <v>0.625</v>
      </c>
      <c r="J23" s="9" cm="1">
        <f t="array" ref="J23">TrajectoryDropInCM(C23,$A23,J$18)</f>
        <v>-2.8125011865240381</v>
      </c>
      <c r="K23" s="9" cm="1">
        <f t="array" ref="K23">TrajectoryDropInCM(D23,$A23,K$18)</f>
        <v>-3.5381273622104836</v>
      </c>
      <c r="L23" s="9" cm="1">
        <f t="array" ref="L23">TrajectoryDropInCM(E23,$A23,L$18)</f>
        <v>-3.3203144522521759</v>
      </c>
      <c r="M23" s="9" cm="1">
        <f t="array" ref="M23">TrajectoryDropInCM(F23,$A23,M$18)</f>
        <v>-1.7743752979442751</v>
      </c>
      <c r="N23" s="9" cm="1">
        <f t="array" ref="N23">TrajectoryDropInCM(G23,$A23,N$18)</f>
        <v>0</v>
      </c>
      <c r="O23" s="9" cm="1">
        <f t="array" ref="O23">TrajectoryDropInCM(H23,$A23,O$18)</f>
        <v>3.3203144522521759</v>
      </c>
      <c r="P23" s="9" cm="1">
        <f t="array" ref="P23">TrajectoryDropInCM(I23,$A23,P$18)</f>
        <v>6.6406406180504671</v>
      </c>
      <c r="Q23" s="35" cm="1">
        <f t="array" ref="Q23">TrajectoryErrorCM($E$19,1,$A23)</f>
        <v>0.37561137059069255</v>
      </c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x14ac:dyDescent="0.25">
      <c r="A24" s="1">
        <v>50</v>
      </c>
      <c r="B24" s="1">
        <v>1508.1</v>
      </c>
      <c r="C24" s="7">
        <v>0</v>
      </c>
      <c r="D24" s="6">
        <v>-8.3000000000000004E-2</v>
      </c>
      <c r="E24" s="6">
        <v>0</v>
      </c>
      <c r="F24" s="6">
        <v>8.3000000000000004E-2</v>
      </c>
      <c r="G24" s="6">
        <v>0.25</v>
      </c>
      <c r="H24" s="6">
        <v>0.51249999999999996</v>
      </c>
      <c r="I24" s="14">
        <v>0.875</v>
      </c>
      <c r="J24" s="9" cm="1">
        <f t="array" ref="J24">TrajectoryDropInCM(C24,$A24,J$18)</f>
        <v>0</v>
      </c>
      <c r="K24" s="9" cm="1">
        <f t="array" ref="K24">TrajectoryDropInCM(D24,$A24,K$18)</f>
        <v>-1.763750073155981</v>
      </c>
      <c r="L24" s="9" cm="1">
        <f t="array" ref="L24">TrajectoryDropInCM(E24,$A24,L$18)</f>
        <v>0</v>
      </c>
      <c r="M24" s="9" cm="1">
        <f t="array" ref="M24">TrajectoryDropInCM(F24,$A24,M$18)</f>
        <v>1.763750073155981</v>
      </c>
      <c r="N24" s="9" cm="1">
        <f t="array" ref="N24">TrajectoryDropInCM(G24,$A24,N$18)</f>
        <v>5.3125019991057201</v>
      </c>
      <c r="O24" s="9" cm="1">
        <f t="array" ref="O24">TrajectoryDropInCM(H24,$A24,O$18)</f>
        <v>10.890642222570575</v>
      </c>
      <c r="P24" s="9" cm="1">
        <f t="array" ref="P24">TrajectoryDropInCM(I24,$A24,P$18)</f>
        <v>18.593835712093188</v>
      </c>
      <c r="Q24" s="35" cm="1">
        <f t="array" ref="Q24">TrajectoryErrorCM($E$19,1,$A24)</f>
        <v>0.7512227411813851</v>
      </c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x14ac:dyDescent="0.25">
      <c r="A25" s="1">
        <v>75</v>
      </c>
      <c r="B25" s="1">
        <v>1419.7</v>
      </c>
      <c r="C25" s="6">
        <v>0.1</v>
      </c>
      <c r="D25" s="6">
        <v>0</v>
      </c>
      <c r="E25" s="6">
        <v>6.25E-2</v>
      </c>
      <c r="F25" s="6">
        <v>0.125</v>
      </c>
      <c r="G25" s="6">
        <v>0.35</v>
      </c>
      <c r="H25" s="6">
        <v>0.625</v>
      </c>
      <c r="I25" s="14">
        <v>0.9375</v>
      </c>
      <c r="J25" s="9" cm="1">
        <f t="array" ref="J25">TrajectoryDropInCM(C25,$A25,J$18)</f>
        <v>3.3750002278125182</v>
      </c>
      <c r="K25" s="9" cm="1">
        <f t="array" ref="K25">TrajectoryDropInCM(D25,$A25,K$18)</f>
        <v>0</v>
      </c>
      <c r="L25" s="9" cm="1">
        <f t="array" ref="L25">TrajectoryDropInCM(E25,$A25,L$18)</f>
        <v>1.9921875468540204</v>
      </c>
      <c r="M25" s="9" cm="1">
        <f t="array" ref="M25">TrajectoryDropInCM(F25,$A25,M$18)</f>
        <v>3.9843753748321964</v>
      </c>
      <c r="N25" s="9" cm="1">
        <f t="array" ref="N25">TrajectoryDropInCM(G25,$A25,N$18)</f>
        <v>11.156258228322711</v>
      </c>
      <c r="O25" s="9" cm="1">
        <f t="array" ref="O25">TrajectoryDropInCM(H25,$A25,O$18)</f>
        <v>19.9219218541514</v>
      </c>
      <c r="P25" s="9" cm="1">
        <f t="array" ref="P25">TrajectoryDropInCM(I25,$A25,P$18)</f>
        <v>29.882970633318845</v>
      </c>
      <c r="Q25" s="35" cm="1">
        <f t="array" ref="Q25">TrajectoryErrorCM($E$19,1,$A25)</f>
        <v>1.1268341117720777</v>
      </c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x14ac:dyDescent="0.25">
      <c r="A26" s="1">
        <v>100</v>
      </c>
      <c r="B26" s="1">
        <v>1337.4</v>
      </c>
      <c r="C26" s="6">
        <v>0.1</v>
      </c>
      <c r="D26" s="7">
        <v>0</v>
      </c>
      <c r="E26" s="6">
        <v>6.25E-2</v>
      </c>
      <c r="F26" s="6">
        <v>0.125</v>
      </c>
      <c r="G26" s="6">
        <v>0.35</v>
      </c>
      <c r="H26" s="6">
        <v>0.625</v>
      </c>
      <c r="I26" s="14">
        <v>0.9375</v>
      </c>
      <c r="J26" s="9" cm="1">
        <f t="array" ref="J26">TrajectoryDropInCM(C26,$A26,J$18)</f>
        <v>4.5000003037500242</v>
      </c>
      <c r="K26" s="9" cm="1">
        <f t="array" ref="K26">TrajectoryDropInCM(D26,$A26,K$18)</f>
        <v>0</v>
      </c>
      <c r="L26" s="9" cm="1">
        <f t="array" ref="L26">TrajectoryDropInCM(E26,$A26,L$18)</f>
        <v>2.6562500624720276</v>
      </c>
      <c r="M26" s="9" cm="1">
        <f t="array" ref="M26">TrajectoryDropInCM(F26,$A26,M$18)</f>
        <v>5.3125004997762613</v>
      </c>
      <c r="N26" s="9" cm="1">
        <f t="array" ref="N26">TrajectoryDropInCM(G26,$A26,N$18)</f>
        <v>14.87501097109695</v>
      </c>
      <c r="O26" s="9" cm="1">
        <f t="array" ref="O26">TrajectoryDropInCM(H26,$A26,O$18)</f>
        <v>26.562562472201869</v>
      </c>
      <c r="P26" s="9" cm="1">
        <f t="array" ref="P26">TrajectoryDropInCM(I26,$A26,P$18)</f>
        <v>39.843960844425126</v>
      </c>
      <c r="Q26" s="35" cm="1">
        <f t="array" ref="Q26">TrajectoryErrorCM($E$19,1,$A26)</f>
        <v>1.5024454823627702</v>
      </c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x14ac:dyDescent="0.25">
      <c r="A27" s="1">
        <v>125</v>
      </c>
      <c r="B27" s="1">
        <v>1261.0999999999999</v>
      </c>
      <c r="C27" s="6">
        <v>0.1</v>
      </c>
      <c r="D27" s="6">
        <v>0</v>
      </c>
      <c r="E27" s="6">
        <v>3.5000000000000003E-2</v>
      </c>
      <c r="F27" s="6">
        <v>0.125</v>
      </c>
      <c r="G27" s="6">
        <v>0.33300000000000002</v>
      </c>
      <c r="H27" s="6">
        <v>0.6</v>
      </c>
      <c r="I27" s="14">
        <v>0.875</v>
      </c>
      <c r="J27" s="9" cm="1">
        <f t="array" ref="J27">TrajectoryDropInCM(C27,$A27,J$18)</f>
        <v>5.6250003796875303</v>
      </c>
      <c r="K27" s="9" cm="1">
        <f t="array" ref="K27">TrajectoryDropInCM(D27,$A27,K$18)</f>
        <v>0</v>
      </c>
      <c r="L27" s="9" cm="1">
        <f t="array" ref="L27">TrajectoryDropInCM(E27,$A27,L$18)</f>
        <v>1.8593750137138592</v>
      </c>
      <c r="M27" s="9" cm="1">
        <f t="array" ref="M27">TrajectoryDropInCM(F27,$A27,M$18)</f>
        <v>6.640625624720327</v>
      </c>
      <c r="N27" s="9" cm="1">
        <f t="array" ref="N27">TrajectoryDropInCM(G27,$A27,N$18)</f>
        <v>17.690636811052418</v>
      </c>
      <c r="O27" s="9" cm="1">
        <f t="array" ref="O27">TrajectoryDropInCM(H27,$A27,O$18)</f>
        <v>31.875069089242196</v>
      </c>
      <c r="P27" s="9" cm="1">
        <f t="array" ref="P27">TrajectoryDropInCM(I27,$A27,P$18)</f>
        <v>46.48458928023296</v>
      </c>
      <c r="Q27" s="34" cm="1">
        <f t="array" ref="Q27">TrajectoryErrorCM($E$19,1,$A27)</f>
        <v>1.8780568529534629</v>
      </c>
    </row>
    <row r="28" spans="1:31" x14ac:dyDescent="0.25">
      <c r="A28" s="1">
        <v>150</v>
      </c>
      <c r="B28" s="1">
        <v>1190.9000000000001</v>
      </c>
      <c r="C28" s="6">
        <v>0.05</v>
      </c>
      <c r="D28" s="6">
        <v>-8.3000000000000004E-2</v>
      </c>
      <c r="E28" s="7">
        <v>0</v>
      </c>
      <c r="F28" s="6">
        <v>0.1</v>
      </c>
      <c r="G28" s="6">
        <v>0.3175</v>
      </c>
      <c r="H28" s="6">
        <v>0.58299999999999996</v>
      </c>
      <c r="I28" s="14">
        <v>0.875</v>
      </c>
      <c r="J28" s="9" cm="1">
        <f t="array" ref="J28">TrajectoryDropInCM(C28,$A28,J$18)</f>
        <v>3.3750000569531267</v>
      </c>
      <c r="K28" s="9" cm="1">
        <f t="array" ref="K28">TrajectoryDropInCM(D28,$A28,K$18)</f>
        <v>-5.2912502194679423</v>
      </c>
      <c r="L28" s="9" cm="1">
        <f t="array" ref="L28">TrajectoryDropInCM(E28,$A28,L$18)</f>
        <v>0</v>
      </c>
      <c r="M28" s="9" cm="1">
        <f t="array" ref="M28">TrajectoryDropInCM(F28,$A28,M$18)</f>
        <v>6.3750003838281524</v>
      </c>
      <c r="N28" s="9" cm="1">
        <f t="array" ref="N28">TrajectoryDropInCM(G28,$A28,N$18)</f>
        <v>20.240637284805921</v>
      </c>
      <c r="O28" s="9" cm="1">
        <f t="array" ref="O28">TrajectoryDropInCM(H28,$A28,O$18)</f>
        <v>37.166326057759051</v>
      </c>
      <c r="P28" s="9" cm="1">
        <f t="array" ref="P28">TrajectoryDropInCM(I28,$A28,P$18)</f>
        <v>55.781507136279565</v>
      </c>
      <c r="Q28" s="34" cm="1">
        <f t="array" ref="Q28">TrajectoryErrorCM($E$19,1,$A28)</f>
        <v>2.2536682235441554</v>
      </c>
    </row>
    <row r="29" spans="1:31" x14ac:dyDescent="0.25">
      <c r="A29" s="1">
        <v>200</v>
      </c>
      <c r="B29" s="1">
        <v>1044.0999999999999</v>
      </c>
      <c r="C29" s="6">
        <v>-0.05</v>
      </c>
      <c r="D29" s="6">
        <v>-0.125</v>
      </c>
      <c r="E29" s="6">
        <v>-8.3000000000000004E-2</v>
      </c>
      <c r="F29" s="7">
        <v>0</v>
      </c>
      <c r="G29" s="6">
        <v>0.2</v>
      </c>
      <c r="H29" s="6">
        <v>0.5</v>
      </c>
      <c r="I29" s="14">
        <v>0.83299999999999996</v>
      </c>
      <c r="J29" s="9" cm="1">
        <f t="array" ref="J29">TrajectoryDropInCM(C29,$A29,J$18)</f>
        <v>-4.5000000759375016</v>
      </c>
      <c r="K29" s="9" cm="1">
        <f t="array" ref="K29">TrajectoryDropInCM(D29,$A29,K$18)</f>
        <v>-10.625000999552523</v>
      </c>
      <c r="L29" s="9" cm="1">
        <f t="array" ref="L29">TrajectoryDropInCM(E29,$A29,L$18)</f>
        <v>-7.0550002926239239</v>
      </c>
      <c r="M29" s="9" cm="1">
        <f t="array" ref="M29">TrajectoryDropInCM(F29,$A29,M$18)</f>
        <v>0</v>
      </c>
      <c r="N29" s="9" cm="1">
        <f t="array" ref="N29">TrajectoryDropInCM(G29,$A29,N$18)</f>
        <v>17.000004094167849</v>
      </c>
      <c r="O29" s="9" cm="1">
        <f t="array" ref="O29">TrajectoryDropInCM(H29,$A29,O$18)</f>
        <v>42.500063971469721</v>
      </c>
      <c r="P29" s="9" cm="1">
        <f t="array" ref="P29">TrajectoryDropInCM(I29,$A29,P$18)</f>
        <v>70.805295809905417</v>
      </c>
      <c r="Q29" s="34" cm="1">
        <f t="array" ref="Q29">TrajectoryErrorCM($E$19,1,$A29)</f>
        <v>3.0048909647255404</v>
      </c>
    </row>
    <row r="30" spans="1:31" x14ac:dyDescent="0.25">
      <c r="A30" s="1">
        <v>250</v>
      </c>
      <c r="B30" s="1">
        <v>919.4</v>
      </c>
      <c r="C30" s="6">
        <v>-0.125</v>
      </c>
      <c r="D30" s="6">
        <v>-0.1875</v>
      </c>
      <c r="E30" s="6">
        <v>-0.125</v>
      </c>
      <c r="F30" s="6">
        <v>-0.1</v>
      </c>
      <c r="G30" s="6">
        <v>0.125</v>
      </c>
      <c r="H30" s="6">
        <v>0.375</v>
      </c>
      <c r="I30" s="14">
        <v>0.7</v>
      </c>
      <c r="J30" s="9" cm="1">
        <f t="array" ref="J30">TrajectoryDropInCM(C30,$A30,J$18)</f>
        <v>-14.062501483154483</v>
      </c>
      <c r="K30" s="9" cm="1">
        <f t="array" ref="K30">TrajectoryDropInCM(D30,$A30,K$18)</f>
        <v>-19.921879216862795</v>
      </c>
      <c r="L30" s="9" cm="1">
        <f t="array" ref="L30">TrajectoryDropInCM(E30,$A30,L$18)</f>
        <v>-13.281251249440654</v>
      </c>
      <c r="M30" s="9" cm="1">
        <f t="array" ref="M30">TrajectoryDropInCM(F30,$A30,M$18)</f>
        <v>-10.625000639713587</v>
      </c>
      <c r="N30" s="9" cm="1">
        <f t="array" ref="N30">TrajectoryDropInCM(G30,$A30,N$18)</f>
        <v>13.281251249440654</v>
      </c>
      <c r="O30" s="9" cm="1">
        <f t="array" ref="O30">TrajectoryDropInCM(H30,$A30,O$18)</f>
        <v>39.843783734928067</v>
      </c>
      <c r="P30" s="9" cm="1">
        <f t="array" ref="P30">TrajectoryDropInCM(I30,$A30,P$18)</f>
        <v>74.375219422521596</v>
      </c>
      <c r="Q30" s="34" cm="1">
        <f t="array" ref="Q30">TrajectoryErrorCM($E$19,1,$A30)</f>
        <v>3.7561137059069258</v>
      </c>
    </row>
    <row r="31" spans="1:31" x14ac:dyDescent="0.25">
      <c r="A31" s="1">
        <v>300</v>
      </c>
      <c r="B31" s="1">
        <v>805.8</v>
      </c>
      <c r="C31" s="6">
        <v>-0.25</v>
      </c>
      <c r="D31" s="6">
        <v>-0.35</v>
      </c>
      <c r="E31" s="6">
        <v>-0.33300000000000002</v>
      </c>
      <c r="F31" s="6">
        <v>-0.1875</v>
      </c>
      <c r="G31" s="7">
        <v>0</v>
      </c>
      <c r="H31" s="17">
        <v>0.25</v>
      </c>
      <c r="I31" s="18">
        <v>0.6</v>
      </c>
      <c r="J31" s="9" cm="1">
        <f t="array" ref="J31">TrajectoryDropInCM(C31,$A31,J$18)</f>
        <v>-33.750014238288458</v>
      </c>
      <c r="K31" s="9" cm="1">
        <f t="array" ref="K31">TrajectoryDropInCM(D31,$A31,K$18)</f>
        <v>-44.625032913290845</v>
      </c>
      <c r="L31" s="9" cm="1">
        <f t="array" ref="L31">TrajectoryDropInCM(E31,$A31,L$18)</f>
        <v>-42.457528346525805</v>
      </c>
      <c r="M31" s="9" cm="1">
        <f t="array" ref="M31">TrajectoryDropInCM(F31,$A31,M$18)</f>
        <v>-23.906255060235353</v>
      </c>
      <c r="N31" s="9" cm="1">
        <f t="array" ref="N31">TrajectoryDropInCM(G31,$A31,N$18)</f>
        <v>0</v>
      </c>
      <c r="O31" s="9" cm="1">
        <f t="array" ref="O31">TrajectoryDropInCM(H31,$A31,O$18)</f>
        <v>31.875011994634324</v>
      </c>
      <c r="P31" s="9" cm="1">
        <f t="array" ref="P31">TrajectoryDropInCM(I31,$A31,P$18)</f>
        <v>76.500165814181273</v>
      </c>
      <c r="Q31" s="34" cm="1">
        <f t="array" ref="Q31">TrajectoryErrorCM($E$19,1,$A31)</f>
        <v>4.5073364470883108</v>
      </c>
    </row>
    <row r="32" spans="1:31" x14ac:dyDescent="0.25">
      <c r="A32" s="1">
        <v>350</v>
      </c>
      <c r="B32" s="1">
        <v>696.7</v>
      </c>
      <c r="C32" s="6">
        <v>-0.375</v>
      </c>
      <c r="D32" s="6">
        <v>-0.45</v>
      </c>
      <c r="E32" s="6">
        <v>-0.41699999999999998</v>
      </c>
      <c r="F32" s="6">
        <v>-0.33300000000000002</v>
      </c>
      <c r="G32" s="6">
        <v>-0.125</v>
      </c>
      <c r="H32" s="6">
        <v>0.125</v>
      </c>
      <c r="I32" s="14">
        <v>0.47499999999999998</v>
      </c>
      <c r="J32" s="9" cm="1">
        <f t="array" ref="J32">TrajectoryDropInCM(C32,$A32,J$18)</f>
        <v>-59.062556063296277</v>
      </c>
      <c r="K32" s="9" cm="1">
        <f t="array" ref="K32">TrajectoryDropInCM(D32,$A32,K$18)</f>
        <v>-66.937581611574487</v>
      </c>
      <c r="L32" s="9" cm="1">
        <f t="array" ref="L32">TrajectoryDropInCM(E32,$A32,L$18)</f>
        <v>-62.028814941496222</v>
      </c>
      <c r="M32" s="9" cm="1">
        <f t="array" ref="M32">TrajectoryDropInCM(F32,$A32,M$18)</f>
        <v>-49.533783070946775</v>
      </c>
      <c r="N32" s="9" cm="1">
        <f t="array" ref="N32">TrajectoryDropInCM(G32,$A32,N$18)</f>
        <v>-18.593751749216914</v>
      </c>
      <c r="O32" s="9" cm="1">
        <f t="array" ref="O32">TrajectoryDropInCM(H32,$A32,O$18)</f>
        <v>18.593751749216914</v>
      </c>
      <c r="P32" s="9" cm="1">
        <f t="array" ref="P32">TrajectoryDropInCM(I32,$A32,P$18)</f>
        <v>70.656345983176067</v>
      </c>
      <c r="Q32" s="34" cm="1">
        <f t="array" ref="Q32">TrajectoryErrorCM($E$19,1,$A32)</f>
        <v>5.2585591882696958</v>
      </c>
    </row>
    <row r="33" spans="1:17" x14ac:dyDescent="0.25">
      <c r="A33" s="1">
        <v>400</v>
      </c>
      <c r="B33" s="1">
        <v>601.4</v>
      </c>
      <c r="C33" s="6">
        <v>-0.5</v>
      </c>
      <c r="D33" s="6">
        <v>-0.62</v>
      </c>
      <c r="E33" s="6">
        <v>-0.58299999999999996</v>
      </c>
      <c r="F33" s="6">
        <v>-0.5</v>
      </c>
      <c r="G33" s="6">
        <v>-0.25</v>
      </c>
      <c r="H33" s="7">
        <v>0</v>
      </c>
      <c r="I33" s="14">
        <v>0.375</v>
      </c>
      <c r="J33" s="9" cm="1">
        <f t="array" ref="J33">TrajectoryDropInCM(C33,$A33,J$18)</f>
        <v>-90.000151875307537</v>
      </c>
      <c r="K33" s="9" cm="1">
        <f t="array" ref="K33">TrajectoryDropInCM(D33,$A33,K$18)</f>
        <v>-105.4002439393158</v>
      </c>
      <c r="L33" s="9" cm="1">
        <f t="array" ref="L33">TrajectoryDropInCM(E33,$A33,L$18)</f>
        <v>-99.110202820690802</v>
      </c>
      <c r="M33" s="9" cm="1">
        <f t="array" ref="M33">TrajectoryDropInCM(F33,$A33,M$18)</f>
        <v>-85.000127942939443</v>
      </c>
      <c r="N33" s="9" cm="1">
        <f t="array" ref="N33">TrajectoryDropInCM(G33,$A33,N$18)</f>
        <v>-42.500015992845761</v>
      </c>
      <c r="O33" s="9" cm="1">
        <f t="array" ref="O33">TrajectoryDropInCM(H33,$A33,O$18)</f>
        <v>0</v>
      </c>
      <c r="P33" s="9" cm="1">
        <f t="array" ref="P33">TrajectoryDropInCM(I33,$A33,P$18)</f>
        <v>63.75005397588491</v>
      </c>
      <c r="Q33" s="34" cm="1">
        <f t="array" ref="Q33">TrajectoryErrorCM($E$19,1,$A33)</f>
        <v>6.0097819294510808</v>
      </c>
    </row>
    <row r="34" spans="1:17" x14ac:dyDescent="0.25">
      <c r="A34" s="1">
        <v>450</v>
      </c>
      <c r="B34" s="1">
        <v>519.6</v>
      </c>
      <c r="C34" s="6">
        <v>-0.66700000000000004</v>
      </c>
      <c r="D34" s="6">
        <v>-0.75</v>
      </c>
      <c r="E34" s="6">
        <v>-0.66700000000000004</v>
      </c>
      <c r="F34" s="6">
        <v>-0.625</v>
      </c>
      <c r="G34" s="6">
        <v>-0.41699999999999998</v>
      </c>
      <c r="H34" s="6">
        <v>-0.125</v>
      </c>
      <c r="I34" s="14">
        <v>0.125</v>
      </c>
      <c r="J34" s="9" cm="1">
        <f t="array" ref="J34">TrajectoryDropInCM(C34,$A34,J$18)</f>
        <v>-135.06790560926547</v>
      </c>
      <c r="K34" s="9" cm="1">
        <f t="array" ref="K34">TrajectoryDropInCM(D34,$A34,K$18)</f>
        <v>-143.43798578444495</v>
      </c>
      <c r="L34" s="9" cm="1">
        <f t="array" ref="L34">TrajectoryDropInCM(E34,$A34,L$18)</f>
        <v>-127.56409169368061</v>
      </c>
      <c r="M34" s="9" cm="1">
        <f t="array" ref="M34">TrajectoryDropInCM(F34,$A34,M$18)</f>
        <v>-119.5315311249084</v>
      </c>
      <c r="N34" s="9" cm="1">
        <f t="array" ref="N34">TrajectoryDropInCM(G34,$A34,N$18)</f>
        <v>-79.751333496209426</v>
      </c>
      <c r="O34" s="9" cm="1">
        <f t="array" ref="O34">TrajectoryDropInCM(H34,$A34,O$18)</f>
        <v>-23.906252248993177</v>
      </c>
      <c r="P34" s="9" cm="1">
        <f t="array" ref="P34">TrajectoryDropInCM(I34,$A34,P$18)</f>
        <v>23.906252248993177</v>
      </c>
      <c r="Q34" s="34" cm="1">
        <f t="array" ref="Q34">TrajectoryErrorCM($E$19,1,$A34)</f>
        <v>6.7610046706324667</v>
      </c>
    </row>
    <row r="35" spans="1:17" x14ac:dyDescent="0.25">
      <c r="A35" s="1">
        <v>500</v>
      </c>
      <c r="B35" s="1"/>
      <c r="C35" s="6"/>
      <c r="D35" s="6"/>
      <c r="E35" s="6"/>
      <c r="F35" s="6"/>
      <c r="G35" s="6"/>
      <c r="H35" s="6"/>
      <c r="I35" s="15"/>
      <c r="J35" s="9"/>
      <c r="K35" s="9"/>
      <c r="L35" s="9"/>
      <c r="M35" s="9"/>
      <c r="N35" s="9"/>
      <c r="O35" s="9"/>
      <c r="P35" s="9"/>
      <c r="Q35" s="34"/>
    </row>
    <row r="77" spans="1:19" x14ac:dyDescent="0.25">
      <c r="A77" t="s">
        <v>27</v>
      </c>
    </row>
    <row r="78" spans="1:19" x14ac:dyDescent="0.25">
      <c r="A78" t="s">
        <v>97</v>
      </c>
      <c r="K78" t="s">
        <v>98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33</v>
      </c>
      <c r="H79" t="s">
        <v>34</v>
      </c>
      <c r="I79" t="s">
        <v>35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33</v>
      </c>
      <c r="R79" t="s">
        <v>34</v>
      </c>
      <c r="S79" t="s">
        <v>35</v>
      </c>
    </row>
    <row r="80" spans="1:19" x14ac:dyDescent="0.25">
      <c r="A80" s="1">
        <v>0</v>
      </c>
      <c r="B80" s="1">
        <v>914</v>
      </c>
      <c r="C80" s="1">
        <v>1680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914</v>
      </c>
      <c r="M80" s="1">
        <v>1680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880</v>
      </c>
      <c r="C81" s="1">
        <v>1556</v>
      </c>
      <c r="D81" s="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888</v>
      </c>
      <c r="M81" s="1">
        <v>1585</v>
      </c>
      <c r="N81" s="1">
        <v>-1.5</v>
      </c>
      <c r="O81" s="1">
        <v>2.1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847</v>
      </c>
      <c r="C82" s="10">
        <v>1440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863</v>
      </c>
      <c r="M82" s="10">
        <v>1495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814</v>
      </c>
      <c r="C83" s="1">
        <v>1331</v>
      </c>
      <c r="D83" s="1">
        <v>0.6</v>
      </c>
      <c r="E83" s="1">
        <v>-0.3</v>
      </c>
      <c r="F83" s="1">
        <v>-0.1</v>
      </c>
      <c r="G83" s="1">
        <v>0</v>
      </c>
      <c r="H83" s="1">
        <v>0</v>
      </c>
      <c r="I83" s="1">
        <v>0</v>
      </c>
      <c r="J83" s="1"/>
      <c r="K83" s="1">
        <v>75</v>
      </c>
      <c r="L83" s="1">
        <v>838</v>
      </c>
      <c r="M83" s="1">
        <v>1410</v>
      </c>
      <c r="N83" s="1">
        <v>0.7</v>
      </c>
      <c r="O83" s="1">
        <v>-0.3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782</v>
      </c>
      <c r="C84" s="1">
        <v>1229</v>
      </c>
      <c r="D84" s="1">
        <v>0.3</v>
      </c>
      <c r="E84" s="1">
        <v>-0.1</v>
      </c>
      <c r="F84" s="1">
        <v>0</v>
      </c>
      <c r="G84" s="1">
        <v>0</v>
      </c>
      <c r="H84" s="1">
        <v>0</v>
      </c>
      <c r="I84" s="1">
        <v>0</v>
      </c>
      <c r="J84" s="1"/>
      <c r="K84" s="1">
        <v>100</v>
      </c>
      <c r="L84" s="1">
        <v>813</v>
      </c>
      <c r="M84" s="1">
        <v>1329</v>
      </c>
      <c r="N84" s="1">
        <v>0.4</v>
      </c>
      <c r="O84" s="1">
        <v>-0.2</v>
      </c>
      <c r="P84" s="1">
        <v>0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751</v>
      </c>
      <c r="C85" s="1">
        <v>1134</v>
      </c>
      <c r="D85" s="1">
        <v>-1.1000000000000001</v>
      </c>
      <c r="E85" s="1">
        <v>0.3</v>
      </c>
      <c r="F85" s="1">
        <v>0.1</v>
      </c>
      <c r="G85" s="1">
        <v>0</v>
      </c>
      <c r="H85" s="1">
        <v>0</v>
      </c>
      <c r="I85" s="1">
        <v>0</v>
      </c>
      <c r="J85" s="1"/>
      <c r="K85" s="1">
        <v>125</v>
      </c>
      <c r="L85" s="1">
        <v>789</v>
      </c>
      <c r="M85" s="1">
        <v>1251</v>
      </c>
      <c r="N85" s="1">
        <v>-0.8</v>
      </c>
      <c r="O85" s="1">
        <v>0.2</v>
      </c>
      <c r="P85" s="1">
        <v>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721</v>
      </c>
      <c r="C86" s="1">
        <v>1044</v>
      </c>
      <c r="D86" s="1">
        <v>-3.5</v>
      </c>
      <c r="E86" s="1">
        <v>0.8</v>
      </c>
      <c r="F86" s="1">
        <v>0.2</v>
      </c>
      <c r="G86" s="1">
        <v>0</v>
      </c>
      <c r="H86" s="1">
        <v>0</v>
      </c>
      <c r="I86" s="1">
        <v>0</v>
      </c>
      <c r="J86" s="1"/>
      <c r="K86" s="1">
        <v>150</v>
      </c>
      <c r="L86" s="1">
        <v>765</v>
      </c>
      <c r="M86" s="1">
        <v>1177</v>
      </c>
      <c r="N86" s="1">
        <v>-2.9</v>
      </c>
      <c r="O86" s="1">
        <v>0.7</v>
      </c>
      <c r="P86" s="1">
        <v>0.2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691</v>
      </c>
      <c r="C87" s="1">
        <v>960</v>
      </c>
      <c r="D87" s="1">
        <v>-7.2</v>
      </c>
      <c r="E87" s="1">
        <v>1.4</v>
      </c>
      <c r="F87" s="1">
        <v>0.4</v>
      </c>
      <c r="G87" s="1">
        <v>0</v>
      </c>
      <c r="H87" s="1">
        <v>0</v>
      </c>
      <c r="I87" s="1">
        <v>0</v>
      </c>
      <c r="J87" s="1"/>
      <c r="K87" s="1">
        <v>175</v>
      </c>
      <c r="L87" s="1">
        <v>742</v>
      </c>
      <c r="M87" s="1">
        <v>1106</v>
      </c>
      <c r="N87" s="1">
        <v>-6.1</v>
      </c>
      <c r="O87" s="1">
        <v>1.2</v>
      </c>
      <c r="P87" s="1">
        <v>0.4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662</v>
      </c>
      <c r="C88" s="1">
        <v>881</v>
      </c>
      <c r="D88" s="1">
        <v>-12.4</v>
      </c>
      <c r="E88" s="1">
        <v>2.1</v>
      </c>
      <c r="F88" s="1">
        <v>0.6</v>
      </c>
      <c r="G88" s="1">
        <v>0</v>
      </c>
      <c r="H88" s="1">
        <v>0</v>
      </c>
      <c r="I88" s="1">
        <v>0</v>
      </c>
      <c r="J88" s="1"/>
      <c r="K88" s="1">
        <v>200</v>
      </c>
      <c r="L88" s="1">
        <v>719</v>
      </c>
      <c r="M88" s="1">
        <v>1039</v>
      </c>
      <c r="N88" s="1">
        <v>-10.7</v>
      </c>
      <c r="O88" s="1">
        <v>1.8</v>
      </c>
      <c r="P88" s="1">
        <v>0.5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634</v>
      </c>
      <c r="C89" s="1">
        <v>807</v>
      </c>
      <c r="D89" s="1">
        <v>-18.899999999999999</v>
      </c>
      <c r="E89" s="1">
        <v>2.9</v>
      </c>
      <c r="F89" s="1">
        <v>0.8</v>
      </c>
      <c r="G89" s="1">
        <v>0</v>
      </c>
      <c r="H89" s="1">
        <v>0</v>
      </c>
      <c r="I89" s="1">
        <v>0</v>
      </c>
      <c r="J89" s="1"/>
      <c r="K89" s="1">
        <v>225</v>
      </c>
      <c r="L89" s="1">
        <v>697</v>
      </c>
      <c r="M89" s="1">
        <v>975</v>
      </c>
      <c r="N89" s="1">
        <v>-16.3</v>
      </c>
      <c r="O89" s="1">
        <v>2.5</v>
      </c>
      <c r="P89" s="1">
        <v>0.7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606</v>
      </c>
      <c r="C90" s="1">
        <v>738</v>
      </c>
      <c r="D90" s="1">
        <v>-27</v>
      </c>
      <c r="E90" s="1">
        <v>3.7</v>
      </c>
      <c r="F90" s="1">
        <v>1.1000000000000001</v>
      </c>
      <c r="G90" s="1">
        <v>0</v>
      </c>
      <c r="H90" s="1">
        <v>0</v>
      </c>
      <c r="I90" s="1">
        <v>0</v>
      </c>
      <c r="J90" s="1"/>
      <c r="K90" s="1">
        <v>250</v>
      </c>
      <c r="L90" s="1">
        <v>675</v>
      </c>
      <c r="M90" s="1">
        <v>914</v>
      </c>
      <c r="N90" s="1">
        <v>-23.2</v>
      </c>
      <c r="O90" s="1">
        <v>3.2</v>
      </c>
      <c r="P90" s="1">
        <v>0.9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579</v>
      </c>
      <c r="C91" s="1">
        <v>674</v>
      </c>
      <c r="D91" s="1">
        <v>-37.200000000000003</v>
      </c>
      <c r="E91" s="1">
        <v>4.5999999999999996</v>
      </c>
      <c r="F91" s="1">
        <v>1.4</v>
      </c>
      <c r="G91" s="1">
        <v>0</v>
      </c>
      <c r="H91" s="1">
        <v>0</v>
      </c>
      <c r="I91" s="1">
        <v>0</v>
      </c>
      <c r="J91" s="1"/>
      <c r="K91" s="1">
        <v>275</v>
      </c>
      <c r="L91" s="1">
        <v>653</v>
      </c>
      <c r="M91" s="1">
        <v>856</v>
      </c>
      <c r="N91" s="1">
        <v>-31.8</v>
      </c>
      <c r="O91" s="1">
        <v>4</v>
      </c>
      <c r="P91" s="1">
        <v>1.2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553</v>
      </c>
      <c r="C92" s="1">
        <v>615</v>
      </c>
      <c r="D92" s="1">
        <v>-49.1</v>
      </c>
      <c r="E92" s="1">
        <v>5.6</v>
      </c>
      <c r="F92" s="1">
        <v>1.6</v>
      </c>
      <c r="G92" s="1">
        <v>0</v>
      </c>
      <c r="H92" s="1">
        <v>0</v>
      </c>
      <c r="I92" s="1">
        <v>0</v>
      </c>
      <c r="J92" s="1"/>
      <c r="K92" s="1">
        <v>300</v>
      </c>
      <c r="L92" s="1">
        <v>631</v>
      </c>
      <c r="M92" s="1">
        <v>801</v>
      </c>
      <c r="N92" s="1">
        <v>-41.7</v>
      </c>
      <c r="O92" s="1">
        <v>4.8</v>
      </c>
      <c r="P92" s="1">
        <v>1.4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528</v>
      </c>
      <c r="C93" s="1">
        <v>560</v>
      </c>
      <c r="D93" s="1">
        <v>-63.2</v>
      </c>
      <c r="E93" s="1">
        <v>6.7</v>
      </c>
      <c r="F93" s="1">
        <v>1.9</v>
      </c>
      <c r="G93" s="1">
        <v>0</v>
      </c>
      <c r="H93" s="1">
        <v>0</v>
      </c>
      <c r="I93" s="1">
        <v>0</v>
      </c>
      <c r="J93" s="1"/>
      <c r="K93" s="1">
        <v>325</v>
      </c>
      <c r="L93" s="1">
        <v>611</v>
      </c>
      <c r="M93" s="1">
        <v>749</v>
      </c>
      <c r="N93" s="1">
        <v>-53.2</v>
      </c>
      <c r="O93" s="1">
        <v>5.6</v>
      </c>
      <c r="P93" s="1">
        <v>1.6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504</v>
      </c>
      <c r="C94" s="1">
        <v>510</v>
      </c>
      <c r="D94" s="1">
        <v>-80.3</v>
      </c>
      <c r="E94" s="1">
        <v>7.9</v>
      </c>
      <c r="F94" s="1">
        <v>2.2999999999999998</v>
      </c>
      <c r="G94" s="1">
        <v>0</v>
      </c>
      <c r="H94" s="1">
        <v>0</v>
      </c>
      <c r="I94" s="1">
        <v>0</v>
      </c>
      <c r="J94" s="1"/>
      <c r="K94" s="1">
        <v>350</v>
      </c>
      <c r="L94" s="1">
        <v>590</v>
      </c>
      <c r="M94" s="1">
        <v>699</v>
      </c>
      <c r="N94" s="1">
        <v>-66.900000000000006</v>
      </c>
      <c r="O94" s="1">
        <v>6.6</v>
      </c>
      <c r="P94" s="1">
        <v>1.9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480</v>
      </c>
      <c r="C95" s="1">
        <v>464</v>
      </c>
      <c r="D95" s="1">
        <v>-99.6</v>
      </c>
      <c r="E95" s="1">
        <v>9.1</v>
      </c>
      <c r="F95" s="1">
        <v>2.7</v>
      </c>
      <c r="G95" s="1">
        <v>0</v>
      </c>
      <c r="H95" s="1">
        <v>0</v>
      </c>
      <c r="I95" s="1">
        <v>0</v>
      </c>
      <c r="J95" s="1"/>
      <c r="K95" s="1">
        <v>375</v>
      </c>
      <c r="L95" s="1">
        <v>570</v>
      </c>
      <c r="M95" s="1">
        <v>653</v>
      </c>
      <c r="N95" s="1">
        <v>-82.1</v>
      </c>
      <c r="O95" s="1">
        <v>7.5</v>
      </c>
      <c r="P95" s="1">
        <v>2.2000000000000002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458</v>
      </c>
      <c r="C96" s="1">
        <v>421</v>
      </c>
      <c r="D96" s="1">
        <v>-121.8</v>
      </c>
      <c r="E96" s="1">
        <v>10.5</v>
      </c>
      <c r="F96" s="1">
        <v>3</v>
      </c>
      <c r="G96" s="1">
        <v>0</v>
      </c>
      <c r="H96" s="1">
        <v>0</v>
      </c>
      <c r="I96" s="1">
        <v>0</v>
      </c>
      <c r="J96" s="1"/>
      <c r="K96" s="1">
        <v>400</v>
      </c>
      <c r="L96" s="1">
        <v>550</v>
      </c>
      <c r="M96" s="1">
        <v>609</v>
      </c>
      <c r="N96" s="1">
        <v>-99.3</v>
      </c>
      <c r="O96" s="1">
        <v>8.5</v>
      </c>
      <c r="P96" s="1">
        <v>2.5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437</v>
      </c>
      <c r="C97" s="1">
        <v>383</v>
      </c>
      <c r="D97" s="1">
        <v>-148.30000000000001</v>
      </c>
      <c r="E97" s="1">
        <v>12</v>
      </c>
      <c r="F97" s="1">
        <v>3.5</v>
      </c>
      <c r="G97" s="1">
        <v>0</v>
      </c>
      <c r="H97" s="1">
        <v>0</v>
      </c>
      <c r="I97" s="1">
        <v>0</v>
      </c>
      <c r="J97" s="1"/>
      <c r="K97" s="1">
        <v>425</v>
      </c>
      <c r="L97" s="1">
        <v>531</v>
      </c>
      <c r="M97" s="1">
        <v>567</v>
      </c>
      <c r="N97" s="1">
        <v>-119.5</v>
      </c>
      <c r="O97" s="1">
        <v>9.6999999999999993</v>
      </c>
      <c r="P97" s="1">
        <v>2.8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417</v>
      </c>
      <c r="C98" s="1">
        <v>349</v>
      </c>
      <c r="D98" s="1">
        <v>-177.6</v>
      </c>
      <c r="E98" s="1">
        <v>13.6</v>
      </c>
      <c r="F98" s="1">
        <v>3.9</v>
      </c>
      <c r="G98" s="1">
        <v>0</v>
      </c>
      <c r="H98" s="1">
        <v>0</v>
      </c>
      <c r="I98" s="1">
        <v>0</v>
      </c>
      <c r="J98" s="1"/>
      <c r="K98" s="1">
        <v>450</v>
      </c>
      <c r="L98" s="1">
        <v>513</v>
      </c>
      <c r="M98" s="1">
        <v>528</v>
      </c>
      <c r="N98" s="1">
        <v>-141.30000000000001</v>
      </c>
      <c r="O98" s="1">
        <v>10.8</v>
      </c>
      <c r="P98" s="1">
        <v>3.1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398</v>
      </c>
      <c r="C99" s="1">
        <v>318</v>
      </c>
      <c r="D99" s="1">
        <v>-210.8</v>
      </c>
      <c r="E99" s="1">
        <v>15.3</v>
      </c>
      <c r="F99" s="1">
        <v>4.4000000000000004</v>
      </c>
      <c r="G99" s="1">
        <v>0</v>
      </c>
      <c r="H99" s="1">
        <v>0</v>
      </c>
      <c r="I99" s="1">
        <v>0</v>
      </c>
      <c r="J99" s="1"/>
      <c r="K99" s="1">
        <v>475</v>
      </c>
      <c r="L99" s="1">
        <v>495</v>
      </c>
      <c r="M99" s="1">
        <v>491</v>
      </c>
      <c r="N99" s="1">
        <v>-165.8</v>
      </c>
      <c r="O99" s="1">
        <v>12</v>
      </c>
      <c r="P99" s="1">
        <v>3.5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381</v>
      </c>
      <c r="C100" s="1">
        <v>292</v>
      </c>
      <c r="D100" s="1">
        <v>-248.5</v>
      </c>
      <c r="E100" s="1">
        <v>17.100000000000001</v>
      </c>
      <c r="F100" s="1">
        <v>5</v>
      </c>
      <c r="G100" s="1">
        <v>0</v>
      </c>
      <c r="H100" s="1">
        <v>0</v>
      </c>
      <c r="I100" s="1">
        <v>0</v>
      </c>
      <c r="J100" s="1"/>
      <c r="K100" s="1">
        <v>500</v>
      </c>
      <c r="L100" s="1">
        <v>478</v>
      </c>
      <c r="M100" s="1">
        <v>459</v>
      </c>
      <c r="N100" s="1">
        <v>-193</v>
      </c>
      <c r="O100" s="1">
        <v>13.3</v>
      </c>
      <c r="P100" s="1">
        <v>3.9</v>
      </c>
      <c r="Q100" s="1">
        <v>0</v>
      </c>
      <c r="R100" s="1">
        <v>0</v>
      </c>
      <c r="S100" s="1">
        <v>0</v>
      </c>
    </row>
    <row r="102" spans="1:19" x14ac:dyDescent="0.25">
      <c r="A102" t="s">
        <v>100</v>
      </c>
      <c r="K102" t="s">
        <v>99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33</v>
      </c>
      <c r="H103" t="s">
        <v>34</v>
      </c>
      <c r="I103" t="s">
        <v>35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33</v>
      </c>
      <c r="R103" t="s">
        <v>34</v>
      </c>
      <c r="S103" t="s">
        <v>35</v>
      </c>
    </row>
    <row r="104" spans="1:19" x14ac:dyDescent="0.25">
      <c r="A104" s="1">
        <v>0</v>
      </c>
      <c r="B104" s="1">
        <v>914</v>
      </c>
      <c r="C104" s="1">
        <v>1680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914</v>
      </c>
      <c r="M104" s="1">
        <v>1680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880</v>
      </c>
      <c r="C105" s="1">
        <v>1556</v>
      </c>
      <c r="D105" s="1">
        <v>-1.6</v>
      </c>
      <c r="E105" s="1">
        <v>2.2000000000000002</v>
      </c>
      <c r="F105" s="1">
        <v>0.6</v>
      </c>
      <c r="G105">
        <v>0</v>
      </c>
      <c r="H105">
        <v>0</v>
      </c>
      <c r="I105">
        <v>0</v>
      </c>
      <c r="K105" s="1">
        <v>25</v>
      </c>
      <c r="L105" s="1">
        <v>888</v>
      </c>
      <c r="M105" s="1">
        <v>1585</v>
      </c>
      <c r="N105" s="1">
        <v>-1.6</v>
      </c>
      <c r="O105" s="1">
        <v>2.2999999999999998</v>
      </c>
      <c r="P105" s="1">
        <v>0.7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847</v>
      </c>
      <c r="C106" s="1">
        <v>1440</v>
      </c>
      <c r="D106" s="1">
        <v>-0.1</v>
      </c>
      <c r="E106" s="1">
        <v>0.1</v>
      </c>
      <c r="F106" s="1">
        <v>0</v>
      </c>
      <c r="G106">
        <v>0</v>
      </c>
      <c r="H106">
        <v>0</v>
      </c>
      <c r="I106">
        <v>0</v>
      </c>
      <c r="K106" s="1">
        <v>50</v>
      </c>
      <c r="L106" s="1">
        <v>863</v>
      </c>
      <c r="M106" s="1">
        <v>1495</v>
      </c>
      <c r="N106" s="1">
        <v>-0.2</v>
      </c>
      <c r="O106" s="1">
        <v>0.1</v>
      </c>
      <c r="P106" s="1">
        <v>0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814</v>
      </c>
      <c r="C107" s="1">
        <v>1331</v>
      </c>
      <c r="D107" s="1">
        <v>0.4</v>
      </c>
      <c r="E107" s="1">
        <v>-0.2</v>
      </c>
      <c r="F107" s="1">
        <v>-0.1</v>
      </c>
      <c r="G107">
        <v>0</v>
      </c>
      <c r="H107">
        <v>0</v>
      </c>
      <c r="I107">
        <v>0</v>
      </c>
      <c r="K107" s="1">
        <v>75</v>
      </c>
      <c r="L107" s="1">
        <v>838</v>
      </c>
      <c r="M107" s="1">
        <v>1410</v>
      </c>
      <c r="N107" s="1">
        <v>0.3</v>
      </c>
      <c r="O107" s="1">
        <v>-0.2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782</v>
      </c>
      <c r="C108" s="10">
        <v>1229</v>
      </c>
      <c r="D108" s="10">
        <v>0</v>
      </c>
      <c r="E108" s="10">
        <v>0</v>
      </c>
      <c r="F108" s="10">
        <v>0</v>
      </c>
      <c r="G108">
        <v>0</v>
      </c>
      <c r="H108">
        <v>0</v>
      </c>
      <c r="I108">
        <v>0</v>
      </c>
      <c r="K108" s="1">
        <v>100</v>
      </c>
      <c r="L108" s="1">
        <v>813</v>
      </c>
      <c r="M108" s="1">
        <v>1329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751</v>
      </c>
      <c r="C109" s="1">
        <v>1134</v>
      </c>
      <c r="D109" s="1">
        <v>-1.4</v>
      </c>
      <c r="E109" s="1">
        <v>0.4</v>
      </c>
      <c r="F109" s="1">
        <v>0.1</v>
      </c>
      <c r="G109">
        <v>0</v>
      </c>
      <c r="H109">
        <v>0</v>
      </c>
      <c r="I109">
        <v>0</v>
      </c>
      <c r="K109" s="1">
        <v>125</v>
      </c>
      <c r="L109" s="1">
        <v>789</v>
      </c>
      <c r="M109" s="1">
        <v>1251</v>
      </c>
      <c r="N109" s="1">
        <v>-1.3</v>
      </c>
      <c r="O109" s="1">
        <v>0.3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721</v>
      </c>
      <c r="C110" s="1">
        <v>1044</v>
      </c>
      <c r="D110" s="1">
        <v>-4</v>
      </c>
      <c r="E110" s="1">
        <v>0.9</v>
      </c>
      <c r="F110" s="1">
        <v>0.3</v>
      </c>
      <c r="G110">
        <v>0</v>
      </c>
      <c r="H110">
        <v>0</v>
      </c>
      <c r="I110">
        <v>0</v>
      </c>
      <c r="K110" s="1">
        <v>150</v>
      </c>
      <c r="L110" s="1">
        <v>765</v>
      </c>
      <c r="M110" s="1">
        <v>1177</v>
      </c>
      <c r="N110" s="1">
        <v>-3.5</v>
      </c>
      <c r="O110" s="1">
        <v>0.8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691</v>
      </c>
      <c r="C111" s="1">
        <v>960</v>
      </c>
      <c r="D111" s="1">
        <v>-7.7</v>
      </c>
      <c r="E111" s="1">
        <v>1.5</v>
      </c>
      <c r="F111" s="1">
        <v>0.4</v>
      </c>
      <c r="G111">
        <v>0</v>
      </c>
      <c r="H111">
        <v>0</v>
      </c>
      <c r="I111">
        <v>0</v>
      </c>
      <c r="K111" s="1">
        <v>175</v>
      </c>
      <c r="L111" s="1">
        <v>742</v>
      </c>
      <c r="M111" s="1">
        <v>1106</v>
      </c>
      <c r="N111" s="1">
        <v>-6.9</v>
      </c>
      <c r="O111" s="1">
        <v>1.3</v>
      </c>
      <c r="P111" s="1">
        <v>0.4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662</v>
      </c>
      <c r="C112" s="1">
        <v>881</v>
      </c>
      <c r="D112" s="1">
        <v>-13</v>
      </c>
      <c r="E112" s="1">
        <v>2.2000000000000002</v>
      </c>
      <c r="F112" s="1">
        <v>0.6</v>
      </c>
      <c r="G112">
        <v>0</v>
      </c>
      <c r="H112">
        <v>0</v>
      </c>
      <c r="I112">
        <v>0</v>
      </c>
      <c r="K112" s="1">
        <v>200</v>
      </c>
      <c r="L112" s="1">
        <v>719</v>
      </c>
      <c r="M112" s="1">
        <v>1039</v>
      </c>
      <c r="N112" s="1">
        <v>-11.5</v>
      </c>
      <c r="O112" s="1">
        <v>2</v>
      </c>
      <c r="P112" s="1">
        <v>0.6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634</v>
      </c>
      <c r="C113" s="1">
        <v>807</v>
      </c>
      <c r="D113" s="1">
        <v>-19.5</v>
      </c>
      <c r="E113" s="1">
        <v>3</v>
      </c>
      <c r="F113" s="1">
        <v>0.9</v>
      </c>
      <c r="G113">
        <v>0</v>
      </c>
      <c r="H113">
        <v>0</v>
      </c>
      <c r="I113">
        <v>0</v>
      </c>
      <c r="K113" s="1">
        <v>225</v>
      </c>
      <c r="L113" s="1">
        <v>697</v>
      </c>
      <c r="M113" s="1">
        <v>975</v>
      </c>
      <c r="N113" s="1">
        <v>-17.2</v>
      </c>
      <c r="O113" s="1">
        <v>2.6</v>
      </c>
      <c r="P113" s="1">
        <v>0.8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606</v>
      </c>
      <c r="C114" s="1">
        <v>738</v>
      </c>
      <c r="D114" s="1">
        <v>-27.7</v>
      </c>
      <c r="E114" s="1">
        <v>3.8</v>
      </c>
      <c r="F114" s="1">
        <v>1.1000000000000001</v>
      </c>
      <c r="G114">
        <v>0</v>
      </c>
      <c r="H114">
        <v>0</v>
      </c>
      <c r="I114">
        <v>0</v>
      </c>
      <c r="K114" s="1">
        <v>250</v>
      </c>
      <c r="L114" s="1">
        <v>675</v>
      </c>
      <c r="M114" s="1">
        <v>914</v>
      </c>
      <c r="N114" s="1">
        <v>-24.2</v>
      </c>
      <c r="O114" s="1">
        <v>3.3</v>
      </c>
      <c r="P114" s="1">
        <v>1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579</v>
      </c>
      <c r="C115" s="1">
        <v>674</v>
      </c>
      <c r="D115" s="1">
        <v>-38.1</v>
      </c>
      <c r="E115" s="1">
        <v>4.8</v>
      </c>
      <c r="F115" s="1">
        <v>1.4</v>
      </c>
      <c r="G115">
        <v>0</v>
      </c>
      <c r="H115">
        <v>0</v>
      </c>
      <c r="I115">
        <v>0</v>
      </c>
      <c r="K115" s="1">
        <v>275</v>
      </c>
      <c r="L115" s="1">
        <v>653</v>
      </c>
      <c r="M115" s="1">
        <v>856</v>
      </c>
      <c r="N115" s="1">
        <v>-33</v>
      </c>
      <c r="O115" s="1">
        <v>4.0999999999999996</v>
      </c>
      <c r="P115" s="1">
        <v>1.2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553</v>
      </c>
      <c r="C116" s="1">
        <v>615</v>
      </c>
      <c r="D116" s="1">
        <v>-50</v>
      </c>
      <c r="E116" s="1">
        <v>5.7</v>
      </c>
      <c r="F116" s="1">
        <v>1.7</v>
      </c>
      <c r="G116">
        <v>0</v>
      </c>
      <c r="H116">
        <v>0</v>
      </c>
      <c r="I116">
        <v>0</v>
      </c>
      <c r="K116" s="1">
        <v>300</v>
      </c>
      <c r="L116" s="1">
        <v>631</v>
      </c>
      <c r="M116" s="1">
        <v>801</v>
      </c>
      <c r="N116" s="1">
        <v>-42.9</v>
      </c>
      <c r="O116" s="1">
        <v>4.9000000000000004</v>
      </c>
      <c r="P116" s="1">
        <v>1.4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528</v>
      </c>
      <c r="C117" s="1">
        <v>560</v>
      </c>
      <c r="D117" s="1">
        <v>-64.2</v>
      </c>
      <c r="E117" s="1">
        <v>6.8</v>
      </c>
      <c r="F117" s="1">
        <v>2</v>
      </c>
      <c r="G117">
        <v>0</v>
      </c>
      <c r="H117">
        <v>0</v>
      </c>
      <c r="I117">
        <v>0</v>
      </c>
      <c r="K117" s="1">
        <v>325</v>
      </c>
      <c r="L117" s="1">
        <v>611</v>
      </c>
      <c r="M117" s="1">
        <v>749</v>
      </c>
      <c r="N117" s="1">
        <v>-54.5</v>
      </c>
      <c r="O117" s="1">
        <v>5.8</v>
      </c>
      <c r="P117" s="1">
        <v>1.7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504</v>
      </c>
      <c r="C118" s="1">
        <v>510</v>
      </c>
      <c r="D118" s="1">
        <v>-81.400000000000006</v>
      </c>
      <c r="E118" s="1">
        <v>8</v>
      </c>
      <c r="F118" s="1">
        <v>2.2999999999999998</v>
      </c>
      <c r="G118">
        <v>0</v>
      </c>
      <c r="H118">
        <v>0</v>
      </c>
      <c r="I118">
        <v>0</v>
      </c>
      <c r="K118" s="1">
        <v>350</v>
      </c>
      <c r="L118" s="1">
        <v>590</v>
      </c>
      <c r="M118" s="1">
        <v>699</v>
      </c>
      <c r="N118" s="1">
        <v>-68.400000000000006</v>
      </c>
      <c r="O118" s="1">
        <v>6.7</v>
      </c>
      <c r="P118" s="1">
        <v>2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480</v>
      </c>
      <c r="C119" s="1">
        <v>464</v>
      </c>
      <c r="D119" s="1">
        <v>-100.7</v>
      </c>
      <c r="E119" s="1">
        <v>9.1999999999999993</v>
      </c>
      <c r="F119" s="1">
        <v>2.7</v>
      </c>
      <c r="G119">
        <v>0</v>
      </c>
      <c r="H119">
        <v>0</v>
      </c>
      <c r="I119">
        <v>0</v>
      </c>
      <c r="K119" s="1">
        <v>375</v>
      </c>
      <c r="L119" s="1">
        <v>570</v>
      </c>
      <c r="M119" s="1">
        <v>653</v>
      </c>
      <c r="N119" s="1">
        <v>-83.6</v>
      </c>
      <c r="O119" s="1">
        <v>7.7</v>
      </c>
      <c r="P119" s="1">
        <v>2.2000000000000002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458</v>
      </c>
      <c r="C120" s="1">
        <v>421</v>
      </c>
      <c r="D120" s="1">
        <v>-123</v>
      </c>
      <c r="E120" s="1">
        <v>10.6</v>
      </c>
      <c r="F120" s="1">
        <v>3.1</v>
      </c>
      <c r="G120">
        <v>0</v>
      </c>
      <c r="H120">
        <v>0</v>
      </c>
      <c r="I120">
        <v>0</v>
      </c>
      <c r="K120" s="1">
        <v>400</v>
      </c>
      <c r="L120" s="1">
        <v>550</v>
      </c>
      <c r="M120" s="1">
        <v>609</v>
      </c>
      <c r="N120" s="1">
        <v>-101</v>
      </c>
      <c r="O120" s="1">
        <v>8.6999999999999993</v>
      </c>
      <c r="P120" s="1">
        <v>2.5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437</v>
      </c>
      <c r="C121" s="1">
        <v>383</v>
      </c>
      <c r="D121" s="1">
        <v>-149.6</v>
      </c>
      <c r="E121" s="1">
        <v>12.1</v>
      </c>
      <c r="F121" s="1">
        <v>3.5</v>
      </c>
      <c r="G121">
        <v>0</v>
      </c>
      <c r="H121">
        <v>0</v>
      </c>
      <c r="I121">
        <v>0</v>
      </c>
      <c r="K121" s="1">
        <v>425</v>
      </c>
      <c r="L121" s="1">
        <v>531</v>
      </c>
      <c r="M121" s="1">
        <v>567</v>
      </c>
      <c r="N121" s="1">
        <v>-121.2</v>
      </c>
      <c r="O121" s="1">
        <v>9.8000000000000007</v>
      </c>
      <c r="P121" s="1">
        <v>2.9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417</v>
      </c>
      <c r="C122" s="1">
        <v>349</v>
      </c>
      <c r="D122" s="1">
        <v>-178.9</v>
      </c>
      <c r="E122" s="1">
        <v>13.7</v>
      </c>
      <c r="F122" s="1">
        <v>4</v>
      </c>
      <c r="G122">
        <v>0</v>
      </c>
      <c r="H122">
        <v>0</v>
      </c>
      <c r="I122">
        <v>0</v>
      </c>
      <c r="K122" s="1">
        <v>450</v>
      </c>
      <c r="L122" s="1">
        <v>513</v>
      </c>
      <c r="M122" s="1">
        <v>528</v>
      </c>
      <c r="N122" s="1">
        <v>-143.19999999999999</v>
      </c>
      <c r="O122" s="1">
        <v>10.9</v>
      </c>
      <c r="P122" s="1">
        <v>3.2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398</v>
      </c>
      <c r="C123" s="1">
        <v>318</v>
      </c>
      <c r="D123" s="1">
        <v>-212.3</v>
      </c>
      <c r="E123" s="1">
        <v>15.4</v>
      </c>
      <c r="F123" s="1">
        <v>4.5</v>
      </c>
      <c r="G123">
        <v>0</v>
      </c>
      <c r="H123">
        <v>0</v>
      </c>
      <c r="I123">
        <v>0</v>
      </c>
      <c r="K123" s="1">
        <v>475</v>
      </c>
      <c r="L123" s="1">
        <v>495</v>
      </c>
      <c r="M123" s="1">
        <v>491</v>
      </c>
      <c r="N123" s="1">
        <v>-167.7</v>
      </c>
      <c r="O123" s="1">
        <v>12.1</v>
      </c>
      <c r="P123" s="1">
        <v>3.5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381</v>
      </c>
      <c r="C124" s="1">
        <v>292</v>
      </c>
      <c r="D124" s="1">
        <v>-250</v>
      </c>
      <c r="E124" s="1">
        <v>17.2</v>
      </c>
      <c r="F124" s="1">
        <v>5</v>
      </c>
      <c r="G124">
        <v>0</v>
      </c>
      <c r="H124">
        <v>0</v>
      </c>
      <c r="I124">
        <v>0</v>
      </c>
      <c r="K124" s="1">
        <v>500</v>
      </c>
      <c r="L124" s="1">
        <v>478</v>
      </c>
      <c r="M124" s="1">
        <v>459</v>
      </c>
      <c r="N124" s="1">
        <v>-195</v>
      </c>
      <c r="O124" s="1">
        <v>13.4</v>
      </c>
      <c r="P124" s="1">
        <v>3.9</v>
      </c>
      <c r="Q124" s="1">
        <v>0</v>
      </c>
      <c r="R124" s="1">
        <v>0</v>
      </c>
      <c r="S124" s="1">
        <v>0</v>
      </c>
    </row>
    <row r="126" spans="1:19" x14ac:dyDescent="0.25">
      <c r="A126" t="s">
        <v>102</v>
      </c>
      <c r="K126" t="s">
        <v>101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33</v>
      </c>
      <c r="H127" t="s">
        <v>34</v>
      </c>
      <c r="I127" t="s">
        <v>35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33</v>
      </c>
      <c r="R127" t="s">
        <v>34</v>
      </c>
      <c r="S127" t="s">
        <v>35</v>
      </c>
    </row>
    <row r="128" spans="1:19" x14ac:dyDescent="0.25">
      <c r="A128" s="1">
        <v>0</v>
      </c>
      <c r="B128" s="1">
        <v>914</v>
      </c>
      <c r="C128" s="1">
        <v>1680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914</v>
      </c>
      <c r="M128" s="1">
        <v>1680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880</v>
      </c>
      <c r="C129" s="1">
        <v>1556</v>
      </c>
      <c r="D129" s="1">
        <v>-0.9</v>
      </c>
      <c r="E129" s="1">
        <v>1.3</v>
      </c>
      <c r="F129" s="1">
        <v>0.4</v>
      </c>
      <c r="G129">
        <v>0</v>
      </c>
      <c r="H129">
        <v>0</v>
      </c>
      <c r="I129">
        <v>0</v>
      </c>
      <c r="K129" s="1">
        <v>25</v>
      </c>
      <c r="L129" s="1">
        <v>888</v>
      </c>
      <c r="M129" s="1">
        <v>1585</v>
      </c>
      <c r="N129" s="1">
        <v>-1.1000000000000001</v>
      </c>
      <c r="O129" s="1">
        <v>1.5</v>
      </c>
      <c r="P129" s="1">
        <v>0.4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847</v>
      </c>
      <c r="C130" s="1">
        <v>1440</v>
      </c>
      <c r="D130" s="1">
        <v>1.2</v>
      </c>
      <c r="E130" s="1">
        <v>-0.8</v>
      </c>
      <c r="F130" s="1">
        <v>-0.2</v>
      </c>
      <c r="G130">
        <v>0</v>
      </c>
      <c r="H130">
        <v>0</v>
      </c>
      <c r="I130">
        <v>0</v>
      </c>
      <c r="K130" s="1">
        <v>50</v>
      </c>
      <c r="L130" s="1">
        <v>863</v>
      </c>
      <c r="M130" s="1">
        <v>1495</v>
      </c>
      <c r="N130" s="1">
        <v>1</v>
      </c>
      <c r="O130" s="1">
        <v>-0.7</v>
      </c>
      <c r="P130" s="1">
        <v>-0.2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814</v>
      </c>
      <c r="C131" s="1">
        <v>1331</v>
      </c>
      <c r="D131" s="1">
        <v>2.4</v>
      </c>
      <c r="E131" s="1">
        <v>-1.1000000000000001</v>
      </c>
      <c r="F131" s="1">
        <v>-0.3</v>
      </c>
      <c r="G131">
        <v>0</v>
      </c>
      <c r="H131">
        <v>0</v>
      </c>
      <c r="I131">
        <v>0</v>
      </c>
      <c r="K131" s="1">
        <v>75</v>
      </c>
      <c r="L131" s="1">
        <v>838</v>
      </c>
      <c r="M131" s="1">
        <v>1410</v>
      </c>
      <c r="N131" s="1">
        <v>2.1</v>
      </c>
      <c r="O131" s="1">
        <v>-1</v>
      </c>
      <c r="P131" s="1">
        <v>-0.3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782</v>
      </c>
      <c r="C132" s="1">
        <v>1229</v>
      </c>
      <c r="D132" s="1">
        <v>2.7</v>
      </c>
      <c r="E132" s="1">
        <v>-0.9</v>
      </c>
      <c r="F132" s="1">
        <v>-0.3</v>
      </c>
      <c r="G132">
        <v>0</v>
      </c>
      <c r="H132">
        <v>0</v>
      </c>
      <c r="I132">
        <v>0</v>
      </c>
      <c r="K132" s="1">
        <v>100</v>
      </c>
      <c r="L132" s="1">
        <v>813</v>
      </c>
      <c r="M132" s="1">
        <v>1329</v>
      </c>
      <c r="N132" s="1">
        <v>2.4</v>
      </c>
      <c r="O132" s="1">
        <v>-0.8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751</v>
      </c>
      <c r="C133" s="1">
        <v>1134</v>
      </c>
      <c r="D133" s="1">
        <v>1.9</v>
      </c>
      <c r="E133" s="1">
        <v>-0.5</v>
      </c>
      <c r="F133" s="1">
        <v>-0.2</v>
      </c>
      <c r="G133">
        <v>0</v>
      </c>
      <c r="H133">
        <v>0</v>
      </c>
      <c r="I133">
        <v>0</v>
      </c>
      <c r="K133" s="1">
        <v>125</v>
      </c>
      <c r="L133" s="1">
        <v>789</v>
      </c>
      <c r="M133" s="1">
        <v>1251</v>
      </c>
      <c r="N133" s="1">
        <v>1.7</v>
      </c>
      <c r="O133" s="1">
        <v>-0.5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721</v>
      </c>
      <c r="C134" s="10">
        <v>1044</v>
      </c>
      <c r="D134" s="10">
        <v>0</v>
      </c>
      <c r="E134" s="10">
        <v>0</v>
      </c>
      <c r="F134" s="10">
        <v>0</v>
      </c>
      <c r="G134">
        <v>0</v>
      </c>
      <c r="H134">
        <v>0</v>
      </c>
      <c r="I134">
        <v>0</v>
      </c>
      <c r="K134" s="1">
        <v>150</v>
      </c>
      <c r="L134" s="1">
        <v>765</v>
      </c>
      <c r="M134" s="1">
        <v>1177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691</v>
      </c>
      <c r="C135" s="1">
        <v>960</v>
      </c>
      <c r="D135" s="1">
        <v>-3.1</v>
      </c>
      <c r="E135" s="1">
        <v>0.6</v>
      </c>
      <c r="F135" s="1">
        <v>0.2</v>
      </c>
      <c r="G135">
        <v>0</v>
      </c>
      <c r="H135">
        <v>0</v>
      </c>
      <c r="I135">
        <v>0</v>
      </c>
      <c r="K135" s="1">
        <v>175</v>
      </c>
      <c r="L135" s="1">
        <v>742</v>
      </c>
      <c r="M135" s="1">
        <v>1106</v>
      </c>
      <c r="N135" s="1">
        <v>-2.7</v>
      </c>
      <c r="O135" s="1">
        <v>0.5</v>
      </c>
      <c r="P135" s="1">
        <v>0.2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662</v>
      </c>
      <c r="C136" s="1">
        <v>881</v>
      </c>
      <c r="D136" s="1">
        <v>-7.7</v>
      </c>
      <c r="E136" s="1">
        <v>1.3</v>
      </c>
      <c r="F136" s="1">
        <v>0.4</v>
      </c>
      <c r="G136">
        <v>0</v>
      </c>
      <c r="H136">
        <v>0</v>
      </c>
      <c r="I136">
        <v>0</v>
      </c>
      <c r="K136" s="1">
        <v>200</v>
      </c>
      <c r="L136" s="1">
        <v>719</v>
      </c>
      <c r="M136" s="1">
        <v>1039</v>
      </c>
      <c r="N136" s="1">
        <v>-6.8</v>
      </c>
      <c r="O136" s="1">
        <v>1.2</v>
      </c>
      <c r="P136" s="1">
        <v>0.3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634</v>
      </c>
      <c r="C137" s="1">
        <v>807</v>
      </c>
      <c r="D137" s="1">
        <v>-13.6</v>
      </c>
      <c r="E137" s="1">
        <v>2.1</v>
      </c>
      <c r="F137" s="1">
        <v>0.6</v>
      </c>
      <c r="G137">
        <v>0</v>
      </c>
      <c r="H137">
        <v>0</v>
      </c>
      <c r="I137">
        <v>0</v>
      </c>
      <c r="K137" s="1">
        <v>225</v>
      </c>
      <c r="L137" s="1">
        <v>697</v>
      </c>
      <c r="M137" s="1">
        <v>975</v>
      </c>
      <c r="N137" s="1">
        <v>-11.9</v>
      </c>
      <c r="O137" s="1">
        <v>1.8</v>
      </c>
      <c r="P137" s="1">
        <v>0.5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606</v>
      </c>
      <c r="C138" s="1">
        <v>738</v>
      </c>
      <c r="D138" s="1">
        <v>-21.1</v>
      </c>
      <c r="E138" s="1">
        <v>2.9</v>
      </c>
      <c r="F138" s="1">
        <v>0.8</v>
      </c>
      <c r="G138">
        <v>0</v>
      </c>
      <c r="H138">
        <v>0</v>
      </c>
      <c r="I138">
        <v>0</v>
      </c>
      <c r="K138" s="1">
        <v>250</v>
      </c>
      <c r="L138" s="1">
        <v>675</v>
      </c>
      <c r="M138" s="1">
        <v>914</v>
      </c>
      <c r="N138" s="1">
        <v>-18.3</v>
      </c>
      <c r="O138" s="1">
        <v>2.5</v>
      </c>
      <c r="P138" s="1">
        <v>0.7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579</v>
      </c>
      <c r="C139" s="1">
        <v>674</v>
      </c>
      <c r="D139" s="1">
        <v>-30.8</v>
      </c>
      <c r="E139" s="1">
        <v>3.8</v>
      </c>
      <c r="F139" s="1">
        <v>1.1000000000000001</v>
      </c>
      <c r="G139">
        <v>0</v>
      </c>
      <c r="H139">
        <v>0</v>
      </c>
      <c r="I139">
        <v>0</v>
      </c>
      <c r="K139" s="1">
        <v>275</v>
      </c>
      <c r="L139" s="1">
        <v>653</v>
      </c>
      <c r="M139" s="1">
        <v>856</v>
      </c>
      <c r="N139" s="1">
        <v>-26.5</v>
      </c>
      <c r="O139" s="1">
        <v>3.3</v>
      </c>
      <c r="P139" s="1">
        <v>1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553</v>
      </c>
      <c r="C140" s="1">
        <v>615</v>
      </c>
      <c r="D140" s="1">
        <v>-42.1</v>
      </c>
      <c r="E140" s="1">
        <v>4.8</v>
      </c>
      <c r="F140" s="1">
        <v>1.4</v>
      </c>
      <c r="G140">
        <v>0</v>
      </c>
      <c r="H140">
        <v>0</v>
      </c>
      <c r="I140">
        <v>0</v>
      </c>
      <c r="K140" s="1">
        <v>300</v>
      </c>
      <c r="L140" s="1">
        <v>631</v>
      </c>
      <c r="M140" s="1">
        <v>801</v>
      </c>
      <c r="N140" s="1">
        <v>-35.9</v>
      </c>
      <c r="O140" s="1">
        <v>4.0999999999999996</v>
      </c>
      <c r="P140" s="1">
        <v>1.2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528</v>
      </c>
      <c r="C141" s="1">
        <v>560</v>
      </c>
      <c r="D141" s="1">
        <v>-55.6</v>
      </c>
      <c r="E141" s="1">
        <v>5.9</v>
      </c>
      <c r="F141" s="1">
        <v>1.7</v>
      </c>
      <c r="G141">
        <v>0</v>
      </c>
      <c r="H141">
        <v>0</v>
      </c>
      <c r="I141">
        <v>0</v>
      </c>
      <c r="K141" s="1">
        <v>325</v>
      </c>
      <c r="L141" s="1">
        <v>611</v>
      </c>
      <c r="M141" s="1">
        <v>749</v>
      </c>
      <c r="N141" s="1">
        <v>-46.9</v>
      </c>
      <c r="O141" s="1">
        <v>5</v>
      </c>
      <c r="P141" s="1">
        <v>1.4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504</v>
      </c>
      <c r="C142" s="1">
        <v>510</v>
      </c>
      <c r="D142" s="1">
        <v>-72.099999999999994</v>
      </c>
      <c r="E142" s="1">
        <v>7.1</v>
      </c>
      <c r="F142" s="1">
        <v>2.1</v>
      </c>
      <c r="G142">
        <v>0</v>
      </c>
      <c r="H142">
        <v>0</v>
      </c>
      <c r="I142">
        <v>0</v>
      </c>
      <c r="K142" s="1">
        <v>350</v>
      </c>
      <c r="L142" s="1">
        <v>590</v>
      </c>
      <c r="M142" s="1">
        <v>699</v>
      </c>
      <c r="N142" s="1">
        <v>-60.1</v>
      </c>
      <c r="O142" s="1">
        <v>5.9</v>
      </c>
      <c r="P142" s="1">
        <v>1.7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480</v>
      </c>
      <c r="C143" s="1">
        <v>464</v>
      </c>
      <c r="D143" s="1">
        <v>-90.8</v>
      </c>
      <c r="E143" s="1">
        <v>8.3000000000000007</v>
      </c>
      <c r="F143" s="1">
        <v>2.4</v>
      </c>
      <c r="G143">
        <v>0</v>
      </c>
      <c r="H143">
        <v>0</v>
      </c>
      <c r="I143">
        <v>0</v>
      </c>
      <c r="K143" s="1">
        <v>375</v>
      </c>
      <c r="L143" s="1">
        <v>570</v>
      </c>
      <c r="M143" s="1">
        <v>653</v>
      </c>
      <c r="N143" s="1">
        <v>-74.8</v>
      </c>
      <c r="O143" s="1">
        <v>6.9</v>
      </c>
      <c r="P143" s="1">
        <v>2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458</v>
      </c>
      <c r="C144" s="1">
        <v>421</v>
      </c>
      <c r="D144" s="1">
        <v>-112.4</v>
      </c>
      <c r="E144" s="1">
        <v>9.6999999999999993</v>
      </c>
      <c r="F144" s="1">
        <v>2.8</v>
      </c>
      <c r="G144">
        <v>0</v>
      </c>
      <c r="H144">
        <v>0</v>
      </c>
      <c r="I144">
        <v>0</v>
      </c>
      <c r="K144" s="1">
        <v>400</v>
      </c>
      <c r="L144" s="1">
        <v>550</v>
      </c>
      <c r="M144" s="1">
        <v>609</v>
      </c>
      <c r="N144" s="1">
        <v>-91.6</v>
      </c>
      <c r="O144" s="1">
        <v>7.9</v>
      </c>
      <c r="P144" s="1">
        <v>2.2999999999999998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437</v>
      </c>
      <c r="C145" s="1">
        <v>383</v>
      </c>
      <c r="D145" s="1">
        <v>-138.30000000000001</v>
      </c>
      <c r="E145" s="1">
        <v>11.2</v>
      </c>
      <c r="F145" s="1">
        <v>3.3</v>
      </c>
      <c r="G145">
        <v>0</v>
      </c>
      <c r="H145">
        <v>0</v>
      </c>
      <c r="I145">
        <v>0</v>
      </c>
      <c r="K145" s="1">
        <v>425</v>
      </c>
      <c r="L145" s="1">
        <v>531</v>
      </c>
      <c r="M145" s="1">
        <v>567</v>
      </c>
      <c r="N145" s="1">
        <v>-111.2</v>
      </c>
      <c r="O145" s="1">
        <v>9</v>
      </c>
      <c r="P145" s="1">
        <v>2.6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417</v>
      </c>
      <c r="C146" s="1">
        <v>349</v>
      </c>
      <c r="D146" s="1">
        <v>-167</v>
      </c>
      <c r="E146" s="1">
        <v>12.8</v>
      </c>
      <c r="F146" s="1">
        <v>3.7</v>
      </c>
      <c r="G146">
        <v>0</v>
      </c>
      <c r="H146">
        <v>0</v>
      </c>
      <c r="I146">
        <v>0</v>
      </c>
      <c r="K146" s="1">
        <v>450</v>
      </c>
      <c r="L146" s="1">
        <v>513</v>
      </c>
      <c r="M146" s="1">
        <v>528</v>
      </c>
      <c r="N146" s="1">
        <v>-132.6</v>
      </c>
      <c r="O146" s="1">
        <v>10.1</v>
      </c>
      <c r="P146" s="1">
        <v>2.9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398</v>
      </c>
      <c r="C147" s="1">
        <v>318</v>
      </c>
      <c r="D147" s="1">
        <v>-199.7</v>
      </c>
      <c r="E147" s="1">
        <v>14.5</v>
      </c>
      <c r="F147" s="1">
        <v>4.2</v>
      </c>
      <c r="G147">
        <v>0</v>
      </c>
      <c r="H147">
        <v>0</v>
      </c>
      <c r="I147">
        <v>0</v>
      </c>
      <c r="K147" s="1">
        <v>475</v>
      </c>
      <c r="L147" s="1">
        <v>495</v>
      </c>
      <c r="M147" s="1">
        <v>491</v>
      </c>
      <c r="N147" s="1">
        <v>-156.6</v>
      </c>
      <c r="O147" s="1">
        <v>11.3</v>
      </c>
      <c r="P147" s="1">
        <v>3.3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381</v>
      </c>
      <c r="C148" s="1">
        <v>292</v>
      </c>
      <c r="D148" s="1">
        <v>-236.8</v>
      </c>
      <c r="E148" s="1">
        <v>16.3</v>
      </c>
      <c r="F148" s="1">
        <v>4.7</v>
      </c>
      <c r="G148">
        <v>0</v>
      </c>
      <c r="H148">
        <v>0</v>
      </c>
      <c r="I148">
        <v>0</v>
      </c>
      <c r="K148" s="1">
        <v>500</v>
      </c>
      <c r="L148" s="1">
        <v>478</v>
      </c>
      <c r="M148" s="1">
        <v>459</v>
      </c>
      <c r="N148" s="1">
        <v>-183.3</v>
      </c>
      <c r="O148" s="1">
        <v>12.6</v>
      </c>
      <c r="P148" s="1">
        <v>3.7</v>
      </c>
      <c r="Q148" s="1">
        <v>0</v>
      </c>
      <c r="R148" s="1">
        <v>0</v>
      </c>
      <c r="S148" s="1">
        <v>0</v>
      </c>
    </row>
    <row r="150" spans="1:19" x14ac:dyDescent="0.25">
      <c r="A150" t="s">
        <v>104</v>
      </c>
      <c r="K150" t="s">
        <v>103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33</v>
      </c>
      <c r="H151" t="s">
        <v>34</v>
      </c>
      <c r="I151" t="s">
        <v>35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33</v>
      </c>
      <c r="R151" t="s">
        <v>34</v>
      </c>
      <c r="S151" t="s">
        <v>35</v>
      </c>
    </row>
    <row r="152" spans="1:19" x14ac:dyDescent="0.25">
      <c r="A152" s="1">
        <v>0</v>
      </c>
      <c r="B152" s="1">
        <v>914</v>
      </c>
      <c r="C152" s="1">
        <v>1680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914</v>
      </c>
      <c r="M152" s="1">
        <v>1680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880</v>
      </c>
      <c r="C153" s="1">
        <v>1556</v>
      </c>
      <c r="D153" s="1">
        <v>0</v>
      </c>
      <c r="E153" s="1">
        <v>0</v>
      </c>
      <c r="F153" s="1">
        <v>0</v>
      </c>
      <c r="G153">
        <v>0</v>
      </c>
      <c r="H153">
        <v>0</v>
      </c>
      <c r="I153">
        <v>0</v>
      </c>
      <c r="K153" s="1">
        <v>25</v>
      </c>
      <c r="L153" s="1">
        <v>888</v>
      </c>
      <c r="M153" s="1">
        <v>1585</v>
      </c>
      <c r="N153" s="1">
        <v>-0.2</v>
      </c>
      <c r="O153" s="1">
        <v>0.3</v>
      </c>
      <c r="P153" s="1">
        <v>0.1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847</v>
      </c>
      <c r="C154" s="1">
        <v>1440</v>
      </c>
      <c r="D154" s="1">
        <v>3.1</v>
      </c>
      <c r="E154" s="1">
        <v>-2.1</v>
      </c>
      <c r="F154" s="1">
        <v>-0.6</v>
      </c>
      <c r="G154">
        <v>0</v>
      </c>
      <c r="H154">
        <v>0</v>
      </c>
      <c r="I154">
        <v>0</v>
      </c>
      <c r="K154" s="1">
        <v>50</v>
      </c>
      <c r="L154" s="1">
        <v>863</v>
      </c>
      <c r="M154" s="1">
        <v>1495</v>
      </c>
      <c r="N154" s="1">
        <v>2.7</v>
      </c>
      <c r="O154" s="1">
        <v>-1.8</v>
      </c>
      <c r="P154" s="1">
        <v>-0.5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814</v>
      </c>
      <c r="C155" s="1">
        <v>1331</v>
      </c>
      <c r="D155" s="1">
        <v>5.3</v>
      </c>
      <c r="E155" s="1">
        <v>-2.4</v>
      </c>
      <c r="F155" s="1">
        <v>-0.7</v>
      </c>
      <c r="G155">
        <v>0</v>
      </c>
      <c r="H155">
        <v>0</v>
      </c>
      <c r="I155">
        <v>0</v>
      </c>
      <c r="K155" s="1">
        <v>75</v>
      </c>
      <c r="L155" s="1">
        <v>838</v>
      </c>
      <c r="M155" s="1">
        <v>1410</v>
      </c>
      <c r="N155" s="1">
        <v>4.7</v>
      </c>
      <c r="O155" s="1">
        <v>-2.1</v>
      </c>
      <c r="P155" s="1">
        <v>-0.6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782</v>
      </c>
      <c r="C156" s="1">
        <v>1229</v>
      </c>
      <c r="D156" s="1">
        <v>6.5</v>
      </c>
      <c r="E156" s="1">
        <v>-2.2000000000000002</v>
      </c>
      <c r="F156" s="1">
        <v>-0.6</v>
      </c>
      <c r="G156">
        <v>0</v>
      </c>
      <c r="H156">
        <v>0</v>
      </c>
      <c r="I156">
        <v>0</v>
      </c>
      <c r="K156" s="1">
        <v>100</v>
      </c>
      <c r="L156" s="1">
        <v>813</v>
      </c>
      <c r="M156" s="1">
        <v>1329</v>
      </c>
      <c r="N156" s="1">
        <v>5.8</v>
      </c>
      <c r="O156" s="1">
        <v>-2</v>
      </c>
      <c r="P156" s="1">
        <v>-0.6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751</v>
      </c>
      <c r="C157" s="1">
        <v>1134</v>
      </c>
      <c r="D157" s="1">
        <v>6.7</v>
      </c>
      <c r="E157" s="1">
        <v>-1.8</v>
      </c>
      <c r="F157" s="1">
        <v>-0.5</v>
      </c>
      <c r="G157">
        <v>0</v>
      </c>
      <c r="H157">
        <v>0</v>
      </c>
      <c r="I157">
        <v>0</v>
      </c>
      <c r="K157" s="1">
        <v>125</v>
      </c>
      <c r="L157" s="1">
        <v>789</v>
      </c>
      <c r="M157" s="1">
        <v>1251</v>
      </c>
      <c r="N157" s="1">
        <v>5.9</v>
      </c>
      <c r="O157" s="1">
        <v>-1.6</v>
      </c>
      <c r="P157" s="1">
        <v>-0.5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721</v>
      </c>
      <c r="C158" s="1">
        <v>1044</v>
      </c>
      <c r="D158" s="1">
        <v>5.7</v>
      </c>
      <c r="E158" s="1">
        <v>-1.3</v>
      </c>
      <c r="F158" s="1">
        <v>-0.4</v>
      </c>
      <c r="G158">
        <v>0</v>
      </c>
      <c r="H158">
        <v>0</v>
      </c>
      <c r="I158">
        <v>0</v>
      </c>
      <c r="K158" s="1">
        <v>150</v>
      </c>
      <c r="L158" s="1">
        <v>765</v>
      </c>
      <c r="M158" s="1">
        <v>1177</v>
      </c>
      <c r="N158" s="1">
        <v>5.0999999999999996</v>
      </c>
      <c r="O158" s="1">
        <v>-1.2</v>
      </c>
      <c r="P158" s="1">
        <v>-0.3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691</v>
      </c>
      <c r="C159" s="1">
        <v>960</v>
      </c>
      <c r="D159" s="1">
        <v>3.6</v>
      </c>
      <c r="E159" s="1">
        <v>-0.7</v>
      </c>
      <c r="F159" s="1">
        <v>-0.2</v>
      </c>
      <c r="G159">
        <v>0</v>
      </c>
      <c r="H159">
        <v>0</v>
      </c>
      <c r="I159">
        <v>0</v>
      </c>
      <c r="K159" s="1">
        <v>175</v>
      </c>
      <c r="L159" s="1">
        <v>742</v>
      </c>
      <c r="M159" s="1">
        <v>1106</v>
      </c>
      <c r="N159" s="1">
        <v>3.2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662</v>
      </c>
      <c r="C160" s="10">
        <v>881</v>
      </c>
      <c r="D160" s="10">
        <v>0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>
        <v>200</v>
      </c>
      <c r="L160" s="1">
        <v>719</v>
      </c>
      <c r="M160" s="1">
        <v>1039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634</v>
      </c>
      <c r="C161" s="1">
        <v>807</v>
      </c>
      <c r="D161" s="1">
        <v>-5</v>
      </c>
      <c r="E161" s="1">
        <v>0.8</v>
      </c>
      <c r="F161" s="1">
        <v>0.2</v>
      </c>
      <c r="G161">
        <v>0</v>
      </c>
      <c r="H161">
        <v>0</v>
      </c>
      <c r="I161">
        <v>0</v>
      </c>
      <c r="K161" s="1">
        <v>225</v>
      </c>
      <c r="L161" s="1">
        <v>697</v>
      </c>
      <c r="M161" s="1">
        <v>975</v>
      </c>
      <c r="N161" s="1">
        <v>-4.3</v>
      </c>
      <c r="O161" s="1">
        <v>0.7</v>
      </c>
      <c r="P161" s="1">
        <v>0.2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606</v>
      </c>
      <c r="C162" s="1">
        <v>738</v>
      </c>
      <c r="D162" s="1">
        <v>-11.6</v>
      </c>
      <c r="E162" s="1">
        <v>1.6</v>
      </c>
      <c r="F162" s="1">
        <v>0.5</v>
      </c>
      <c r="G162">
        <v>0</v>
      </c>
      <c r="H162">
        <v>0</v>
      </c>
      <c r="I162">
        <v>0</v>
      </c>
      <c r="K162" s="1">
        <v>250</v>
      </c>
      <c r="L162" s="1">
        <v>675</v>
      </c>
      <c r="M162" s="1">
        <v>914</v>
      </c>
      <c r="N162" s="1">
        <v>-9.9</v>
      </c>
      <c r="O162" s="1">
        <v>1.4</v>
      </c>
      <c r="P162" s="1">
        <v>0.4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579</v>
      </c>
      <c r="C163" s="1">
        <v>674</v>
      </c>
      <c r="D163" s="1">
        <v>-20.3</v>
      </c>
      <c r="E163" s="1">
        <v>2.5</v>
      </c>
      <c r="F163" s="1">
        <v>0.7</v>
      </c>
      <c r="G163">
        <v>0</v>
      </c>
      <c r="H163">
        <v>0</v>
      </c>
      <c r="I163">
        <v>0</v>
      </c>
      <c r="K163" s="1">
        <v>275</v>
      </c>
      <c r="L163" s="1">
        <v>653</v>
      </c>
      <c r="M163" s="1">
        <v>856</v>
      </c>
      <c r="N163" s="1">
        <v>-17.100000000000001</v>
      </c>
      <c r="O163" s="1">
        <v>2.1</v>
      </c>
      <c r="P163" s="1">
        <v>0.6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553</v>
      </c>
      <c r="C164" s="1">
        <v>615</v>
      </c>
      <c r="D164" s="1">
        <v>-30.7</v>
      </c>
      <c r="E164" s="1">
        <v>3.5</v>
      </c>
      <c r="F164" s="1">
        <v>1</v>
      </c>
      <c r="G164">
        <v>0</v>
      </c>
      <c r="H164">
        <v>0</v>
      </c>
      <c r="I164">
        <v>0</v>
      </c>
      <c r="K164" s="1">
        <v>300</v>
      </c>
      <c r="L164" s="1">
        <v>631</v>
      </c>
      <c r="M164" s="1">
        <v>801</v>
      </c>
      <c r="N164" s="1">
        <v>-25.7</v>
      </c>
      <c r="O164" s="1">
        <v>2.9</v>
      </c>
      <c r="P164" s="1">
        <v>0.9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528</v>
      </c>
      <c r="C165" s="1">
        <v>560</v>
      </c>
      <c r="D165" s="1">
        <v>-43.2</v>
      </c>
      <c r="E165" s="1">
        <v>4.5999999999999996</v>
      </c>
      <c r="F165" s="1">
        <v>1.3</v>
      </c>
      <c r="G165">
        <v>0</v>
      </c>
      <c r="H165">
        <v>0</v>
      </c>
      <c r="I165">
        <v>0</v>
      </c>
      <c r="K165" s="1">
        <v>325</v>
      </c>
      <c r="L165" s="1">
        <v>611</v>
      </c>
      <c r="M165" s="1">
        <v>749</v>
      </c>
      <c r="N165" s="1">
        <v>-35.9</v>
      </c>
      <c r="O165" s="1">
        <v>3.8</v>
      </c>
      <c r="P165" s="1">
        <v>1.1000000000000001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504</v>
      </c>
      <c r="C166" s="1">
        <v>510</v>
      </c>
      <c r="D166" s="1">
        <v>-58.8</v>
      </c>
      <c r="E166" s="1">
        <v>5.8</v>
      </c>
      <c r="F166" s="1">
        <v>1.7</v>
      </c>
      <c r="G166">
        <v>0</v>
      </c>
      <c r="H166">
        <v>0</v>
      </c>
      <c r="I166">
        <v>0</v>
      </c>
      <c r="K166" s="1">
        <v>350</v>
      </c>
      <c r="L166" s="1">
        <v>590</v>
      </c>
      <c r="M166" s="1">
        <v>699</v>
      </c>
      <c r="N166" s="1">
        <v>-48.3</v>
      </c>
      <c r="O166" s="1">
        <v>4.7</v>
      </c>
      <c r="P166" s="1">
        <v>1.4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480</v>
      </c>
      <c r="C167" s="1">
        <v>464</v>
      </c>
      <c r="D167" s="1">
        <v>-76.5</v>
      </c>
      <c r="E167" s="1">
        <v>7</v>
      </c>
      <c r="F167" s="1">
        <v>2</v>
      </c>
      <c r="G167">
        <v>0</v>
      </c>
      <c r="H167">
        <v>0</v>
      </c>
      <c r="I167">
        <v>0</v>
      </c>
      <c r="K167" s="1">
        <v>375</v>
      </c>
      <c r="L167" s="1">
        <v>570</v>
      </c>
      <c r="M167" s="1">
        <v>653</v>
      </c>
      <c r="N167" s="1">
        <v>-62.1</v>
      </c>
      <c r="O167" s="1">
        <v>5.7</v>
      </c>
      <c r="P167" s="1">
        <v>1.7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458</v>
      </c>
      <c r="C168" s="1">
        <v>421</v>
      </c>
      <c r="D168" s="1">
        <v>-97.2</v>
      </c>
      <c r="E168" s="1">
        <v>8.4</v>
      </c>
      <c r="F168" s="1">
        <v>2.4</v>
      </c>
      <c r="G168">
        <v>0</v>
      </c>
      <c r="H168">
        <v>0</v>
      </c>
      <c r="I168">
        <v>0</v>
      </c>
      <c r="K168" s="1">
        <v>400</v>
      </c>
      <c r="L168" s="1">
        <v>550</v>
      </c>
      <c r="M168" s="1">
        <v>608</v>
      </c>
      <c r="N168" s="1">
        <v>-78</v>
      </c>
      <c r="O168" s="1">
        <v>6.7</v>
      </c>
      <c r="P168" s="1">
        <v>2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437</v>
      </c>
      <c r="C169" s="1">
        <v>383</v>
      </c>
      <c r="D169" s="1">
        <v>-122.1</v>
      </c>
      <c r="E169" s="1">
        <v>9.9</v>
      </c>
      <c r="F169" s="1">
        <v>2.9</v>
      </c>
      <c r="G169">
        <v>0</v>
      </c>
      <c r="H169">
        <v>0</v>
      </c>
      <c r="I169">
        <v>0</v>
      </c>
      <c r="K169" s="1">
        <v>425</v>
      </c>
      <c r="L169" s="1">
        <v>531</v>
      </c>
      <c r="M169" s="1">
        <v>567</v>
      </c>
      <c r="N169" s="1">
        <v>-96.8</v>
      </c>
      <c r="O169" s="1">
        <v>7.8</v>
      </c>
      <c r="P169" s="1">
        <v>2.2999999999999998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417</v>
      </c>
      <c r="C170" s="1">
        <v>349</v>
      </c>
      <c r="D170" s="1">
        <v>-149.9</v>
      </c>
      <c r="E170" s="1">
        <v>11.5</v>
      </c>
      <c r="F170" s="1">
        <v>3.3</v>
      </c>
      <c r="G170">
        <v>0</v>
      </c>
      <c r="H170">
        <v>0</v>
      </c>
      <c r="I170">
        <v>0</v>
      </c>
      <c r="K170" s="1">
        <v>450</v>
      </c>
      <c r="L170" s="1">
        <v>513</v>
      </c>
      <c r="M170" s="1">
        <v>528</v>
      </c>
      <c r="N170" s="1">
        <v>-117.4</v>
      </c>
      <c r="O170" s="1">
        <v>9</v>
      </c>
      <c r="P170" s="1">
        <v>2.6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398</v>
      </c>
      <c r="C171" s="1">
        <v>318</v>
      </c>
      <c r="D171" s="1">
        <v>-181.6</v>
      </c>
      <c r="E171" s="1">
        <v>13.2</v>
      </c>
      <c r="F171" s="1">
        <v>3.8</v>
      </c>
      <c r="G171">
        <v>0</v>
      </c>
      <c r="H171">
        <v>0</v>
      </c>
      <c r="I171">
        <v>0</v>
      </c>
      <c r="K171" s="1">
        <v>475</v>
      </c>
      <c r="L171" s="1">
        <v>495</v>
      </c>
      <c r="M171" s="1">
        <v>491</v>
      </c>
      <c r="N171" s="1">
        <v>-140.5</v>
      </c>
      <c r="O171" s="1">
        <v>10.199999999999999</v>
      </c>
      <c r="P171" s="1">
        <v>3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381</v>
      </c>
      <c r="C172" s="1">
        <v>292</v>
      </c>
      <c r="D172" s="1">
        <v>-217.8</v>
      </c>
      <c r="E172" s="1">
        <v>15</v>
      </c>
      <c r="F172" s="1">
        <v>4.4000000000000004</v>
      </c>
      <c r="G172">
        <v>0</v>
      </c>
      <c r="H172">
        <v>0</v>
      </c>
      <c r="I172">
        <v>0</v>
      </c>
      <c r="K172" s="1">
        <v>500</v>
      </c>
      <c r="L172" s="1">
        <v>478</v>
      </c>
      <c r="M172" s="1">
        <v>459</v>
      </c>
      <c r="N172" s="1">
        <v>-166.4</v>
      </c>
      <c r="O172" s="1">
        <v>11.5</v>
      </c>
      <c r="P172" s="1">
        <v>3.3</v>
      </c>
      <c r="Q172" s="1">
        <v>0</v>
      </c>
      <c r="R172" s="1">
        <v>0</v>
      </c>
      <c r="S172" s="1">
        <v>0</v>
      </c>
    </row>
    <row r="174" spans="1:19" x14ac:dyDescent="0.25">
      <c r="A174" t="s">
        <v>106</v>
      </c>
      <c r="K174" t="s">
        <v>105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33</v>
      </c>
      <c r="H175" t="s">
        <v>34</v>
      </c>
      <c r="I175" t="s">
        <v>35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33</v>
      </c>
      <c r="R175" t="s">
        <v>34</v>
      </c>
      <c r="S175" t="s">
        <v>35</v>
      </c>
    </row>
    <row r="176" spans="1:19" x14ac:dyDescent="0.25">
      <c r="A176" s="1">
        <v>0</v>
      </c>
      <c r="B176" s="1">
        <v>914</v>
      </c>
      <c r="C176" s="1">
        <v>1680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914</v>
      </c>
      <c r="M176" s="1">
        <v>1680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880</v>
      </c>
      <c r="C177" s="1">
        <v>1556</v>
      </c>
      <c r="D177" s="1">
        <v>2.6</v>
      </c>
      <c r="E177" s="1">
        <v>-3.5</v>
      </c>
      <c r="F177" s="1">
        <v>-1</v>
      </c>
      <c r="G177">
        <v>0</v>
      </c>
      <c r="H177">
        <v>0</v>
      </c>
      <c r="I177">
        <v>0</v>
      </c>
      <c r="K177" s="1">
        <v>25</v>
      </c>
      <c r="L177" s="1">
        <v>888</v>
      </c>
      <c r="M177" s="1">
        <v>1585</v>
      </c>
      <c r="N177" s="1">
        <v>1.9</v>
      </c>
      <c r="O177" s="1">
        <v>-2.7</v>
      </c>
      <c r="P177" s="1">
        <v>-0.8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847</v>
      </c>
      <c r="C178" s="1">
        <v>1440</v>
      </c>
      <c r="D178" s="1">
        <v>8.3000000000000007</v>
      </c>
      <c r="E178" s="1">
        <v>-5.7</v>
      </c>
      <c r="F178" s="1">
        <v>-1.6</v>
      </c>
      <c r="G178">
        <v>0</v>
      </c>
      <c r="H178">
        <v>0</v>
      </c>
      <c r="I178">
        <v>0</v>
      </c>
      <c r="K178" s="1">
        <v>50</v>
      </c>
      <c r="L178" s="1">
        <v>863</v>
      </c>
      <c r="M178" s="1">
        <v>1495</v>
      </c>
      <c r="N178" s="1">
        <v>7</v>
      </c>
      <c r="O178" s="1">
        <v>-4.8</v>
      </c>
      <c r="P178" s="1">
        <v>-1.4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814</v>
      </c>
      <c r="C179" s="1">
        <v>1331</v>
      </c>
      <c r="D179" s="1">
        <v>13</v>
      </c>
      <c r="E179" s="1">
        <v>-5.9</v>
      </c>
      <c r="F179" s="1">
        <v>-1.7</v>
      </c>
      <c r="G179">
        <v>0</v>
      </c>
      <c r="H179">
        <v>0</v>
      </c>
      <c r="I179">
        <v>0</v>
      </c>
      <c r="K179" s="1">
        <v>75</v>
      </c>
      <c r="L179" s="1">
        <v>838</v>
      </c>
      <c r="M179" s="1">
        <v>1410</v>
      </c>
      <c r="N179" s="1">
        <v>11.1</v>
      </c>
      <c r="O179" s="1">
        <v>-5.0999999999999996</v>
      </c>
      <c r="P179" s="1">
        <v>-1.5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782</v>
      </c>
      <c r="C180" s="1">
        <v>1229</v>
      </c>
      <c r="D180" s="1">
        <v>16.7</v>
      </c>
      <c r="E180" s="1">
        <v>-5.8</v>
      </c>
      <c r="F180" s="1">
        <v>-1.7</v>
      </c>
      <c r="G180">
        <v>0</v>
      </c>
      <c r="H180">
        <v>0</v>
      </c>
      <c r="I180">
        <v>0</v>
      </c>
      <c r="K180" s="1">
        <v>100</v>
      </c>
      <c r="L180" s="1">
        <v>813</v>
      </c>
      <c r="M180" s="1">
        <v>1329</v>
      </c>
      <c r="N180" s="1">
        <v>14.3</v>
      </c>
      <c r="O180" s="1">
        <v>-4.9000000000000004</v>
      </c>
      <c r="P180" s="1">
        <v>-1.4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751</v>
      </c>
      <c r="C181" s="1">
        <v>1134</v>
      </c>
      <c r="D181" s="1">
        <v>19.5</v>
      </c>
      <c r="E181" s="1">
        <v>-5.4</v>
      </c>
      <c r="F181" s="1">
        <v>-1.6</v>
      </c>
      <c r="G181">
        <v>0</v>
      </c>
      <c r="H181">
        <v>0</v>
      </c>
      <c r="I181">
        <v>0</v>
      </c>
      <c r="K181" s="1">
        <v>125</v>
      </c>
      <c r="L181" s="1">
        <v>789</v>
      </c>
      <c r="M181" s="1">
        <v>1251</v>
      </c>
      <c r="N181" s="1">
        <v>16.7</v>
      </c>
      <c r="O181" s="1">
        <v>-4.5999999999999996</v>
      </c>
      <c r="P181" s="1">
        <v>-1.3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721</v>
      </c>
      <c r="C182" s="1">
        <v>1044</v>
      </c>
      <c r="D182" s="1">
        <v>21.1</v>
      </c>
      <c r="E182" s="1">
        <v>-4.8</v>
      </c>
      <c r="F182" s="1">
        <v>-1.4</v>
      </c>
      <c r="G182">
        <v>0</v>
      </c>
      <c r="H182">
        <v>0</v>
      </c>
      <c r="I182">
        <v>0</v>
      </c>
      <c r="K182" s="1">
        <v>150</v>
      </c>
      <c r="L182" s="1">
        <v>765</v>
      </c>
      <c r="M182" s="1">
        <v>1177</v>
      </c>
      <c r="N182" s="1">
        <v>18</v>
      </c>
      <c r="O182" s="1">
        <v>-4.0999999999999996</v>
      </c>
      <c r="P182" s="1">
        <v>-1.2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691</v>
      </c>
      <c r="C183" s="1">
        <v>960</v>
      </c>
      <c r="D183" s="1">
        <v>21.5</v>
      </c>
      <c r="E183" s="1">
        <v>-4.2</v>
      </c>
      <c r="F183" s="1">
        <v>-1.2</v>
      </c>
      <c r="G183">
        <v>0</v>
      </c>
      <c r="H183">
        <v>0</v>
      </c>
      <c r="I183">
        <v>0</v>
      </c>
      <c r="K183" s="1">
        <v>175</v>
      </c>
      <c r="L183" s="1">
        <v>742</v>
      </c>
      <c r="M183" s="1">
        <v>1106</v>
      </c>
      <c r="N183" s="1">
        <v>18.2</v>
      </c>
      <c r="O183" s="1">
        <v>-3.6</v>
      </c>
      <c r="P183" s="1">
        <v>-1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662</v>
      </c>
      <c r="C184" s="1">
        <v>881</v>
      </c>
      <c r="D184" s="1">
        <v>20.5</v>
      </c>
      <c r="E184" s="1">
        <v>-3.5</v>
      </c>
      <c r="F184" s="1">
        <v>-1</v>
      </c>
      <c r="G184">
        <v>0</v>
      </c>
      <c r="H184">
        <v>0</v>
      </c>
      <c r="I184">
        <v>0</v>
      </c>
      <c r="K184" s="1">
        <v>200</v>
      </c>
      <c r="L184" s="1">
        <v>719</v>
      </c>
      <c r="M184" s="1">
        <v>1039</v>
      </c>
      <c r="N184" s="1">
        <v>17.2</v>
      </c>
      <c r="O184" s="1">
        <v>-3</v>
      </c>
      <c r="P184" s="1">
        <v>-0.9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634</v>
      </c>
      <c r="C185" s="1">
        <v>807</v>
      </c>
      <c r="D185" s="1">
        <v>18.100000000000001</v>
      </c>
      <c r="E185" s="1">
        <v>-2.8</v>
      </c>
      <c r="F185" s="1">
        <v>-0.8</v>
      </c>
      <c r="G185">
        <v>0</v>
      </c>
      <c r="H185">
        <v>0</v>
      </c>
      <c r="I185">
        <v>0</v>
      </c>
      <c r="K185" s="1">
        <v>225</v>
      </c>
      <c r="L185" s="1">
        <v>697</v>
      </c>
      <c r="M185" s="1">
        <v>975</v>
      </c>
      <c r="N185" s="1">
        <v>15</v>
      </c>
      <c r="O185" s="1">
        <v>-2.2999999999999998</v>
      </c>
      <c r="P185" s="1">
        <v>-0.7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606</v>
      </c>
      <c r="C186" s="1">
        <v>738</v>
      </c>
      <c r="D186" s="1">
        <v>14</v>
      </c>
      <c r="E186" s="1">
        <v>-1.9</v>
      </c>
      <c r="F186" s="1">
        <v>-0.6</v>
      </c>
      <c r="G186">
        <v>0</v>
      </c>
      <c r="H186">
        <v>0</v>
      </c>
      <c r="I186">
        <v>0</v>
      </c>
      <c r="K186" s="1">
        <v>250</v>
      </c>
      <c r="L186" s="1">
        <v>675</v>
      </c>
      <c r="M186" s="1">
        <v>914</v>
      </c>
      <c r="N186" s="1">
        <v>11.5</v>
      </c>
      <c r="O186" s="1">
        <v>-1.6</v>
      </c>
      <c r="P186" s="1">
        <v>-0.5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579</v>
      </c>
      <c r="C187" s="1">
        <v>674</v>
      </c>
      <c r="D187" s="1">
        <v>7.9</v>
      </c>
      <c r="E187" s="1">
        <v>-1</v>
      </c>
      <c r="F187" s="1">
        <v>-0.3</v>
      </c>
      <c r="G187">
        <v>0</v>
      </c>
      <c r="H187">
        <v>0</v>
      </c>
      <c r="I187">
        <v>0</v>
      </c>
      <c r="K187" s="1">
        <v>275</v>
      </c>
      <c r="L187" s="1">
        <v>653</v>
      </c>
      <c r="M187" s="1">
        <v>856</v>
      </c>
      <c r="N187" s="1">
        <v>6.5</v>
      </c>
      <c r="O187" s="1">
        <v>-0.8</v>
      </c>
      <c r="P187" s="1">
        <v>-0.2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553</v>
      </c>
      <c r="C188" s="10">
        <v>615</v>
      </c>
      <c r="D188" s="10">
        <v>0.1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>
        <v>300</v>
      </c>
      <c r="L188" s="1">
        <v>631</v>
      </c>
      <c r="M188" s="1">
        <v>801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528</v>
      </c>
      <c r="C189" s="1">
        <v>560</v>
      </c>
      <c r="D189" s="1">
        <v>-9.9</v>
      </c>
      <c r="E189" s="1">
        <v>1.1000000000000001</v>
      </c>
      <c r="F189" s="1">
        <v>0.3</v>
      </c>
      <c r="G189">
        <v>0</v>
      </c>
      <c r="H189">
        <v>0</v>
      </c>
      <c r="I189">
        <v>0</v>
      </c>
      <c r="K189" s="1">
        <v>325</v>
      </c>
      <c r="L189" s="1">
        <v>611</v>
      </c>
      <c r="M189" s="1">
        <v>749</v>
      </c>
      <c r="N189" s="1">
        <v>-8</v>
      </c>
      <c r="O189" s="1">
        <v>0.8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504</v>
      </c>
      <c r="C190" s="1">
        <v>510</v>
      </c>
      <c r="D190" s="1">
        <v>-22.9</v>
      </c>
      <c r="E190" s="1">
        <v>2.2000000000000002</v>
      </c>
      <c r="F190" s="1">
        <v>0.7</v>
      </c>
      <c r="G190">
        <v>0</v>
      </c>
      <c r="H190">
        <v>0</v>
      </c>
      <c r="I190">
        <v>0</v>
      </c>
      <c r="K190" s="1">
        <v>350</v>
      </c>
      <c r="L190" s="1">
        <v>590</v>
      </c>
      <c r="M190" s="1">
        <v>699</v>
      </c>
      <c r="N190" s="1">
        <v>-18.2</v>
      </c>
      <c r="O190" s="1">
        <v>1.8</v>
      </c>
      <c r="P190" s="1">
        <v>0.5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480</v>
      </c>
      <c r="C191" s="1">
        <v>464</v>
      </c>
      <c r="D191" s="1">
        <v>-38.1</v>
      </c>
      <c r="E191" s="1">
        <v>3.5</v>
      </c>
      <c r="F191" s="1">
        <v>1</v>
      </c>
      <c r="G191">
        <v>0</v>
      </c>
      <c r="H191">
        <v>0</v>
      </c>
      <c r="I191">
        <v>0</v>
      </c>
      <c r="K191" s="1">
        <v>375</v>
      </c>
      <c r="L191" s="1">
        <v>570</v>
      </c>
      <c r="M191" s="1">
        <v>653</v>
      </c>
      <c r="N191" s="1">
        <v>-30</v>
      </c>
      <c r="O191" s="1">
        <v>2.7</v>
      </c>
      <c r="P191" s="1">
        <v>0.8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458</v>
      </c>
      <c r="C192" s="1">
        <v>421</v>
      </c>
      <c r="D192" s="1">
        <v>-56.2</v>
      </c>
      <c r="E192" s="1">
        <v>4.8</v>
      </c>
      <c r="F192" s="1">
        <v>1.4</v>
      </c>
      <c r="G192">
        <v>0</v>
      </c>
      <c r="H192">
        <v>0</v>
      </c>
      <c r="I192">
        <v>0</v>
      </c>
      <c r="K192" s="1">
        <v>400</v>
      </c>
      <c r="L192" s="1">
        <v>550</v>
      </c>
      <c r="M192" s="1">
        <v>608</v>
      </c>
      <c r="N192" s="1">
        <v>-43.7</v>
      </c>
      <c r="O192" s="1">
        <v>3.8</v>
      </c>
      <c r="P192" s="1">
        <v>1.1000000000000001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437</v>
      </c>
      <c r="C193" s="1">
        <v>383</v>
      </c>
      <c r="D193" s="1">
        <v>-78.5</v>
      </c>
      <c r="E193" s="1">
        <v>6.3</v>
      </c>
      <c r="F193" s="1">
        <v>1.8</v>
      </c>
      <c r="G193">
        <v>0</v>
      </c>
      <c r="H193">
        <v>0</v>
      </c>
      <c r="I193">
        <v>0</v>
      </c>
      <c r="K193" s="1">
        <v>425</v>
      </c>
      <c r="L193" s="1">
        <v>531</v>
      </c>
      <c r="M193" s="1">
        <v>567</v>
      </c>
      <c r="N193" s="1">
        <v>-60.3</v>
      </c>
      <c r="O193" s="1">
        <v>4.9000000000000004</v>
      </c>
      <c r="P193" s="1">
        <v>1.4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417</v>
      </c>
      <c r="C194" s="1">
        <v>349</v>
      </c>
      <c r="D194" s="1">
        <v>-103.8</v>
      </c>
      <c r="E194" s="1">
        <v>7.9</v>
      </c>
      <c r="F194" s="1">
        <v>2.2999999999999998</v>
      </c>
      <c r="G194">
        <v>0</v>
      </c>
      <c r="H194">
        <v>0</v>
      </c>
      <c r="I194">
        <v>0</v>
      </c>
      <c r="K194" s="1">
        <v>450</v>
      </c>
      <c r="L194" s="1">
        <v>513</v>
      </c>
      <c r="M194" s="1">
        <v>528</v>
      </c>
      <c r="N194" s="1">
        <v>-78.8</v>
      </c>
      <c r="O194" s="1">
        <v>6</v>
      </c>
      <c r="P194" s="1">
        <v>1.8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398</v>
      </c>
      <c r="C195" s="1">
        <v>318</v>
      </c>
      <c r="D195" s="1">
        <v>-133</v>
      </c>
      <c r="E195" s="1">
        <v>9.6</v>
      </c>
      <c r="F195" s="1">
        <v>2.8</v>
      </c>
      <c r="G195">
        <v>0</v>
      </c>
      <c r="H195">
        <v>0</v>
      </c>
      <c r="I195">
        <v>0</v>
      </c>
      <c r="K195" s="1">
        <v>475</v>
      </c>
      <c r="L195" s="1">
        <v>495</v>
      </c>
      <c r="M195" s="1">
        <v>491</v>
      </c>
      <c r="N195" s="1">
        <v>-99.8</v>
      </c>
      <c r="O195" s="1">
        <v>7.2</v>
      </c>
      <c r="P195" s="1">
        <v>2.1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381</v>
      </c>
      <c r="C196" s="1">
        <v>292</v>
      </c>
      <c r="D196" s="1">
        <v>-166.6</v>
      </c>
      <c r="E196" s="1">
        <v>11.5</v>
      </c>
      <c r="F196" s="1">
        <v>3.3</v>
      </c>
      <c r="G196">
        <v>0</v>
      </c>
      <c r="H196">
        <v>0</v>
      </c>
      <c r="I196">
        <v>0</v>
      </c>
      <c r="K196" s="1">
        <v>500</v>
      </c>
      <c r="L196" s="1">
        <v>478</v>
      </c>
      <c r="M196" s="1">
        <v>459</v>
      </c>
      <c r="N196" s="1">
        <v>-123.5</v>
      </c>
      <c r="O196" s="1">
        <v>8.5</v>
      </c>
      <c r="P196" s="1">
        <v>2.5</v>
      </c>
      <c r="Q196" s="1">
        <v>0</v>
      </c>
      <c r="R196" s="1">
        <v>0</v>
      </c>
      <c r="S196" s="1">
        <v>0</v>
      </c>
    </row>
    <row r="198" spans="1:19" x14ac:dyDescent="0.25">
      <c r="A198" t="s">
        <v>108</v>
      </c>
      <c r="K198" t="s">
        <v>107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33</v>
      </c>
      <c r="H199" t="s">
        <v>34</v>
      </c>
      <c r="I199" t="s">
        <v>35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33</v>
      </c>
      <c r="R199" t="s">
        <v>34</v>
      </c>
      <c r="S199" t="s">
        <v>35</v>
      </c>
    </row>
    <row r="200" spans="1:19" x14ac:dyDescent="0.25">
      <c r="A200" s="1">
        <v>0</v>
      </c>
      <c r="B200" s="1">
        <v>914</v>
      </c>
      <c r="C200" s="1">
        <v>1680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914</v>
      </c>
      <c r="M200" s="1">
        <v>1680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880</v>
      </c>
      <c r="C201" s="1">
        <v>1556</v>
      </c>
      <c r="D201" s="1">
        <v>6.1</v>
      </c>
      <c r="E201" s="1">
        <v>-8.4</v>
      </c>
      <c r="F201" s="1">
        <v>-2.4</v>
      </c>
      <c r="G201">
        <v>0</v>
      </c>
      <c r="H201">
        <v>0</v>
      </c>
      <c r="I201">
        <v>0</v>
      </c>
      <c r="K201" s="1">
        <v>25</v>
      </c>
      <c r="L201" s="1">
        <v>888</v>
      </c>
      <c r="M201" s="1">
        <v>1585</v>
      </c>
      <c r="N201" s="1">
        <v>4.7</v>
      </c>
      <c r="O201" s="1">
        <v>-6.4</v>
      </c>
      <c r="P201" s="1">
        <v>-1.9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847</v>
      </c>
      <c r="C202" s="1">
        <v>1440</v>
      </c>
      <c r="D202" s="1">
        <v>15.4</v>
      </c>
      <c r="E202" s="1">
        <v>-10.5</v>
      </c>
      <c r="F202" s="1">
        <v>-3.1</v>
      </c>
      <c r="G202">
        <v>0</v>
      </c>
      <c r="H202">
        <v>0</v>
      </c>
      <c r="I202">
        <v>0</v>
      </c>
      <c r="K202" s="1">
        <v>50</v>
      </c>
      <c r="L202" s="1">
        <v>863</v>
      </c>
      <c r="M202" s="1">
        <v>1495</v>
      </c>
      <c r="N202" s="1">
        <v>12.6</v>
      </c>
      <c r="O202" s="1">
        <v>-8.6</v>
      </c>
      <c r="P202" s="1">
        <v>-2.5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814</v>
      </c>
      <c r="C203" s="1">
        <v>1331</v>
      </c>
      <c r="D203" s="1">
        <v>23.6</v>
      </c>
      <c r="E203" s="1">
        <v>-10.8</v>
      </c>
      <c r="F203" s="1">
        <v>-3.1</v>
      </c>
      <c r="G203">
        <v>0</v>
      </c>
      <c r="H203">
        <v>0</v>
      </c>
      <c r="I203">
        <v>0</v>
      </c>
      <c r="K203" s="1">
        <v>75</v>
      </c>
      <c r="L203" s="1">
        <v>838</v>
      </c>
      <c r="M203" s="1">
        <v>1410</v>
      </c>
      <c r="N203" s="1">
        <v>19.399999999999999</v>
      </c>
      <c r="O203" s="1">
        <v>-8.9</v>
      </c>
      <c r="P203" s="1">
        <v>-2.6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782</v>
      </c>
      <c r="C204" s="1">
        <v>1229</v>
      </c>
      <c r="D204" s="1">
        <v>30.8</v>
      </c>
      <c r="E204" s="1">
        <v>-10.6</v>
      </c>
      <c r="F204" s="1">
        <v>-3.1</v>
      </c>
      <c r="G204">
        <v>0</v>
      </c>
      <c r="H204">
        <v>0</v>
      </c>
      <c r="I204">
        <v>0</v>
      </c>
      <c r="K204" s="1">
        <v>100</v>
      </c>
      <c r="L204" s="1">
        <v>813</v>
      </c>
      <c r="M204" s="1">
        <v>1329</v>
      </c>
      <c r="N204" s="1">
        <v>25.3</v>
      </c>
      <c r="O204" s="1">
        <v>-8.6999999999999993</v>
      </c>
      <c r="P204" s="1">
        <v>-2.5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751</v>
      </c>
      <c r="C205" s="1">
        <v>1134</v>
      </c>
      <c r="D205" s="1">
        <v>37.200000000000003</v>
      </c>
      <c r="E205" s="1">
        <v>-10.199999999999999</v>
      </c>
      <c r="F205" s="1">
        <v>-3</v>
      </c>
      <c r="G205">
        <v>0</v>
      </c>
      <c r="H205">
        <v>0</v>
      </c>
      <c r="I205">
        <v>0</v>
      </c>
      <c r="K205" s="1">
        <v>125</v>
      </c>
      <c r="L205" s="1">
        <v>789</v>
      </c>
      <c r="M205" s="1">
        <v>1251</v>
      </c>
      <c r="N205" s="1">
        <v>30.5</v>
      </c>
      <c r="O205" s="1">
        <v>-8.4</v>
      </c>
      <c r="P205" s="1">
        <v>-2.4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721</v>
      </c>
      <c r="C206" s="1">
        <v>1044</v>
      </c>
      <c r="D206" s="1">
        <v>42.3</v>
      </c>
      <c r="E206" s="1">
        <v>-9.6999999999999993</v>
      </c>
      <c r="F206" s="1">
        <v>-2.8</v>
      </c>
      <c r="G206">
        <v>0</v>
      </c>
      <c r="H206">
        <v>0</v>
      </c>
      <c r="I206">
        <v>0</v>
      </c>
      <c r="K206" s="1">
        <v>150</v>
      </c>
      <c r="L206" s="1">
        <v>765</v>
      </c>
      <c r="M206" s="1">
        <v>1177</v>
      </c>
      <c r="N206" s="1">
        <v>34.5</v>
      </c>
      <c r="O206" s="1">
        <v>-7.9</v>
      </c>
      <c r="P206" s="1">
        <v>-2.2999999999999998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691</v>
      </c>
      <c r="C207" s="1">
        <v>960</v>
      </c>
      <c r="D207" s="1">
        <v>46.2</v>
      </c>
      <c r="E207" s="1">
        <v>-9.1</v>
      </c>
      <c r="F207" s="1">
        <v>-2.6</v>
      </c>
      <c r="G207">
        <v>0</v>
      </c>
      <c r="H207">
        <v>0</v>
      </c>
      <c r="I207">
        <v>0</v>
      </c>
      <c r="K207" s="1">
        <v>175</v>
      </c>
      <c r="L207" s="1">
        <v>742</v>
      </c>
      <c r="M207" s="1">
        <v>1106</v>
      </c>
      <c r="N207" s="1">
        <v>37.4</v>
      </c>
      <c r="O207" s="1">
        <v>-7.4</v>
      </c>
      <c r="P207" s="1">
        <v>-2.1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662</v>
      </c>
      <c r="C208" s="1">
        <v>881</v>
      </c>
      <c r="D208" s="1">
        <v>48.8</v>
      </c>
      <c r="E208" s="1">
        <v>-8.4</v>
      </c>
      <c r="F208" s="1">
        <v>-2.4</v>
      </c>
      <c r="G208">
        <v>0</v>
      </c>
      <c r="H208">
        <v>0</v>
      </c>
      <c r="I208">
        <v>0</v>
      </c>
      <c r="K208" s="1">
        <v>200</v>
      </c>
      <c r="L208" s="1">
        <v>719</v>
      </c>
      <c r="M208" s="1">
        <v>1039</v>
      </c>
      <c r="N208" s="1">
        <v>39.200000000000003</v>
      </c>
      <c r="O208" s="1">
        <v>-6.7</v>
      </c>
      <c r="P208" s="1">
        <v>-2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634</v>
      </c>
      <c r="C209" s="1">
        <v>807</v>
      </c>
      <c r="D209" s="1">
        <v>49.9</v>
      </c>
      <c r="E209" s="1">
        <v>-7.6</v>
      </c>
      <c r="F209" s="1">
        <v>-2.2000000000000002</v>
      </c>
      <c r="G209">
        <v>0</v>
      </c>
      <c r="H209">
        <v>0</v>
      </c>
      <c r="I209">
        <v>0</v>
      </c>
      <c r="K209" s="1">
        <v>225</v>
      </c>
      <c r="L209" s="1">
        <v>697</v>
      </c>
      <c r="M209" s="1">
        <v>975</v>
      </c>
      <c r="N209" s="1">
        <v>39.799999999999997</v>
      </c>
      <c r="O209" s="1">
        <v>-6.1</v>
      </c>
      <c r="P209" s="1">
        <v>-1.8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606</v>
      </c>
      <c r="C210" s="1">
        <v>738</v>
      </c>
      <c r="D210" s="1">
        <v>49.3</v>
      </c>
      <c r="E210" s="1">
        <v>-6.8</v>
      </c>
      <c r="F210" s="1">
        <v>-2</v>
      </c>
      <c r="G210">
        <v>0</v>
      </c>
      <c r="H210">
        <v>0</v>
      </c>
      <c r="I210">
        <v>0</v>
      </c>
      <c r="K210" s="1">
        <v>250</v>
      </c>
      <c r="L210" s="1">
        <v>674</v>
      </c>
      <c r="M210" s="1">
        <v>914</v>
      </c>
      <c r="N210" s="1">
        <v>39</v>
      </c>
      <c r="O210" s="1">
        <v>-5.4</v>
      </c>
      <c r="P210" s="1">
        <v>-1.6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579</v>
      </c>
      <c r="C211" s="1">
        <v>674</v>
      </c>
      <c r="D211" s="1">
        <v>46.8</v>
      </c>
      <c r="E211" s="1">
        <v>-5.8</v>
      </c>
      <c r="F211" s="1">
        <v>-1.7</v>
      </c>
      <c r="G211">
        <v>0</v>
      </c>
      <c r="H211">
        <v>0</v>
      </c>
      <c r="I211">
        <v>0</v>
      </c>
      <c r="K211" s="1">
        <v>275</v>
      </c>
      <c r="L211" s="1">
        <v>653</v>
      </c>
      <c r="M211" s="1">
        <v>856</v>
      </c>
      <c r="N211" s="1">
        <v>36.700000000000003</v>
      </c>
      <c r="O211" s="1">
        <v>-4.5999999999999996</v>
      </c>
      <c r="P211" s="1">
        <v>-1.3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553</v>
      </c>
      <c r="C212" s="1">
        <v>615</v>
      </c>
      <c r="D212" s="1">
        <v>42.5</v>
      </c>
      <c r="E212" s="1">
        <v>-4.9000000000000004</v>
      </c>
      <c r="F212" s="1">
        <v>-1.4</v>
      </c>
      <c r="G212">
        <v>0</v>
      </c>
      <c r="H212">
        <v>0</v>
      </c>
      <c r="I212">
        <v>0</v>
      </c>
      <c r="K212" s="1">
        <v>300</v>
      </c>
      <c r="L212" s="1">
        <v>631</v>
      </c>
      <c r="M212" s="1">
        <v>801</v>
      </c>
      <c r="N212" s="1">
        <v>33</v>
      </c>
      <c r="O212" s="1">
        <v>-3.8</v>
      </c>
      <c r="P212" s="1">
        <v>-1.1000000000000001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528</v>
      </c>
      <c r="C213" s="1">
        <v>560</v>
      </c>
      <c r="D213" s="1">
        <v>35.9</v>
      </c>
      <c r="E213" s="1">
        <v>-3.8</v>
      </c>
      <c r="F213" s="1">
        <v>-1.1000000000000001</v>
      </c>
      <c r="G213">
        <v>0</v>
      </c>
      <c r="H213">
        <v>0</v>
      </c>
      <c r="I213">
        <v>0</v>
      </c>
      <c r="K213" s="1">
        <v>325</v>
      </c>
      <c r="L213" s="1">
        <v>610</v>
      </c>
      <c r="M213" s="1">
        <v>749</v>
      </c>
      <c r="N213" s="1">
        <v>27.7</v>
      </c>
      <c r="O213" s="1">
        <v>-2.9</v>
      </c>
      <c r="P213" s="1">
        <v>-0.9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504</v>
      </c>
      <c r="C214" s="1">
        <v>510</v>
      </c>
      <c r="D214" s="1">
        <v>26.6</v>
      </c>
      <c r="E214" s="1">
        <v>-2.6</v>
      </c>
      <c r="F214" s="1">
        <v>-0.8</v>
      </c>
      <c r="G214">
        <v>0</v>
      </c>
      <c r="H214">
        <v>0</v>
      </c>
      <c r="I214">
        <v>0</v>
      </c>
      <c r="K214" s="1">
        <v>350</v>
      </c>
      <c r="L214" s="1">
        <v>590</v>
      </c>
      <c r="M214" s="1">
        <v>699</v>
      </c>
      <c r="N214" s="1">
        <v>20.3</v>
      </c>
      <c r="O214" s="1">
        <v>-2</v>
      </c>
      <c r="P214" s="1">
        <v>-0.6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480</v>
      </c>
      <c r="C215" s="1">
        <v>464</v>
      </c>
      <c r="D215" s="1">
        <v>14.9</v>
      </c>
      <c r="E215" s="1">
        <v>-1.4</v>
      </c>
      <c r="F215" s="1">
        <v>-0.4</v>
      </c>
      <c r="G215">
        <v>0</v>
      </c>
      <c r="H215">
        <v>0</v>
      </c>
      <c r="I215">
        <v>0</v>
      </c>
      <c r="K215" s="1">
        <v>375</v>
      </c>
      <c r="L215" s="1">
        <v>570</v>
      </c>
      <c r="M215" s="1">
        <v>653</v>
      </c>
      <c r="N215" s="1">
        <v>11.3</v>
      </c>
      <c r="O215" s="1">
        <v>-1</v>
      </c>
      <c r="P215" s="1">
        <v>-0.3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458</v>
      </c>
      <c r="C216" s="10">
        <v>421</v>
      </c>
      <c r="D216" s="10">
        <v>0.2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>
        <v>400</v>
      </c>
      <c r="L216" s="1">
        <v>550</v>
      </c>
      <c r="M216" s="1">
        <v>608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437</v>
      </c>
      <c r="C217" s="1">
        <v>383</v>
      </c>
      <c r="D217" s="1">
        <v>-18.399999999999999</v>
      </c>
      <c r="E217" s="1">
        <v>1.5</v>
      </c>
      <c r="F217" s="1">
        <v>0.4</v>
      </c>
      <c r="G217">
        <v>0</v>
      </c>
      <c r="H217">
        <v>0</v>
      </c>
      <c r="I217">
        <v>0</v>
      </c>
      <c r="K217" s="1">
        <v>425</v>
      </c>
      <c r="L217" s="1">
        <v>531</v>
      </c>
      <c r="M217" s="1">
        <v>567</v>
      </c>
      <c r="N217" s="1">
        <v>-13.6</v>
      </c>
      <c r="O217" s="1">
        <v>1.1000000000000001</v>
      </c>
      <c r="P217" s="1">
        <v>0.3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417</v>
      </c>
      <c r="C218" s="1">
        <v>349</v>
      </c>
      <c r="D218" s="1">
        <v>-40.200000000000003</v>
      </c>
      <c r="E218" s="1">
        <v>3.1</v>
      </c>
      <c r="F218" s="1">
        <v>0.9</v>
      </c>
      <c r="G218">
        <v>0</v>
      </c>
      <c r="H218">
        <v>0</v>
      </c>
      <c r="I218">
        <v>0</v>
      </c>
      <c r="K218" s="1">
        <v>450</v>
      </c>
      <c r="L218" s="1">
        <v>513</v>
      </c>
      <c r="M218" s="1">
        <v>528</v>
      </c>
      <c r="N218" s="1">
        <v>-29.3</v>
      </c>
      <c r="O218" s="1">
        <v>2.2000000000000002</v>
      </c>
      <c r="P218" s="1">
        <v>0.7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398</v>
      </c>
      <c r="C219" s="1">
        <v>318</v>
      </c>
      <c r="D219" s="1">
        <v>-65.900000000000006</v>
      </c>
      <c r="E219" s="1">
        <v>4.8</v>
      </c>
      <c r="F219" s="1">
        <v>1.4</v>
      </c>
      <c r="G219">
        <v>0</v>
      </c>
      <c r="H219">
        <v>0</v>
      </c>
      <c r="I219">
        <v>0</v>
      </c>
      <c r="K219" s="1">
        <v>475</v>
      </c>
      <c r="L219" s="1">
        <v>495</v>
      </c>
      <c r="M219" s="1">
        <v>491</v>
      </c>
      <c r="N219" s="1">
        <v>-47.6</v>
      </c>
      <c r="O219" s="1">
        <v>3.4</v>
      </c>
      <c r="P219" s="1">
        <v>1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381</v>
      </c>
      <c r="C220" s="1">
        <v>292</v>
      </c>
      <c r="D220" s="1">
        <v>-96.1</v>
      </c>
      <c r="E220" s="1">
        <v>6.6</v>
      </c>
      <c r="F220" s="1">
        <v>1.9</v>
      </c>
      <c r="G220">
        <v>0</v>
      </c>
      <c r="H220">
        <v>0</v>
      </c>
      <c r="I220">
        <v>0</v>
      </c>
      <c r="K220" s="1">
        <v>500</v>
      </c>
      <c r="L220" s="1">
        <v>478</v>
      </c>
      <c r="M220" s="1">
        <v>459</v>
      </c>
      <c r="N220" s="1">
        <v>-68.599999999999994</v>
      </c>
      <c r="O220" s="1">
        <v>4.7</v>
      </c>
      <c r="P220" s="1">
        <v>1.4</v>
      </c>
      <c r="Q220" s="1">
        <v>0</v>
      </c>
      <c r="R220" s="1">
        <v>0</v>
      </c>
      <c r="S220" s="1">
        <v>0</v>
      </c>
    </row>
    <row r="222" spans="1:19" x14ac:dyDescent="0.25">
      <c r="A222" t="s">
        <v>110</v>
      </c>
      <c r="K222" t="s">
        <v>109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33</v>
      </c>
      <c r="H223" t="s">
        <v>34</v>
      </c>
      <c r="I223" t="s">
        <v>35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33</v>
      </c>
      <c r="R223" t="s">
        <v>34</v>
      </c>
      <c r="S223" t="s">
        <v>35</v>
      </c>
    </row>
    <row r="224" spans="1:19" x14ac:dyDescent="0.25">
      <c r="A224" s="1">
        <v>0</v>
      </c>
      <c r="B224" s="1">
        <v>914</v>
      </c>
      <c r="C224" s="1">
        <v>1680</v>
      </c>
      <c r="D224" s="1">
        <v>-3.8</v>
      </c>
      <c r="E224" s="1">
        <v>0</v>
      </c>
      <c r="F224" s="1">
        <v>0</v>
      </c>
      <c r="G224">
        <v>0</v>
      </c>
      <c r="H224">
        <v>0</v>
      </c>
      <c r="I224">
        <v>0</v>
      </c>
      <c r="K224" s="1">
        <v>0</v>
      </c>
      <c r="L224" s="1">
        <v>914</v>
      </c>
      <c r="M224" s="1">
        <v>1680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880</v>
      </c>
      <c r="C225" s="1">
        <v>1556</v>
      </c>
      <c r="D225" s="1">
        <v>10.9</v>
      </c>
      <c r="E225" s="1">
        <v>-15.1</v>
      </c>
      <c r="F225" s="1">
        <v>-4.4000000000000004</v>
      </c>
      <c r="G225">
        <v>0</v>
      </c>
      <c r="H225">
        <v>0</v>
      </c>
      <c r="I225">
        <v>0</v>
      </c>
      <c r="K225" s="1">
        <v>25</v>
      </c>
      <c r="L225" s="1">
        <v>888</v>
      </c>
      <c r="M225" s="1">
        <v>1585</v>
      </c>
      <c r="N225" s="1">
        <v>8.1</v>
      </c>
      <c r="O225" s="1">
        <v>-11.2</v>
      </c>
      <c r="P225" s="1">
        <v>-3.3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847</v>
      </c>
      <c r="C226" s="1">
        <v>1440</v>
      </c>
      <c r="D226" s="1">
        <v>25.2</v>
      </c>
      <c r="E226" s="1">
        <v>-17.2</v>
      </c>
      <c r="F226" s="1">
        <v>-5</v>
      </c>
      <c r="G226">
        <v>0</v>
      </c>
      <c r="H226">
        <v>0</v>
      </c>
      <c r="I226">
        <v>0</v>
      </c>
      <c r="K226" s="1">
        <v>50</v>
      </c>
      <c r="L226" s="1">
        <v>863</v>
      </c>
      <c r="M226" s="1">
        <v>1495</v>
      </c>
      <c r="N226" s="1">
        <v>19.600000000000001</v>
      </c>
      <c r="O226" s="1">
        <v>-13.3</v>
      </c>
      <c r="P226" s="1">
        <v>-3.9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814</v>
      </c>
      <c r="C227" s="1">
        <v>1331</v>
      </c>
      <c r="D227" s="1">
        <v>38.200000000000003</v>
      </c>
      <c r="E227" s="1">
        <v>-17.5</v>
      </c>
      <c r="F227" s="1">
        <v>-5.0999999999999996</v>
      </c>
      <c r="G227">
        <v>0</v>
      </c>
      <c r="H227">
        <v>0</v>
      </c>
      <c r="I227">
        <v>0</v>
      </c>
      <c r="K227" s="1">
        <v>75</v>
      </c>
      <c r="L227" s="1">
        <v>838</v>
      </c>
      <c r="M227" s="1">
        <v>1410</v>
      </c>
      <c r="N227" s="1">
        <v>29.8</v>
      </c>
      <c r="O227" s="1">
        <v>-13.6</v>
      </c>
      <c r="P227" s="1">
        <v>-4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782</v>
      </c>
      <c r="C228" s="1">
        <v>1229</v>
      </c>
      <c r="D228" s="1">
        <v>50.2</v>
      </c>
      <c r="E228" s="1">
        <v>-17.3</v>
      </c>
      <c r="F228" s="1">
        <v>-5</v>
      </c>
      <c r="G228">
        <v>0</v>
      </c>
      <c r="H228">
        <v>0</v>
      </c>
      <c r="I228">
        <v>0</v>
      </c>
      <c r="K228" s="1">
        <v>100</v>
      </c>
      <c r="L228" s="1">
        <v>813</v>
      </c>
      <c r="M228" s="1">
        <v>1329</v>
      </c>
      <c r="N228" s="1">
        <v>39.1</v>
      </c>
      <c r="O228" s="1">
        <v>-13.5</v>
      </c>
      <c r="P228" s="1">
        <v>-3.9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751</v>
      </c>
      <c r="C229" s="1">
        <v>1134</v>
      </c>
      <c r="D229" s="1">
        <v>61.6</v>
      </c>
      <c r="E229" s="1">
        <v>-16.899999999999999</v>
      </c>
      <c r="F229" s="1">
        <v>-4.9000000000000004</v>
      </c>
      <c r="G229">
        <v>0</v>
      </c>
      <c r="H229">
        <v>0</v>
      </c>
      <c r="I229">
        <v>0</v>
      </c>
      <c r="K229" s="1">
        <v>125</v>
      </c>
      <c r="L229" s="1">
        <v>789</v>
      </c>
      <c r="M229" s="1">
        <v>1251</v>
      </c>
      <c r="N229" s="1">
        <v>47.9</v>
      </c>
      <c r="O229" s="1">
        <v>-13.1</v>
      </c>
      <c r="P229" s="1">
        <v>-3.8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721</v>
      </c>
      <c r="C230" s="1">
        <v>1044</v>
      </c>
      <c r="D230" s="1">
        <v>71.5</v>
      </c>
      <c r="E230" s="1">
        <v>-16.399999999999999</v>
      </c>
      <c r="F230" s="1">
        <v>-4.8</v>
      </c>
      <c r="G230">
        <v>0</v>
      </c>
      <c r="H230">
        <v>0</v>
      </c>
      <c r="I230">
        <v>0</v>
      </c>
      <c r="K230" s="1">
        <v>150</v>
      </c>
      <c r="L230" s="1">
        <v>765</v>
      </c>
      <c r="M230" s="1">
        <v>1177</v>
      </c>
      <c r="N230" s="1">
        <v>55.3</v>
      </c>
      <c r="O230" s="1">
        <v>-12.7</v>
      </c>
      <c r="P230" s="1">
        <v>-3.7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691</v>
      </c>
      <c r="C231" s="1">
        <v>960</v>
      </c>
      <c r="D231" s="1">
        <v>80.2</v>
      </c>
      <c r="E231" s="1">
        <v>-15.8</v>
      </c>
      <c r="F231" s="1">
        <v>-4.5999999999999996</v>
      </c>
      <c r="G231">
        <v>0</v>
      </c>
      <c r="H231">
        <v>0</v>
      </c>
      <c r="I231">
        <v>0</v>
      </c>
      <c r="K231" s="1">
        <v>175</v>
      </c>
      <c r="L231" s="1">
        <v>742</v>
      </c>
      <c r="M231" s="1">
        <v>1106</v>
      </c>
      <c r="N231" s="1">
        <v>61.6</v>
      </c>
      <c r="O231" s="1">
        <v>-12.1</v>
      </c>
      <c r="P231" s="1">
        <v>-3.5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662</v>
      </c>
      <c r="C232" s="1">
        <v>881</v>
      </c>
      <c r="D232" s="1">
        <v>87.7</v>
      </c>
      <c r="E232" s="1">
        <v>-15.1</v>
      </c>
      <c r="F232" s="1">
        <v>-4.4000000000000004</v>
      </c>
      <c r="G232">
        <v>0</v>
      </c>
      <c r="H232">
        <v>0</v>
      </c>
      <c r="I232">
        <v>0</v>
      </c>
      <c r="K232" s="1">
        <v>200</v>
      </c>
      <c r="L232" s="1">
        <v>719</v>
      </c>
      <c r="M232" s="1">
        <v>1039</v>
      </c>
      <c r="N232" s="1">
        <v>67</v>
      </c>
      <c r="O232" s="1">
        <v>-11.5</v>
      </c>
      <c r="P232" s="1">
        <v>-3.3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634</v>
      </c>
      <c r="C233" s="1">
        <v>807</v>
      </c>
      <c r="D233" s="1">
        <v>93.6</v>
      </c>
      <c r="E233" s="1">
        <v>-14.3</v>
      </c>
      <c r="F233" s="1">
        <v>-4.2</v>
      </c>
      <c r="G233">
        <v>0</v>
      </c>
      <c r="H233">
        <v>0</v>
      </c>
      <c r="I233">
        <v>0</v>
      </c>
      <c r="K233" s="1">
        <v>225</v>
      </c>
      <c r="L233" s="1">
        <v>697</v>
      </c>
      <c r="M233" s="1">
        <v>975</v>
      </c>
      <c r="N233" s="1">
        <v>71</v>
      </c>
      <c r="O233" s="1">
        <v>-10.8</v>
      </c>
      <c r="P233" s="1">
        <v>-3.2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606</v>
      </c>
      <c r="C234" s="1">
        <v>738</v>
      </c>
      <c r="D234" s="1">
        <v>97.8</v>
      </c>
      <c r="E234" s="1">
        <v>-13.5</v>
      </c>
      <c r="F234" s="1">
        <v>-3.9</v>
      </c>
      <c r="G234">
        <v>0</v>
      </c>
      <c r="H234">
        <v>0</v>
      </c>
      <c r="I234">
        <v>0</v>
      </c>
      <c r="K234" s="1">
        <v>250</v>
      </c>
      <c r="L234" s="1">
        <v>674</v>
      </c>
      <c r="M234" s="1">
        <v>914</v>
      </c>
      <c r="N234" s="1">
        <v>73.7</v>
      </c>
      <c r="O234" s="1">
        <v>-10.1</v>
      </c>
      <c r="P234" s="1">
        <v>-2.9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579</v>
      </c>
      <c r="C235" s="1">
        <v>674</v>
      </c>
      <c r="D235" s="1">
        <v>100.3</v>
      </c>
      <c r="E235" s="1">
        <v>-12.5</v>
      </c>
      <c r="F235" s="1">
        <v>-3.6</v>
      </c>
      <c r="G235">
        <v>0</v>
      </c>
      <c r="H235">
        <v>0</v>
      </c>
      <c r="I235">
        <v>0</v>
      </c>
      <c r="K235" s="1">
        <v>275</v>
      </c>
      <c r="L235" s="1">
        <v>653</v>
      </c>
      <c r="M235" s="1">
        <v>856</v>
      </c>
      <c r="N235" s="1">
        <v>74.900000000000006</v>
      </c>
      <c r="O235" s="1">
        <v>-9.4</v>
      </c>
      <c r="P235" s="1">
        <v>-2.7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553</v>
      </c>
      <c r="C236" s="1">
        <v>615</v>
      </c>
      <c r="D236" s="1">
        <v>100.8</v>
      </c>
      <c r="E236" s="1">
        <v>-11.5</v>
      </c>
      <c r="F236" s="1">
        <v>-3.4</v>
      </c>
      <c r="G236">
        <v>0</v>
      </c>
      <c r="H236">
        <v>0</v>
      </c>
      <c r="I236">
        <v>0</v>
      </c>
      <c r="K236" s="1">
        <v>300</v>
      </c>
      <c r="L236" s="1">
        <v>631</v>
      </c>
      <c r="M236" s="1">
        <v>801</v>
      </c>
      <c r="N236" s="1">
        <v>74.599999999999994</v>
      </c>
      <c r="O236" s="1">
        <v>-8.6</v>
      </c>
      <c r="P236" s="1">
        <v>-2.5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528</v>
      </c>
      <c r="C237" s="1">
        <v>560</v>
      </c>
      <c r="D237" s="1">
        <v>99</v>
      </c>
      <c r="E237" s="1">
        <v>-10.5</v>
      </c>
      <c r="F237" s="1">
        <v>-3</v>
      </c>
      <c r="G237">
        <v>0</v>
      </c>
      <c r="H237">
        <v>0</v>
      </c>
      <c r="I237">
        <v>0</v>
      </c>
      <c r="K237" s="1">
        <v>325</v>
      </c>
      <c r="L237" s="1">
        <v>610</v>
      </c>
      <c r="M237" s="1">
        <v>749</v>
      </c>
      <c r="N237" s="1">
        <v>72.7</v>
      </c>
      <c r="O237" s="1">
        <v>-7.7</v>
      </c>
      <c r="P237" s="1">
        <v>-2.2000000000000002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504</v>
      </c>
      <c r="C238" s="1">
        <v>510</v>
      </c>
      <c r="D238" s="1">
        <v>94.7</v>
      </c>
      <c r="E238" s="1">
        <v>-9.3000000000000007</v>
      </c>
      <c r="F238" s="1">
        <v>-2.7</v>
      </c>
      <c r="G238">
        <v>0</v>
      </c>
      <c r="H238">
        <v>0</v>
      </c>
      <c r="I238">
        <v>0</v>
      </c>
      <c r="K238" s="1">
        <v>350</v>
      </c>
      <c r="L238" s="1">
        <v>590</v>
      </c>
      <c r="M238" s="1">
        <v>699</v>
      </c>
      <c r="N238" s="1">
        <v>68.900000000000006</v>
      </c>
      <c r="O238" s="1">
        <v>-6.8</v>
      </c>
      <c r="P238" s="1">
        <v>-2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480</v>
      </c>
      <c r="C239" s="1">
        <v>464</v>
      </c>
      <c r="D239" s="1">
        <v>87.8</v>
      </c>
      <c r="E239" s="1">
        <v>-8</v>
      </c>
      <c r="F239" s="1">
        <v>-2.2999999999999998</v>
      </c>
      <c r="G239">
        <v>0</v>
      </c>
      <c r="H239">
        <v>0</v>
      </c>
      <c r="I239">
        <v>0</v>
      </c>
      <c r="K239" s="1">
        <v>375</v>
      </c>
      <c r="L239" s="1">
        <v>570</v>
      </c>
      <c r="M239" s="1">
        <v>653</v>
      </c>
      <c r="N239" s="1">
        <v>63.3</v>
      </c>
      <c r="O239" s="1">
        <v>-5.8</v>
      </c>
      <c r="P239" s="1">
        <v>-1.7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458</v>
      </c>
      <c r="C240" s="1">
        <v>421</v>
      </c>
      <c r="D240" s="1">
        <v>77.900000000000006</v>
      </c>
      <c r="E240" s="1">
        <v>-6.7</v>
      </c>
      <c r="F240" s="1">
        <v>-1.9</v>
      </c>
      <c r="G240">
        <v>0</v>
      </c>
      <c r="H240">
        <v>0</v>
      </c>
      <c r="I240">
        <v>0</v>
      </c>
      <c r="K240" s="1">
        <v>400</v>
      </c>
      <c r="L240" s="1">
        <v>550</v>
      </c>
      <c r="M240" s="1">
        <v>608</v>
      </c>
      <c r="N240" s="1">
        <v>55.7</v>
      </c>
      <c r="O240" s="1">
        <v>-4.8</v>
      </c>
      <c r="P240" s="1">
        <v>-1.4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437</v>
      </c>
      <c r="C241" s="1">
        <v>383</v>
      </c>
      <c r="D241" s="1">
        <v>64.2</v>
      </c>
      <c r="E241" s="1">
        <v>-5.2</v>
      </c>
      <c r="F241" s="1">
        <v>-1.5</v>
      </c>
      <c r="G241">
        <v>0</v>
      </c>
      <c r="H241">
        <v>0</v>
      </c>
      <c r="I241">
        <v>0</v>
      </c>
      <c r="K241" s="1">
        <v>425</v>
      </c>
      <c r="L241" s="1">
        <v>531</v>
      </c>
      <c r="M241" s="1">
        <v>567</v>
      </c>
      <c r="N241" s="1">
        <v>45.4</v>
      </c>
      <c r="O241" s="1">
        <v>-3.7</v>
      </c>
      <c r="P241" s="1">
        <v>-1.1000000000000001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417</v>
      </c>
      <c r="C242" s="1">
        <v>349</v>
      </c>
      <c r="D242" s="1">
        <v>47.2</v>
      </c>
      <c r="E242" s="1">
        <v>-3.6</v>
      </c>
      <c r="F242" s="1">
        <v>-1</v>
      </c>
      <c r="G242">
        <v>0</v>
      </c>
      <c r="H242">
        <v>0</v>
      </c>
      <c r="I242">
        <v>0</v>
      </c>
      <c r="K242" s="1">
        <v>450</v>
      </c>
      <c r="L242" s="1">
        <v>513</v>
      </c>
      <c r="M242" s="1">
        <v>528</v>
      </c>
      <c r="N242" s="1">
        <v>33.1</v>
      </c>
      <c r="O242" s="1">
        <v>-2.5</v>
      </c>
      <c r="P242" s="1">
        <v>-0.7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398</v>
      </c>
      <c r="C243" s="1">
        <v>318</v>
      </c>
      <c r="D243" s="1">
        <v>26.3</v>
      </c>
      <c r="E243" s="1">
        <v>-1.9</v>
      </c>
      <c r="F243" s="1">
        <v>-0.6</v>
      </c>
      <c r="G243">
        <v>0</v>
      </c>
      <c r="H243">
        <v>0</v>
      </c>
      <c r="I243">
        <v>0</v>
      </c>
      <c r="K243" s="1">
        <v>475</v>
      </c>
      <c r="L243" s="1">
        <v>495</v>
      </c>
      <c r="M243" s="1">
        <v>491</v>
      </c>
      <c r="N243" s="1">
        <v>18.3</v>
      </c>
      <c r="O243" s="1">
        <v>-1.3</v>
      </c>
      <c r="P243" s="1">
        <v>-0.4</v>
      </c>
      <c r="Q243" s="1">
        <v>0</v>
      </c>
      <c r="R243" s="1">
        <v>0</v>
      </c>
      <c r="S243" s="1">
        <v>0</v>
      </c>
    </row>
    <row r="244" spans="1:19" x14ac:dyDescent="0.25">
      <c r="A244" s="10">
        <v>500</v>
      </c>
      <c r="B244" s="10">
        <v>381</v>
      </c>
      <c r="C244" s="10">
        <v>292</v>
      </c>
      <c r="D244" s="10">
        <v>0.9</v>
      </c>
      <c r="E244" s="10">
        <v>-0.1</v>
      </c>
      <c r="F244" s="10">
        <v>0</v>
      </c>
      <c r="G244">
        <v>0</v>
      </c>
      <c r="H244">
        <v>0</v>
      </c>
      <c r="I244">
        <v>0</v>
      </c>
      <c r="K244" s="1">
        <v>500</v>
      </c>
      <c r="L244" s="1">
        <v>478</v>
      </c>
      <c r="M244" s="1">
        <v>459</v>
      </c>
      <c r="N244" s="1">
        <v>0.6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x14ac:dyDescent="0.25">
      <c r="A246" t="s">
        <v>71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31</v>
      </c>
      <c r="H246" s="13" t="s">
        <v>32</v>
      </c>
      <c r="I246" s="13" t="s">
        <v>14</v>
      </c>
    </row>
    <row r="247" spans="1:19" x14ac:dyDescent="0.25">
      <c r="A247" t="s">
        <v>63</v>
      </c>
      <c r="B247" s="22" cm="1">
        <f t="array" ref="B247">INDEX(LINEST(J$22:J$34,$A$22:$A$34^{1,2,3}), 1,4)</f>
        <v>-4.9559956337391959</v>
      </c>
      <c r="C247" s="22" cm="1">
        <f t="array" ref="C247">INDEX(LINEST(K$22:K$34,$A$22:$A$34^{1,2,3}), 1,4)</f>
        <v>-4.9160184506872895</v>
      </c>
      <c r="D247" s="23" cm="1">
        <f t="array" ref="D247">INDEX(LINEST(L$22:L$34,$A$22:$A$34^{1,2,3}), 1,4)</f>
        <v>-6.1366592780050002</v>
      </c>
      <c r="E247" s="23" cm="1">
        <f t="array" ref="E247">INDEX(LINEST(M$22:M$34,$A$22:$A$34^{1,2,3}), 1,4)</f>
        <v>-4.8172403660759393</v>
      </c>
      <c r="F247" s="23" cm="1">
        <f t="array" ref="F247">INDEX(LINEST(N$22:N$34,$A$22:$A$34^{1,2,3}), 1,4)</f>
        <v>-4.8580777556881216</v>
      </c>
      <c r="G247" s="23" cm="1">
        <f t="array" ref="G247">INDEX(LINEST(O$22:O$34,$A$22:$A$34^{1,2,3}), 1,4)</f>
        <v>-5.8269096789329398</v>
      </c>
      <c r="H247" s="23" cm="1">
        <f t="array" ref="H247">INDEX(LINEST(P$22:P$34,$A$22:$A$34^{1,2,3}), 1,4)</f>
        <v>-3.0812204511127206</v>
      </c>
      <c r="I247" s="23" cm="1">
        <f t="array" ref="I247">INDEX(LINEST(B$22:B$34,$A$22:$A$34^{1,2,3}), 1,4)</f>
        <v>1685.8454512258049</v>
      </c>
    </row>
    <row r="248" spans="1:19" x14ac:dyDescent="0.25">
      <c r="A248" t="s">
        <v>64</v>
      </c>
      <c r="B248" s="23" cm="1">
        <f t="array" ref="B248">INDEX(LINEST(J$22:J$34,$A$22:$A$34^{1,2,3}), 1,3)</f>
        <v>0.15057512211155846</v>
      </c>
      <c r="C248" s="22" cm="1">
        <f t="array" ref="C248">INDEX(LINEST(K$22:K$34,$A$22:$A$34^{1,2,3}), 1,3)</f>
        <v>0.1019409124334321</v>
      </c>
      <c r="D248" s="23" cm="1">
        <f t="array" ref="D248">INDEX(LINEST(L$22:L$34,$A$22:$A$34^{1,2,3}), 1,3)</f>
        <v>0.18628532770376716</v>
      </c>
      <c r="E248" s="23" cm="1">
        <f t="array" ref="E248">INDEX(LINEST(M$22:M$34,$A$22:$A$34^{1,2,3}), 1,3)</f>
        <v>0.16496705011414622</v>
      </c>
      <c r="F248" s="23" cm="1">
        <f t="array" ref="F248">INDEX(LINEST(N$22:N$34,$A$22:$A$34^{1,2,3}), 1,3)</f>
        <v>0.25165037833808718</v>
      </c>
      <c r="G248" s="23" cm="1">
        <f t="array" ref="G248">INDEX(LINEST(O$22:O$34,$A$22:$A$34^{1,2,3}), 1,3)</f>
        <v>0.41694681530189437</v>
      </c>
      <c r="H248" s="23" cm="1">
        <f t="array" ref="H248">INDEX(LINEST(P$22:P$34,$A$22:$A$34^{1,2,3}), 1,3)</f>
        <v>0.42634500312686335</v>
      </c>
      <c r="I248" s="23" cm="1">
        <f t="array" ref="I248">INDEX(LINEST(B$22:B$34,$A$22:$A$34^{1,2,3}), 1,3)</f>
        <v>-3.7242756270260911</v>
      </c>
    </row>
    <row r="249" spans="1:19" x14ac:dyDescent="0.25">
      <c r="A249" t="s">
        <v>65</v>
      </c>
      <c r="B249" s="23" cm="1">
        <f t="array" ref="B249">INDEX(LINEST(J$22:J$34,$A$22:$A$34^{1,2,3}), 1,2)</f>
        <v>-4.9106083047964955E-4</v>
      </c>
      <c r="C249" s="23" cm="1">
        <f t="array" ref="C249">INDEX(LINEST(K$22:K$34,$A$22:$A$34^{1,2,3}), 1,2)</f>
        <v>-4.3621727568755712E-4</v>
      </c>
      <c r="D249" s="23" cm="1">
        <f t="array" ref="D249">INDEX(LINEST(L$22:L$34,$A$22:$A$34^{1,2,3}), 1,2)</f>
        <v>-8.9719502641330724E-4</v>
      </c>
      <c r="E249" s="23" cm="1">
        <f t="array" ref="E249">INDEX(LINEST(M$22:M$34,$A$22:$A$34^{1,2,3}), 1,2)</f>
        <v>-4.8744624102396294E-4</v>
      </c>
      <c r="F249" s="23" cm="1">
        <f t="array" ref="F249">INDEX(LINEST(N$22:N$34,$A$22:$A$34^{1,2,3}), 1,2)</f>
        <v>-4.7599095573266117E-4</v>
      </c>
      <c r="G249" s="23" cm="1">
        <f t="array" ref="G249">INDEX(LINEST(O$22:O$34,$A$22:$A$34^{1,2,3}), 1,2)</f>
        <v>-8.5305683617374205E-4</v>
      </c>
      <c r="H249" s="23" cm="1">
        <f t="array" ref="H249">INDEX(LINEST(P$22:P$34,$A$22:$A$34^{1,2,3}), 1,2)</f>
        <v>5.4492925184997474E-5</v>
      </c>
      <c r="I249" s="23" cm="1">
        <f t="array" ref="I249">INDEX(LINEST(B$22:B$34,$A$22:$A$34^{1,2,3}), 1,2)</f>
        <v>2.7712744474751739E-3</v>
      </c>
    </row>
    <row r="250" spans="1:19" x14ac:dyDescent="0.25">
      <c r="A250" t="s">
        <v>66</v>
      </c>
      <c r="B250" s="22" cm="1">
        <f t="array" ref="B250">INDEX(LINEST(J$22:J$34,$A$22:$A$34^{1,2,3}), 1)</f>
        <v>-1.0716108502858707E-6</v>
      </c>
      <c r="C250" s="22" cm="1">
        <f t="array" ref="C250">INDEX(LINEST(K$22:K$34,$A$22:$A$34^{1,2,3}), 1)</f>
        <v>-1.0699905678982872E-6</v>
      </c>
      <c r="D250" s="23" cm="1">
        <f t="array" ref="D250">INDEX(LINEST(L$22:L$34,$A$22:$A$34^{1,2,3}), 1)</f>
        <v>-2.9165108436776229E-7</v>
      </c>
      <c r="E250" s="23" cm="1">
        <f t="array" ref="E250">INDEX(LINEST(M$22:M$34,$A$22:$A$34^{1,2,3}), 1)</f>
        <v>-1.0089630025636467E-6</v>
      </c>
      <c r="F250" s="23" cm="1">
        <f t="array" ref="F250">INDEX(LINEST(N$22:N$34,$A$22:$A$34^{1,2,3}), 1)</f>
        <v>-9.9885327187692334E-7</v>
      </c>
      <c r="G250" s="23" cm="1">
        <f t="array" ref="G250">INDEX(LINEST(O$22:O$34,$A$22:$A$34^{1,2,3}), 1)</f>
        <v>-3.7139307089942311E-7</v>
      </c>
      <c r="H250" s="23" cm="1">
        <f t="array" ref="H250">INDEX(LINEST(P$22:P$34,$A$22:$A$34^{1,2,3}), 1)</f>
        <v>-1.8854245071243352E-6</v>
      </c>
      <c r="I250" s="23" cm="1">
        <f t="array" ref="I250">INDEX(LINEST(B$22:B$34,$A$22:$A$34^{1,2,3}), 1)</f>
        <v>-5.7164160278053355E-7</v>
      </c>
    </row>
    <row r="251" spans="1:19" x14ac:dyDescent="0.25">
      <c r="A251" t="s">
        <v>67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68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69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t="s">
        <v>70</v>
      </c>
    </row>
    <row r="256" spans="1:19" x14ac:dyDescent="0.25">
      <c r="A256" s="21" t="s">
        <v>4</v>
      </c>
      <c r="B256" s="20"/>
      <c r="C256" s="20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1685.8454512258049</v>
      </c>
    </row>
    <row r="258" spans="1:9" x14ac:dyDescent="0.25">
      <c r="A258" s="1">
        <v>25</v>
      </c>
      <c r="B258" s="2" cm="1">
        <f t="array" ref="B258">TrajectoryToComeUp(B$247:B$250,$A258)</f>
        <v>0.60610980781429269</v>
      </c>
      <c r="C258" s="2" cm="1">
        <f t="array" ref="C258">TrajectoryToComeUp(C$247:C$250,$A258)</f>
        <v>1.0627400159118483</v>
      </c>
      <c r="D258" s="25" cm="1">
        <f t="array" ref="D258">TrajectoryToComeUp(D$247:D$250,$A258)</f>
        <v>0.81793201004495386</v>
      </c>
      <c r="E258" s="25" cm="1">
        <f t="array" ref="E258">TrajectoryToComeUp(E$247:E$250,$A258)</f>
        <v>0.405393224310927</v>
      </c>
      <c r="F258" s="25" cm="1">
        <f t="array" ref="F258">TrajectoryToComeUp(F$247:F$250,$A258)</f>
        <v>-0.44803210922322712</v>
      </c>
      <c r="G258" s="25" cm="1">
        <f t="array" ref="G258">TrajectoryToComeUp(G$247:G$250,$A258)</f>
        <v>-1.623118865709211</v>
      </c>
      <c r="H258" s="25" cm="1">
        <f t="array" ref="H258">TrajectoryToComeUp(H$247:H$250,$A258)</f>
        <v>-3.0328011789502671</v>
      </c>
      <c r="I258" s="2" cm="1">
        <f t="array" ref="I258">EvaluatePolynomial(I$247:I$250,$A258)</f>
        <v>1594.4616751797812</v>
      </c>
    </row>
    <row r="259" spans="1:9" x14ac:dyDescent="0.25">
      <c r="A259" s="1">
        <v>50</v>
      </c>
      <c r="B259" s="2" cm="1">
        <f t="array" ref="B259">TrajectoryToComeUp(B$247:B$250,$A259)</f>
        <v>-0.24223140787077391</v>
      </c>
      <c r="C259" s="24" cm="1">
        <f t="array" ref="C259">TrajectoryToComeUp(C$247:C$250,$A259)</f>
        <v>0.20865296784437257</v>
      </c>
      <c r="D259" s="25" cm="1">
        <f t="array" ref="D259">TrajectoryToComeUp(D$247:D$250,$A259)</f>
        <v>-0.17963263112082392</v>
      </c>
      <c r="E259" s="25" cm="1">
        <f t="array" ref="E259">TrajectoryToComeUp(E$247:E$250,$A259)</f>
        <v>-0.41727523235020164</v>
      </c>
      <c r="F259" s="25" cm="1">
        <f t="array" ref="F259">TrajectoryToComeUp(F$247:F$250,$A259)</f>
        <v>-1.2819214225799938</v>
      </c>
      <c r="G259" s="25" cm="1">
        <f t="array" ref="G259">TrajectoryToComeUp(G$247:G$250,$A259)</f>
        <v>-2.5682729723729993</v>
      </c>
      <c r="H259" s="25" cm="1">
        <f t="array" ref="H259">TrajectoryToComeUp(H$247:H$250,$A259)</f>
        <v>-3.6273167909604793</v>
      </c>
      <c r="I259" s="2" cm="1">
        <f t="array" ref="I259">EvaluatePolynomial(I$247:I$250,$A259)</f>
        <v>1506.4884007928408</v>
      </c>
    </row>
    <row r="260" spans="1:9" x14ac:dyDescent="0.25">
      <c r="A260" s="1">
        <v>75</v>
      </c>
      <c r="B260" s="2" cm="1">
        <f t="array" ref="B260">TrajectoryToComeUp(B$247:B$250,$A260)</f>
        <v>-0.41637807009537442</v>
      </c>
      <c r="C260" s="2" cm="1">
        <f t="array" ref="C260">TrajectoryToComeUp(C$247:C$250,$A260)</f>
        <v>2.3409928633930766E-2</v>
      </c>
      <c r="D260" s="25" cm="1">
        <f t="array" ref="D260">TrajectoryToComeUp(D$247:D$250,$A260)</f>
        <v>-0.3553303966646712</v>
      </c>
      <c r="E260" s="25" cm="1">
        <f t="array" ref="E260">TrajectoryToComeUp(E$247:E$250,$A260)</f>
        <v>-0.58503293600249306</v>
      </c>
      <c r="F260" s="25" cm="1">
        <f t="array" ref="F260">TrajectoryToComeUp(F$247:F$250,$A260)</f>
        <v>-1.4555813692798829</v>
      </c>
      <c r="G260" s="25" cm="1">
        <f t="array" ref="G260">TrajectoryToComeUp(G$247:G$250,$A260)</f>
        <v>-2.7318633751261525</v>
      </c>
      <c r="H260" s="25" cm="1">
        <f t="array" ref="H260">TrajectoryToComeUp(H$247:H$250,$A260)</f>
        <v>-3.7874352031499416</v>
      </c>
      <c r="I260" s="2" cm="1">
        <f t="array" ref="I260">EvaluatePolynomial(I$247:I$250,$A260)</f>
        <v>1421.8720366647228</v>
      </c>
    </row>
    <row r="261" spans="1:9" x14ac:dyDescent="0.25">
      <c r="A261" s="1">
        <v>100</v>
      </c>
      <c r="B261" s="2" cm="1">
        <f t="array" ref="B261">TrajectoryToComeUp(B$247:B$250,$A261)</f>
        <v>-0.41192974223342843</v>
      </c>
      <c r="C261" s="2" cm="1">
        <f t="array" ref="C261">TrajectoryToComeUp(C$247:C$250,$A261)</f>
        <v>1.5409053211793713E-2</v>
      </c>
      <c r="D261" s="25" cm="1">
        <f t="array" ref="D261">TrajectoryToComeUp(D$247:D$250,$A261)</f>
        <v>-0.32282721438708811</v>
      </c>
      <c r="E261" s="25" cm="1">
        <f t="array" ref="E261">TrajectoryToComeUp(E$247:E$250,$A261)</f>
        <v>-0.57960392325354082</v>
      </c>
      <c r="F261" s="25" cm="1">
        <f t="array" ref="F261">TrajectoryToComeUp(F$247:F$250,$A261)</f>
        <v>-1.4548197248917061</v>
      </c>
      <c r="G261" s="25" cm="1">
        <f t="array" ref="G261">TrajectoryToComeUp(G$247:G$250,$A261)</f>
        <v>-2.6965810418619651</v>
      </c>
      <c r="H261" s="25" cm="1">
        <f t="array" ref="H261">TrajectoryToComeUp(H$247:H$250,$A261)</f>
        <v>-3.8212784606299248</v>
      </c>
      <c r="I261" s="2" cm="1">
        <f t="array" ref="I261">EvaluatePolynomial(I$247:I$250,$A261)</f>
        <v>1340.5589913951671</v>
      </c>
    </row>
    <row r="262" spans="1:9" x14ac:dyDescent="0.25">
      <c r="A262" s="1">
        <v>125</v>
      </c>
      <c r="B262" s="2" cm="1">
        <f t="array" ref="B262">TrajectoryToComeUp(B$247:B$250,$A262)</f>
        <v>-0.3280063369597197</v>
      </c>
      <c r="C262" s="2" cm="1">
        <f t="array" ref="C262">TrajectoryToComeUp(C$247:C$250,$A262)</f>
        <v>8.6329972564215887E-2</v>
      </c>
      <c r="D262" s="25" cm="1">
        <f t="array" ref="D262">TrajectoryToComeUp(D$247:D$250,$A262)</f>
        <v>-0.20485626984817468</v>
      </c>
      <c r="E262" s="25" cm="1">
        <f t="array" ref="E262">TrajectoryToComeUp(E$247:E$250,$A262)</f>
        <v>-0.49733300142486364</v>
      </c>
      <c r="F262" s="25" cm="1">
        <f t="array" ref="F262">TrajectoryToComeUp(F$247:F$250,$A262)</f>
        <v>-1.3767980445292265</v>
      </c>
      <c r="G262" s="25" cm="1">
        <f t="array" ref="G262">TrajectoryToComeUp(G$247:G$250,$A262)</f>
        <v>-2.5789641661590958</v>
      </c>
      <c r="H262" s="25" cm="1">
        <f t="array" ref="H262">TrajectoryToComeUp(H$247:H$250,$A262)</f>
        <v>-3.7904709724226855</v>
      </c>
      <c r="I262" s="2" cm="1">
        <f t="array" ref="I262">EvaluatePolynomial(I$247:I$250,$A262)</f>
        <v>1262.4956735839123</v>
      </c>
    </row>
    <row r="263" spans="1:9" x14ac:dyDescent="0.25">
      <c r="A263" s="1">
        <v>150</v>
      </c>
      <c r="B263" s="2" cm="1">
        <f t="array" ref="B263">TrajectoryToComeUp(B$247:B$250,$A263)</f>
        <v>-0.19764782516584306</v>
      </c>
      <c r="C263" s="2" cm="1">
        <f t="array" ref="C263">TrajectoryToComeUp(C$247:C$250,$A263)</f>
        <v>0.20339923035328197</v>
      </c>
      <c r="D263" s="25" cm="1">
        <f t="array" ref="D263">TrajectoryToComeUp(D$247:D$250,$A263)</f>
        <v>-4.2328624901297456E-2</v>
      </c>
      <c r="E263" s="25" cm="1">
        <f t="array" ref="E263">TrajectoryToComeUp(E$247:E$250,$A263)</f>
        <v>-0.37033510629030131</v>
      </c>
      <c r="F263" s="25" cm="1">
        <f t="array" ref="F263">TrajectoryToComeUp(F$247:F$250,$A263)</f>
        <v>-1.2539035132303642</v>
      </c>
      <c r="G263" s="25" cm="1">
        <f t="array" ref="G263">TrajectoryToComeUp(G$247:G$250,$A263)</f>
        <v>-2.4178588125437641</v>
      </c>
      <c r="H263" s="25" cm="1">
        <f t="array" ref="H263">TrajectoryToComeUp(H$247:H$250,$A263)</f>
        <v>-3.7155542082023065</v>
      </c>
      <c r="I263" s="2" cm="1">
        <f t="array" ref="I263">EvaluatePolynomial(I$247:I$250,$A263)</f>
        <v>1187.6284918306983</v>
      </c>
    </row>
    <row r="264" spans="1:9" x14ac:dyDescent="0.25">
      <c r="A264" s="1">
        <v>175</v>
      </c>
      <c r="B264" s="2" cm="1">
        <f t="array" ref="B264">TrajectoryToComeUp(B$247:B$250,$A264)</f>
        <v>-3.5014194376767442E-2</v>
      </c>
      <c r="C264" s="2" cm="1">
        <f t="array" ref="C264">TrajectoryToComeUp(C$247:C$250,$A264)</f>
        <v>0.352571059577028</v>
      </c>
      <c r="D264" s="25" cm="1">
        <f t="array" ref="D264">TrajectoryToComeUp(D$247:D$250,$A264)</f>
        <v>0.14722240823067198</v>
      </c>
      <c r="E264" s="25" cm="1">
        <f t="array" ref="E264">TrajectoryToComeUp(E$247:E$250,$A264)</f>
        <v>-0.21237378175292809</v>
      </c>
      <c r="F264" s="25" cm="1">
        <f t="array" ref="F264">TrajectoryToComeUp(F$247:F$250,$A264)</f>
        <v>-1.1000163531542284</v>
      </c>
      <c r="G264" s="25" cm="1">
        <f t="array" ref="G264">TrajectoryToComeUp(G$247:G$250,$A264)</f>
        <v>-2.22991329438435</v>
      </c>
      <c r="H264" s="25" cm="1">
        <f t="array" ref="H264">TrajectoryToComeUp(H$247:H$250,$A264)</f>
        <v>-3.6053316549719674</v>
      </c>
      <c r="I264" s="2" cm="1">
        <f t="array" ref="I264">EvaluatePolynomial(I$247:I$250,$A264)</f>
        <v>1115.9038547352643</v>
      </c>
    </row>
    <row r="265" spans="1:9" x14ac:dyDescent="0.25">
      <c r="A265" s="1">
        <v>200</v>
      </c>
      <c r="B265" s="2" cm="1">
        <f t="array" ref="B265">TrajectoryToComeUp(B$247:B$250,$A265)</f>
        <v>0.15281456164502255</v>
      </c>
      <c r="C265" s="2" cm="1">
        <f t="array" ref="C265">TrajectoryToComeUp(C$247:C$250,$A265)</f>
        <v>0.52682257673447264</v>
      </c>
      <c r="D265" s="25" cm="1">
        <f t="array" ref="D265">TrajectoryToComeUp(D$247:D$250,$A265)</f>
        <v>0.35503017343629772</v>
      </c>
      <c r="E265" s="25" cm="1">
        <f t="array" ref="E265">TrajectoryToComeUp(E$247:E$250,$A265)</f>
        <v>-3.0330799764280825E-2</v>
      </c>
      <c r="F265" s="25" cm="1">
        <f t="array" ref="F265">TrajectoryToComeUp(F$247:F$250,$A265)</f>
        <v>-0.92207667538037386</v>
      </c>
      <c r="G265" s="25" cm="1">
        <f t="array" ref="G265">TrajectoryToComeUp(G$247:G$250,$A265)</f>
        <v>-2.0234517683650437</v>
      </c>
      <c r="H265" s="25" cm="1">
        <f t="array" ref="H265">TrajectoryToComeUp(H$247:H$250,$A265)</f>
        <v>-3.4642050562332583</v>
      </c>
      <c r="I265" s="2" cm="1">
        <f t="array" ref="I265">EvaluatePolynomial(I$247:I$250,$A265)</f>
        <v>1047.2681708973494</v>
      </c>
    </row>
    <row r="266" spans="1:9" x14ac:dyDescent="0.25">
      <c r="A266" s="1">
        <v>225</v>
      </c>
      <c r="B266" s="2" cm="1">
        <f t="array" ref="B266">TrajectoryToComeUp(B$247:B$250,$A266)</f>
        <v>0.36190511303147987</v>
      </c>
      <c r="C266" s="2" cm="1">
        <f t="array" ref="C266">TrajectoryToComeUp(C$247:C$250,$A266)</f>
        <v>0.7222521798806254</v>
      </c>
      <c r="D266" s="25" cm="1">
        <f t="array" ref="D266">TrajectoryToComeUp(D$247:D$250,$A266)</f>
        <v>0.57622430620922727</v>
      </c>
      <c r="E266" s="25" cm="1">
        <f t="array" ref="E266">TrajectoryToComeUp(E$247:E$250,$A266)</f>
        <v>0.17197063303589785</v>
      </c>
      <c r="F266" s="25" cm="1">
        <f t="array" ref="F266">TrajectoryToComeUp(F$247:F$250,$A266)</f>
        <v>-0.72394009717521945</v>
      </c>
      <c r="G266" s="25" cm="1">
        <f t="array" ref="G266">TrajectoryToComeUp(G$247:G$250,$A266)</f>
        <v>-1.8030987659770605</v>
      </c>
      <c r="H266" s="25" cm="1">
        <f t="array" ref="H266">TrajectoryToComeUp(H$247:H$250,$A266)</f>
        <v>-3.2946198250426177</v>
      </c>
      <c r="I266" s="2" cm="1">
        <f t="array" ref="I266">EvaluatePolynomial(I$247:I$250,$A266)</f>
        <v>981.66784891669317</v>
      </c>
    </row>
    <row r="267" spans="1:9" x14ac:dyDescent="0.25">
      <c r="A267" s="1">
        <v>250</v>
      </c>
      <c r="B267" s="2" cm="1">
        <f t="array" ref="B267">TrajectoryToComeUp(B$247:B$250,$A267)</f>
        <v>0.58989746186177616</v>
      </c>
      <c r="C267" s="2" cm="1">
        <f t="array" ref="C267">TrajectoryToComeUp(C$247:C$250,$A267)</f>
        <v>0.93651890784849301</v>
      </c>
      <c r="D267" s="25" cm="1">
        <f t="array" ref="D267">TrajectoryToComeUp(D$247:D$250,$A267)</f>
        <v>0.80788258784564804</v>
      </c>
      <c r="E267" s="25" cm="1">
        <f t="array" ref="E267">TrajectoryToComeUp(E$247:E$250,$A267)</f>
        <v>0.39223659266376182</v>
      </c>
      <c r="F267" s="25" cm="1">
        <f t="array" ref="F267">TrajectoryToComeUp(F$247:F$250,$A267)</f>
        <v>-0.507919988898617</v>
      </c>
      <c r="G267" s="25" cm="1">
        <f t="array" ref="G267">TrajectoryToComeUp(G$247:G$250,$A267)</f>
        <v>-1.5716290061151315</v>
      </c>
      <c r="H267" s="25" cm="1">
        <f t="array" ref="H267">TrajectoryToComeUp(H$247:H$250,$A267)</f>
        <v>-3.098043209233909</v>
      </c>
      <c r="I267" s="2" cm="1">
        <f t="array" ref="I267">EvaluatePolynomial(I$247:I$250,$A267)</f>
        <v>919.04929739303475</v>
      </c>
    </row>
    <row r="268" spans="1:9" x14ac:dyDescent="0.25">
      <c r="A268" s="1">
        <v>275</v>
      </c>
      <c r="B268" s="2" cm="1">
        <f t="array" ref="B268">TrajectoryToComeUp(B$247:B$250,$A268)</f>
        <v>0.83528979127720304</v>
      </c>
      <c r="C268" s="2" cm="1">
        <f t="array" ref="C268">TrajectoryToComeUp(C$247:C$250,$A268)</f>
        <v>1.1681330580772606</v>
      </c>
      <c r="D268" s="25" cm="1">
        <f t="array" ref="D268">TrajectoryToComeUp(D$247:D$250,$A268)</f>
        <v>1.0481454246249529</v>
      </c>
      <c r="E268" s="25" cm="1">
        <f t="array" ref="E268">TrajectoryToComeUp(E$247:E$250,$A268)</f>
        <v>0.62900730931140958</v>
      </c>
      <c r="F268" s="25" cm="1">
        <f t="array" ref="F268">TrajectoryToComeUp(F$247:F$250,$A268)</f>
        <v>-0.27548849532501679</v>
      </c>
      <c r="G268" s="25" cm="1">
        <f t="array" ref="G268">TrajectoryToComeUp(G$247:G$250,$A268)</f>
        <v>-1.3308082189849937</v>
      </c>
      <c r="H268" s="25" cm="1">
        <f t="array" ref="H268">TrajectoryToComeUp(H$247:H$250,$A268)</f>
        <v>-2.8754089119741355</v>
      </c>
      <c r="I268" s="2" cm="1">
        <f t="array" ref="I268">EvaluatePolynomial(I$247:I$250,$A268)</f>
        <v>859.35892492611345</v>
      </c>
    </row>
    <row r="269" spans="1:9" x14ac:dyDescent="0.25">
      <c r="A269" s="1">
        <v>300</v>
      </c>
      <c r="B269" s="2" cm="1">
        <f t="array" ref="B269">TrajectoryToComeUp(B$247:B$250,$A269)</f>
        <v>1.0970808900386211</v>
      </c>
      <c r="C269" s="2" cm="1">
        <f t="array" ref="C269">TrajectoryToComeUp(C$247:C$250,$A269)</f>
        <v>1.4161014955263849</v>
      </c>
      <c r="D269" s="25" cm="1">
        <f t="array" ref="D269">TrajectoryToComeUp(D$247:D$250,$A269)</f>
        <v>1.2957730874000699</v>
      </c>
      <c r="E269" s="25" cm="1">
        <f t="array" ref="E269">TrajectoryToComeUp(E$247:E$250,$A269)</f>
        <v>0.88130960310690654</v>
      </c>
      <c r="F269" s="25" cm="1">
        <f t="array" ref="F269">TrajectoryToComeUp(F$247:F$250,$A269)</f>
        <v>-2.7627046304053271E-2</v>
      </c>
      <c r="G269" s="25" cm="1">
        <f t="array" ref="G269">TrajectoryToComeUp(G$247:G$250,$A269)</f>
        <v>-1.0818135580571386</v>
      </c>
      <c r="H269" s="25" cm="1">
        <f t="array" ref="H269">TrajectoryToComeUp(H$247:H$250,$A269)</f>
        <v>-2.6273394020413003</v>
      </c>
      <c r="I269" s="2" cm="1">
        <f t="array" ref="I269">EvaluatePolynomial(I$247:I$250,$A269)</f>
        <v>802.54314011566885</v>
      </c>
    </row>
    <row r="270" spans="1:9" x14ac:dyDescent="0.25">
      <c r="A270" s="1">
        <v>325</v>
      </c>
      <c r="B270" s="2" cm="1">
        <f t="array" ref="B270">TrajectoryToComeUp(B$247:B$250,$A270)</f>
        <v>1.3745776119035484</v>
      </c>
      <c r="C270" s="2" cm="1">
        <f t="array" ref="C270">TrajectoryToComeUp(C$247:C$250,$A270)</f>
        <v>1.6797366651677992</v>
      </c>
      <c r="D270" s="25" cm="1">
        <f t="array" ref="D270">TrajectoryToComeUp(D$247:D$250,$A270)</f>
        <v>1.5499073021461029</v>
      </c>
      <c r="E270" s="25" cm="1">
        <f t="array" ref="E270">TrajectoryToComeUp(E$247:E$250,$A270)</f>
        <v>1.1484697341389134</v>
      </c>
      <c r="F270" s="25" cm="1">
        <f t="array" ref="F270">TrajectoryToComeUp(F$247:F$250,$A270)</f>
        <v>0.23498490672991179</v>
      </c>
      <c r="G270" s="25" cm="1">
        <f t="array" ref="G270">TrajectoryToComeUp(G$247:G$250,$A270)</f>
        <v>-0.82545997573421426</v>
      </c>
      <c r="H270" s="25" cm="1">
        <f t="array" ref="H270">TrajectoryToComeUp(H$247:H$250,$A270)</f>
        <v>-2.3542656193586353</v>
      </c>
      <c r="I270" s="2" cm="1">
        <f t="array" ref="I270">EvaluatePolynomial(I$247:I$250,$A270)</f>
        <v>748.54835156144009</v>
      </c>
    </row>
    <row r="271" spans="1:9" x14ac:dyDescent="0.25">
      <c r="A271" s="1">
        <v>350</v>
      </c>
      <c r="B271" s="2" cm="1">
        <f t="array" ref="B271">TrajectoryToComeUp(B$247:B$250,$A271)</f>
        <v>1.6672848524130714</v>
      </c>
      <c r="C271" s="2" cm="1">
        <f t="array" ref="C271">TrajectoryToComeUp(C$247:C$250,$A271)</f>
        <v>1.9585474562671676</v>
      </c>
      <c r="D271" s="25" cm="1">
        <f t="array" ref="D271">TrajectoryToComeUp(D$247:D$250,$A271)</f>
        <v>1.8099350159881269</v>
      </c>
      <c r="E271" s="25" cm="1">
        <f t="array" ref="E271">TrajectoryToComeUp(E$247:E$250,$A271)</f>
        <v>1.4300064596136162</v>
      </c>
      <c r="F271" s="25" cm="1">
        <f t="array" ref="F271">TrajectoryToComeUp(F$247:F$250,$A271)</f>
        <v>0.51186204132376256</v>
      </c>
      <c r="G271" s="25" cm="1">
        <f t="array" ref="G271">TrajectoryToComeUp(G$247:G$250,$A271)</f>
        <v>-0.56232958087525531</v>
      </c>
      <c r="H271" s="25" cm="1">
        <f t="array" ref="H271">TrajectoryToComeUp(H$247:H$250,$A271)</f>
        <v>-2.0564953781570221</v>
      </c>
      <c r="I271" s="2" cm="1">
        <f t="array" ref="I271">EvaluatePolynomial(I$247:I$250,$A271)</f>
        <v>697.32096786316652</v>
      </c>
    </row>
    <row r="272" spans="1:9" x14ac:dyDescent="0.25">
      <c r="A272" s="1">
        <v>375</v>
      </c>
      <c r="B272" s="2" cm="1">
        <f t="array" ref="B272">TrajectoryToComeUp(B$247:B$250,$A272)</f>
        <v>1.9748395349639853</v>
      </c>
      <c r="C272" s="2" cm="1">
        <f t="array" ref="C272">TrajectoryToComeUp(C$247:C$250,$A272)</f>
        <v>2.2521737209526456</v>
      </c>
      <c r="D272" s="25" cm="1">
        <f t="array" ref="D272">TrajectoryToComeUp(D$247:D$250,$A272)</f>
        <v>2.0754066568178624</v>
      </c>
      <c r="E272" s="25" cm="1">
        <f t="array" ref="E272">TrajectoryToComeUp(E$247:E$250,$A272)</f>
        <v>1.7255668681488856</v>
      </c>
      <c r="F272" s="25" cm="1">
        <f t="array" ref="F272">TrajectoryToComeUp(F$247:F$250,$A272)</f>
        <v>0.80264845434521437</v>
      </c>
      <c r="G272" s="25" cm="1">
        <f t="array" ref="G272">TrajectoryToComeUp(G$247:G$250,$A272)</f>
        <v>-0.29284925331021922</v>
      </c>
      <c r="H272" s="25" cm="1">
        <f t="array" ref="H272">TrajectoryToComeUp(H$247:H$250,$A272)</f>
        <v>-1.7342544088724388</v>
      </c>
      <c r="I272" s="2" cm="1">
        <f t="array" ref="I272">EvaluatePolynomial(I$247:I$250,$A272)</f>
        <v>648.80739762058727</v>
      </c>
    </row>
    <row r="273" spans="1:9" x14ac:dyDescent="0.25">
      <c r="A273" s="1">
        <v>400</v>
      </c>
      <c r="B273" s="2" cm="1">
        <f t="array" ref="B273">TrajectoryToComeUp(B$247:B$250,$A273)</f>
        <v>2.2969693521038868</v>
      </c>
      <c r="C273" s="2" cm="1">
        <f t="array" ref="C273">TrajectoryToComeUp(C$247:C$250,$A273)</f>
        <v>2.5603453483203498</v>
      </c>
      <c r="D273" s="25" cm="1">
        <f t="array" ref="D273">TrajectoryToComeUp(D$247:D$250,$A273)</f>
        <v>2.345985045554102</v>
      </c>
      <c r="E273" s="25" cm="1">
        <f t="array" ref="E273">TrajectoryToComeUp(E$247:E$250,$A273)</f>
        <v>2.0348862762081228</v>
      </c>
      <c r="F273" s="25" cm="1">
        <f t="array" ref="F273">TrajectoryToComeUp(F$247:F$250,$A273)</f>
        <v>1.1070772184450535</v>
      </c>
      <c r="G273" s="25" cm="1">
        <f t="array" ref="G273">TrajectoryToComeUp(G$247:G$250,$A273)</f>
        <v>-1.7339152911575423E-2</v>
      </c>
      <c r="H273" s="25" cm="1">
        <f t="array" ref="H273">TrajectoryToComeUp(H$247:H$250,$A273)</f>
        <v>-1.3877120093318693</v>
      </c>
      <c r="I273" s="2" cm="1">
        <f t="array" ref="I273">EvaluatePolynomial(I$247:I$250,$A273)</f>
        <v>602.95404943344215</v>
      </c>
    </row>
    <row r="274" spans="1:9" x14ac:dyDescent="0.25">
      <c r="A274" s="1">
        <v>425</v>
      </c>
      <c r="B274" s="2" cm="1">
        <f t="array" ref="B274">TrajectoryToComeUp(B$247:B$250,$A274)</f>
        <v>2.6334660687221136</v>
      </c>
      <c r="C274" s="2" cm="1">
        <f t="array" ref="C274">TrajectoryToComeUp(C$247:C$250,$A274)</f>
        <v>2.8828557829731909</v>
      </c>
      <c r="D274" s="25" cm="1">
        <f t="array" ref="D274">TrajectoryToComeUp(D$247:D$250,$A274)</f>
        <v>2.6214123393700373</v>
      </c>
      <c r="E274" s="25" cm="1">
        <f t="array" ref="E274">TrajectoryToComeUp(E$247:E$250,$A274)</f>
        <v>2.3577622787339299</v>
      </c>
      <c r="F274" s="25" cm="1">
        <f t="array" ref="F274">TrajectoryToComeUp(F$247:F$250,$A274)</f>
        <v>1.4249442127091752</v>
      </c>
      <c r="G274" s="25" cm="1">
        <f t="array" ref="G274">TrajectoryToComeUp(G$247:G$250,$A274)</f>
        <v>0.26395589218290583</v>
      </c>
      <c r="H274" s="25" cm="1">
        <f t="array" ref="H274">TrajectoryToComeUp(H$247:H$250,$A274)</f>
        <v>-1.0169976425794782</v>
      </c>
      <c r="I274" s="2" cm="1">
        <f t="array" ref="I274">EvaluatePolynomial(I$247:I$250,$A274)</f>
        <v>559.70733190147007</v>
      </c>
    </row>
    <row r="275" spans="1:9" x14ac:dyDescent="0.25">
      <c r="A275" s="1">
        <v>450</v>
      </c>
      <c r="B275" s="2" cm="1">
        <f t="array" ref="B275">TrajectoryToComeUp(B$247:B$250,$A275)</f>
        <v>2.9841677241770417</v>
      </c>
      <c r="C275" s="2" cm="1">
        <f t="array" ref="C275">TrajectoryToComeUp(C$247:C$250,$A275)</f>
        <v>3.219544370713435</v>
      </c>
      <c r="D275" s="25" cm="1">
        <f t="array" ref="D275">TrajectoryToComeUp(D$247:D$250,$A275)</f>
        <v>2.9014879938448188</v>
      </c>
      <c r="E275" s="25" cm="1">
        <f t="array" ref="E275">TrajectoryToComeUp(E$247:E$250,$A275)</f>
        <v>2.6940374495705539</v>
      </c>
      <c r="F275" s="25" cm="1">
        <f t="array" ref="F275">TrajectoryToComeUp(F$247:F$250,$A275)</f>
        <v>1.7560906764266095</v>
      </c>
      <c r="G275" s="25" cm="1">
        <f t="array" ref="G275">TrajectoryToComeUp(G$247:G$250,$A275)</f>
        <v>0.55084546008829316</v>
      </c>
      <c r="H275" s="25" cm="1">
        <f t="array" ref="H275">TrajectoryToComeUp(H$247:H$250,$A275)</f>
        <v>-0.62221200209406069</v>
      </c>
      <c r="I275" s="2" cm="1">
        <f t="array" ref="I275">EvaluatePolynomial(I$247:I$250,$A275)</f>
        <v>519.01365362441049</v>
      </c>
    </row>
    <row r="276" spans="1:9" x14ac:dyDescent="0.25">
      <c r="A276" s="1">
        <v>475</v>
      </c>
      <c r="B276" s="2" cm="1">
        <f t="array" ref="B276">TrajectoryToComeUp(B$247:B$250,$A276)</f>
        <v>3.34894645480423</v>
      </c>
      <c r="C276" s="2" cm="1">
        <f t="array" ref="C276">TrajectoryToComeUp(C$247:C$250,$A276)</f>
        <v>3.5702842792797127</v>
      </c>
      <c r="D276" s="25" cm="1">
        <f t="array" ref="D276">TrajectoryToComeUp(D$247:D$250,$A276)</f>
        <v>3.1860536844356697</v>
      </c>
      <c r="E276" s="25" cm="1">
        <f t="array" ref="E276">TrajectoryToComeUp(E$247:E$250,$A276)</f>
        <v>3.0435875049108203</v>
      </c>
      <c r="F276" s="25" cm="1">
        <f t="array" ref="F276">TrajectoryToComeUp(F$247:F$250,$A276)</f>
        <v>2.1003912721939582</v>
      </c>
      <c r="G276" s="25" cm="1">
        <f t="array" ref="G276">TrajectoryToComeUp(G$247:G$250,$A276)</f>
        <v>0.84317921773753268</v>
      </c>
      <c r="H276" s="25" cm="1">
        <f t="array" ref="H276">TrajectoryToComeUp(H$247:H$250,$A276)</f>
        <v>-0.20343458272729631</v>
      </c>
      <c r="I276" s="2" cm="1">
        <f t="array" ref="I276">EvaluatePolynomial(I$247:I$250,$A276)</f>
        <v>480.81942320200278</v>
      </c>
    </row>
    <row r="277" spans="1:9" x14ac:dyDescent="0.25">
      <c r="A277" s="10">
        <v>500</v>
      </c>
      <c r="B277" s="2" cm="1">
        <f t="array" ref="B277">TrajectoryToComeUp(B$247:B$250,$A277)</f>
        <v>3.7276999696721238</v>
      </c>
      <c r="C277" s="2" cm="1">
        <f t="array" ref="C277">TrajectoryToComeUp(C$247:C$250,$A277)</f>
        <v>3.9349740428629278</v>
      </c>
      <c r="D277" s="25" cm="1">
        <f t="array" ref="D277">TrajectoryToComeUp(D$247:D$250,$A277)</f>
        <v>3.4749827515083704</v>
      </c>
      <c r="E277" s="25" cm="1">
        <f t="array" ref="E277">TrajectoryToComeUp(E$247:E$250,$A277)</f>
        <v>3.406313017708988</v>
      </c>
      <c r="F277" s="25" cm="1">
        <f t="array" ref="F277">TrajectoryToComeUp(F$247:F$250,$A277)</f>
        <v>2.4577457300885048</v>
      </c>
      <c r="G277" s="25" cm="1">
        <f t="array" ref="G277">TrajectoryToComeUp(G$247:G$250,$A277)</f>
        <v>1.1408368986769835</v>
      </c>
      <c r="H277" s="25" cm="1">
        <f t="array" ref="H277">TrajectoryToComeUp(H$247:H$250,$A277)</f>
        <v>0.2392710196394712</v>
      </c>
      <c r="I277" s="2" cm="1">
        <f t="array" ref="I277">EvaluatePolynomial(I$247:I$250,$A277)</f>
        <v>445.07104923398617</v>
      </c>
    </row>
  </sheetData>
  <mergeCells count="11">
    <mergeCell ref="V16:W16"/>
    <mergeCell ref="X16:Y16"/>
    <mergeCell ref="Z16:AA16"/>
    <mergeCell ref="AB16:AC16"/>
    <mergeCell ref="AD16:AE16"/>
    <mergeCell ref="F1:I1"/>
    <mergeCell ref="C20:G20"/>
    <mergeCell ref="J20:N20"/>
    <mergeCell ref="R16:S16"/>
    <mergeCell ref="T16:U16"/>
    <mergeCell ref="R15:AE15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0C5AE-F2EB-4E88-B0CE-907CE7A04FDE}">
  <sheetPr codeName="Sheet3"/>
  <dimension ref="A1:S289"/>
  <sheetViews>
    <sheetView workbookViewId="0">
      <selection activeCell="E19" sqref="E19"/>
    </sheetView>
  </sheetViews>
  <sheetFormatPr defaultRowHeight="15" x14ac:dyDescent="0.25"/>
  <cols>
    <col min="1" max="1" width="34.5703125" customWidth="1"/>
    <col min="2" max="2" width="38.85546875" customWidth="1"/>
    <col min="3" max="3" width="21.5703125" customWidth="1"/>
    <col min="4" max="4" width="16.42578125" customWidth="1"/>
    <col min="5" max="5" width="15.140625" customWidth="1"/>
    <col min="6" max="6" width="23.425781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t="s">
        <v>18</v>
      </c>
      <c r="B1" t="s">
        <v>86</v>
      </c>
      <c r="C1" t="s">
        <v>37</v>
      </c>
      <c r="D1" t="s">
        <v>36</v>
      </c>
      <c r="F1" s="48" t="s">
        <v>89</v>
      </c>
      <c r="G1" s="48"/>
      <c r="H1" s="48"/>
      <c r="I1" s="48"/>
    </row>
    <row r="2" spans="1:9" x14ac:dyDescent="0.25">
      <c r="A2" t="s">
        <v>20</v>
      </c>
      <c r="B2" s="2">
        <v>55</v>
      </c>
      <c r="C2" s="2">
        <f>CONVERT($B$2,"grain","g")</f>
        <v>3.5639400500000002</v>
      </c>
      <c r="F2" t="s">
        <v>90</v>
      </c>
      <c r="G2" s="2">
        <v>55</v>
      </c>
      <c r="H2" s="2">
        <f>CONVERT($G$2,"grain","g")</f>
        <v>3.5639400500000002</v>
      </c>
    </row>
    <row r="3" spans="1:9" x14ac:dyDescent="0.25">
      <c r="A3" t="s">
        <v>0</v>
      </c>
      <c r="B3" s="2">
        <v>0.224</v>
      </c>
      <c r="C3" s="2">
        <f>CONVERT($B$3,"in","mm")</f>
        <v>5.6896000000000004</v>
      </c>
      <c r="F3" t="s">
        <v>91</v>
      </c>
      <c r="G3" s="2">
        <v>0.224</v>
      </c>
      <c r="H3" s="2">
        <f>CONVERT($G$3,"in","mm")</f>
        <v>5.6896000000000004</v>
      </c>
    </row>
    <row r="4" spans="1:9" x14ac:dyDescent="0.25">
      <c r="A4" t="s">
        <v>11</v>
      </c>
      <c r="B4" s="2"/>
      <c r="C4" s="2"/>
      <c r="F4" t="s">
        <v>11</v>
      </c>
      <c r="G4" s="2"/>
      <c r="H4" s="2"/>
    </row>
    <row r="5" spans="1:9" x14ac:dyDescent="0.25">
      <c r="A5" t="s">
        <v>21</v>
      </c>
      <c r="B5" s="2">
        <v>0.20899999999999999</v>
      </c>
      <c r="C5" s="2"/>
      <c r="F5" t="s">
        <v>21</v>
      </c>
      <c r="G5" s="2">
        <v>0.20899999999999999</v>
      </c>
      <c r="H5" s="2"/>
    </row>
    <row r="6" spans="1:9" x14ac:dyDescent="0.25">
      <c r="A6" t="s">
        <v>22</v>
      </c>
      <c r="B6" s="2">
        <v>1695.3</v>
      </c>
      <c r="C6" s="2">
        <f>CONVERT($B$6,"J","flb")</f>
        <v>1250.389111669748</v>
      </c>
      <c r="F6" t="s">
        <v>92</v>
      </c>
      <c r="G6" s="2" cm="1">
        <f t="array" ref="G6">MuzzleVelocityToMuzzleEnergyFtLb(G7,G2)</f>
        <v>890.13621223499229</v>
      </c>
      <c r="H6" s="2" cm="1">
        <f t="array" ref="H6">MuzzleVelocityToMuzzleEnergyJoules(H7,H2)</f>
        <v>1206.8626530079312</v>
      </c>
    </row>
    <row r="7" spans="1:9" x14ac:dyDescent="0.25">
      <c r="A7" t="s">
        <v>19</v>
      </c>
      <c r="B7" s="2" cm="1">
        <f t="array" ref="B7">MuzzleEnergyToMuzzleVelocityMPS(B6,C2)</f>
        <v>975.37828774726461</v>
      </c>
      <c r="C7" s="2" cm="1">
        <f t="array" ref="C7">MuzzleEnergyToMuzzleVelocityFPS(C6,B2)</f>
        <v>3200.0599991708159</v>
      </c>
      <c r="F7" t="s">
        <v>93</v>
      </c>
      <c r="G7" s="2">
        <v>2700</v>
      </c>
      <c r="H7" s="2">
        <f>CONVERT($G$7,"ft","m")</f>
        <v>822.96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8.9</v>
      </c>
      <c r="C9" s="2">
        <f>CONVERT($B$9,"m/sec","km/hr")</f>
        <v>32.04</v>
      </c>
    </row>
    <row r="10" spans="1:9" x14ac:dyDescent="0.25">
      <c r="A10" t="s">
        <v>3</v>
      </c>
      <c r="B10" s="2">
        <v>270</v>
      </c>
      <c r="C10" s="2"/>
    </row>
    <row r="11" spans="1:9" x14ac:dyDescent="0.25">
      <c r="A11" s="21" t="s">
        <v>74</v>
      </c>
      <c r="B11" s="2">
        <v>0.5</v>
      </c>
      <c r="C11" s="28"/>
    </row>
    <row r="12" spans="1:9" x14ac:dyDescent="0.25">
      <c r="A12" s="21" t="s">
        <v>75</v>
      </c>
      <c r="B12" s="2" cm="1">
        <f t="array" ref="B12">MOAToMRAD($B$11)</f>
        <v>0.14544410433286079</v>
      </c>
      <c r="C12" s="28">
        <f>$B$12/2</f>
        <v>7.2722052166430393E-2</v>
      </c>
    </row>
    <row r="13" spans="1:9" x14ac:dyDescent="0.25">
      <c r="A13" s="21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21" t="s">
        <v>5</v>
      </c>
      <c r="B14" t="s">
        <v>73</v>
      </c>
    </row>
    <row r="15" spans="1:9" x14ac:dyDescent="0.25">
      <c r="A15" t="s">
        <v>76</v>
      </c>
      <c r="B15" s="20" t="s">
        <v>84</v>
      </c>
      <c r="C15" s="20" t="s">
        <v>81</v>
      </c>
      <c r="D15" s="20" t="s">
        <v>82</v>
      </c>
      <c r="E15" s="20" t="s">
        <v>83</v>
      </c>
    </row>
    <row r="16" spans="1:9" x14ac:dyDescent="0.25">
      <c r="A16" s="21" t="s">
        <v>79</v>
      </c>
      <c r="B16" s="2">
        <v>0.625</v>
      </c>
      <c r="C16">
        <f>$B16/2</f>
        <v>0.3125</v>
      </c>
      <c r="D16" s="2">
        <f>$B$16 * $B$18</f>
        <v>0.36361026083215198</v>
      </c>
      <c r="E16" s="25">
        <f>$D16/2</f>
        <v>0.18180513041607599</v>
      </c>
    </row>
    <row r="17" spans="1:17" x14ac:dyDescent="0.25">
      <c r="A17" s="21" t="s">
        <v>80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5">
        <f>$D17/2</f>
        <v>7.2722052166430393E-2</v>
      </c>
    </row>
    <row r="18" spans="1:17" x14ac:dyDescent="0.25">
      <c r="A18" s="11" t="s">
        <v>78</v>
      </c>
      <c r="B18" s="12">
        <f>$B$12/$B$17</f>
        <v>0.58177641733144314</v>
      </c>
      <c r="C18" s="2"/>
      <c r="J18" s="2">
        <v>5.05</v>
      </c>
      <c r="K18" s="2">
        <v>4</v>
      </c>
      <c r="L18" s="2">
        <v>4</v>
      </c>
      <c r="M18" s="2">
        <v>4</v>
      </c>
      <c r="N18" s="2">
        <v>4</v>
      </c>
      <c r="O18" s="2">
        <v>3.5</v>
      </c>
      <c r="P18" s="2">
        <v>4</v>
      </c>
    </row>
    <row r="19" spans="1:17" x14ac:dyDescent="0.25">
      <c r="A19" s="11"/>
      <c r="B19" s="38" t="s">
        <v>85</v>
      </c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F19" s="2">
        <f>$E$19/2</f>
        <v>7.5122274118138516E-2</v>
      </c>
      <c r="J19" s="2"/>
      <c r="K19" s="2"/>
      <c r="L19" s="2"/>
      <c r="M19" s="2"/>
      <c r="N19" s="2"/>
      <c r="O19" s="2"/>
      <c r="P19" s="2"/>
    </row>
    <row r="20" spans="1:17" x14ac:dyDescent="0.25">
      <c r="C20" s="47" t="s">
        <v>24</v>
      </c>
      <c r="D20" s="47"/>
      <c r="E20" s="47"/>
      <c r="F20" s="47"/>
      <c r="G20" s="47"/>
      <c r="H20" s="13"/>
      <c r="I20" s="13"/>
      <c r="J20" s="50" t="s">
        <v>25</v>
      </c>
      <c r="K20" s="50"/>
      <c r="L20" s="50"/>
      <c r="M20" s="50"/>
      <c r="N20" s="50"/>
      <c r="O20" s="13"/>
      <c r="P20" s="13"/>
      <c r="Q20" s="29" t="s">
        <v>29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31</v>
      </c>
      <c r="I21" t="s">
        <v>32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31</v>
      </c>
      <c r="P21" s="16" t="s">
        <v>32</v>
      </c>
      <c r="Q21" s="29" t="s">
        <v>30</v>
      </c>
    </row>
    <row r="22" spans="1:17" x14ac:dyDescent="0.25">
      <c r="A22" s="1">
        <v>0</v>
      </c>
      <c r="B22" s="1">
        <v>1695.3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1">
        <f t="shared" si="1"/>
        <v>-3.81</v>
      </c>
      <c r="Q22" s="34">
        <v>0</v>
      </c>
    </row>
    <row r="23" spans="1:17" x14ac:dyDescent="0.25">
      <c r="A23" s="1">
        <v>25</v>
      </c>
      <c r="B23" s="1">
        <v>1577.5</v>
      </c>
      <c r="C23" s="6">
        <v>-0.25</v>
      </c>
      <c r="D23" s="6">
        <v>-0.375</v>
      </c>
      <c r="E23" s="6">
        <v>-0.33300000000000002</v>
      </c>
      <c r="F23" s="6">
        <v>-0.16700000000000001</v>
      </c>
      <c r="G23" s="6">
        <v>0</v>
      </c>
      <c r="H23" s="6">
        <v>0.33300000000000002</v>
      </c>
      <c r="I23" s="14">
        <v>0.75</v>
      </c>
      <c r="J23" s="9" cm="1">
        <f t="array" ref="J23">TrajectoryDropInCM(C23,$A23,J$18)</f>
        <v>-3.1562516769232696</v>
      </c>
      <c r="K23" s="9" cm="1">
        <f t="array" ref="K23">TrajectoryDropInCM(D23,$A23,K$18)</f>
        <v>-3.7500028125025313</v>
      </c>
      <c r="L23" s="9" cm="1">
        <f t="array" ref="L23">TrajectoryDropInCM(E23,$A23,L$18)</f>
        <v>-3.3300019693900382</v>
      </c>
      <c r="M23" s="9" cm="1">
        <f t="array" ref="M23">TrajectoryDropInCM(F23,$A23,M$18)</f>
        <v>-1.6700002483980712</v>
      </c>
      <c r="N23" s="9" cm="1">
        <f t="array" ref="N23">TrajectoryDropInCM(G23,$A23,N$18)</f>
        <v>0</v>
      </c>
      <c r="O23" s="9" cm="1">
        <f t="array" ref="O23">TrajectoryDropInCM(H23,$A23,O$18)</f>
        <v>2.9137513193372473</v>
      </c>
      <c r="P23" s="32" cm="1">
        <f t="array" ref="P23">TrajectoryDropInCM(I23,$A23,P$18)</f>
        <v>7.500022500081001</v>
      </c>
      <c r="Q23" s="34" cm="1">
        <f t="array" ref="Q23">TrajectoryErrorCM($E$19,1,$A23)</f>
        <v>0.37561137059069255</v>
      </c>
    </row>
    <row r="24" spans="1:17" x14ac:dyDescent="0.25">
      <c r="A24" s="1">
        <v>50</v>
      </c>
      <c r="B24" s="1">
        <v>1459.3</v>
      </c>
      <c r="C24" s="7">
        <v>0</v>
      </c>
      <c r="D24" s="6">
        <v>-8.3000000000000004E-2</v>
      </c>
      <c r="E24" s="6">
        <v>-1.4999999999999999E-2</v>
      </c>
      <c r="F24" s="6">
        <v>8.3000000000000004E-2</v>
      </c>
      <c r="G24" s="6">
        <v>0.3125</v>
      </c>
      <c r="H24" s="6">
        <v>0.625</v>
      </c>
      <c r="I24" s="14">
        <v>1.0625</v>
      </c>
      <c r="J24" s="9" cm="1">
        <f t="array" ref="J24">TrajectoryDropInCM(C24,$A24,J$18)</f>
        <v>0</v>
      </c>
      <c r="K24" s="9" cm="1">
        <f t="array" ref="K24">TrajectoryDropInCM(D24,$A24,K$18)</f>
        <v>-1.660000060990616</v>
      </c>
      <c r="L24" s="9" cm="1">
        <f t="array" ref="L24">TrajectoryDropInCM(E24,$A24,L$18)</f>
        <v>-0.30000000035999996</v>
      </c>
      <c r="M24" s="9" cm="1">
        <f t="array" ref="M24">TrajectoryDropInCM(F24,$A24,M$18)</f>
        <v>1.660000060990616</v>
      </c>
      <c r="N24" s="9" cm="1">
        <f t="array" ref="N24">TrajectoryDropInCM(G24,$A24,N$18)</f>
        <v>6.2500032552103679</v>
      </c>
      <c r="O24" s="9" cm="1">
        <f t="array" ref="O24">TrajectoryDropInCM(H24,$A24,O$18)</f>
        <v>10.937517445915555</v>
      </c>
      <c r="P24" s="32" cm="1">
        <f t="array" ref="P24">TrajectoryDropInCM(I24,$A24,P$18)</f>
        <v>21.250127943632727</v>
      </c>
      <c r="Q24" s="34" cm="1">
        <f t="array" ref="Q24">TrajectoryErrorCM($E$19,1,$A24)</f>
        <v>0.7512227411813851</v>
      </c>
    </row>
    <row r="25" spans="1:17" x14ac:dyDescent="0.25">
      <c r="A25" s="1">
        <v>75</v>
      </c>
      <c r="B25" s="1">
        <v>1332.7</v>
      </c>
      <c r="C25" s="6">
        <v>8.3000000000000004E-2</v>
      </c>
      <c r="D25" s="6">
        <v>0</v>
      </c>
      <c r="E25" s="6">
        <v>1.4999999999999999E-2</v>
      </c>
      <c r="F25" s="6">
        <v>0.125</v>
      </c>
      <c r="G25" s="6">
        <v>0.375</v>
      </c>
      <c r="H25" s="6">
        <v>0.6875</v>
      </c>
      <c r="I25" s="14">
        <v>1.25</v>
      </c>
      <c r="J25" s="9" cm="1">
        <f t="array" ref="J25">TrajectoryDropInCM(C25,$A25,J$18)</f>
        <v>3.1436251840977376</v>
      </c>
      <c r="K25" s="9" cm="1">
        <f t="array" ref="K25">TrajectoryDropInCM(D25,$A25,K$18)</f>
        <v>0</v>
      </c>
      <c r="L25" s="9" cm="1">
        <f t="array" ref="L25">TrajectoryDropInCM(E25,$A25,L$18)</f>
        <v>0.45000000053999994</v>
      </c>
      <c r="M25" s="9" cm="1">
        <f t="array" ref="M25">TrajectoryDropInCM(F25,$A25,M$18)</f>
        <v>3.7500003125000307</v>
      </c>
      <c r="N25" s="9" cm="1">
        <f t="array" ref="N25">TrajectoryDropInCM(G25,$A25,N$18)</f>
        <v>11.250008437507594</v>
      </c>
      <c r="O25" s="9" cm="1">
        <f t="array" ref="O25">TrajectoryDropInCM(H25,$A25,O$18)</f>
        <v>18.046909830784401</v>
      </c>
      <c r="P25" s="32" cm="1">
        <f t="array" ref="P25">TrajectoryDropInCM(I25,$A25,P$18)</f>
        <v>37.500312503125031</v>
      </c>
      <c r="Q25" s="34" cm="1">
        <f t="array" ref="Q25">TrajectoryErrorCM($E$19,1,$A25)</f>
        <v>1.1268341117720777</v>
      </c>
    </row>
    <row r="26" spans="1:17" x14ac:dyDescent="0.25">
      <c r="A26" s="1">
        <v>100</v>
      </c>
      <c r="B26" s="1">
        <v>1219.7</v>
      </c>
      <c r="C26" s="6">
        <v>0.125</v>
      </c>
      <c r="D26" s="7">
        <v>0</v>
      </c>
      <c r="E26" s="6">
        <v>8.3000000000000004E-2</v>
      </c>
      <c r="F26" s="6">
        <v>0.125</v>
      </c>
      <c r="G26" s="6">
        <v>0.375</v>
      </c>
      <c r="H26" s="6">
        <v>0.66700000000000004</v>
      </c>
      <c r="I26" s="14">
        <v>1.2749999999999999</v>
      </c>
      <c r="J26" s="9" cm="1">
        <f t="array" ref="J26">TrajectoryDropInCM(C26,$A26,J$18)</f>
        <v>6.3125008384612338</v>
      </c>
      <c r="K26" s="9" cm="1">
        <f t="array" ref="K26">TrajectoryDropInCM(D26,$A26,K$18)</f>
        <v>0</v>
      </c>
      <c r="L26" s="9" cm="1">
        <f t="array" ref="L26">TrajectoryDropInCM(E26,$A26,L$18)</f>
        <v>3.3200001219812321</v>
      </c>
      <c r="M26" s="9" cm="1">
        <f t="array" ref="M26">TrajectoryDropInCM(F26,$A26,M$18)</f>
        <v>5.0000004166667074</v>
      </c>
      <c r="N26" s="9" cm="1">
        <f t="array" ref="N26">TrajectoryDropInCM(G26,$A26,N$18)</f>
        <v>15.000011250010125</v>
      </c>
      <c r="O26" s="9" cm="1">
        <f t="array" ref="O26">TrajectoryDropInCM(H26,$A26,O$18)</f>
        <v>23.345042409321749</v>
      </c>
      <c r="P26" s="32" cm="1">
        <f t="array" ref="P26">TrajectoryDropInCM(I26,$A26,P$18)</f>
        <v>51.00044217460038</v>
      </c>
      <c r="Q26" s="34" cm="1">
        <f t="array" ref="Q26">TrajectoryErrorCM($E$19,1,$A26)</f>
        <v>1.5024454823627702</v>
      </c>
    </row>
    <row r="27" spans="1:17" x14ac:dyDescent="0.25">
      <c r="A27" s="1">
        <v>125</v>
      </c>
      <c r="B27" s="1">
        <v>1118.7</v>
      </c>
      <c r="C27" s="6">
        <v>0.125</v>
      </c>
      <c r="D27" s="6">
        <v>0</v>
      </c>
      <c r="E27" s="6">
        <v>6.25E-2</v>
      </c>
      <c r="F27" s="6">
        <v>0.125</v>
      </c>
      <c r="G27" s="6">
        <v>0.375</v>
      </c>
      <c r="H27" s="6">
        <v>0.66700000000000004</v>
      </c>
      <c r="I27" s="14">
        <v>1.25</v>
      </c>
      <c r="J27" s="9" cm="1">
        <f t="array" ref="J27">TrajectoryDropInCM(C27,$A27,J$18)</f>
        <v>7.890626048076542</v>
      </c>
      <c r="K27" s="9" cm="1">
        <f t="array" ref="K27">TrajectoryDropInCM(D27,$A27,K$18)</f>
        <v>0</v>
      </c>
      <c r="L27" s="9" cm="1">
        <f t="array" ref="L27">TrajectoryDropInCM(E27,$A27,L$18)</f>
        <v>3.1250000651041678</v>
      </c>
      <c r="M27" s="9" cm="1">
        <f t="array" ref="M27">TrajectoryDropInCM(F27,$A27,M$18)</f>
        <v>6.2500005208333844</v>
      </c>
      <c r="N27" s="9" cm="1">
        <f t="array" ref="N27">TrajectoryDropInCM(G27,$A27,N$18)</f>
        <v>18.750014062512658</v>
      </c>
      <c r="O27" s="9" cm="1">
        <f t="array" ref="O27">TrajectoryDropInCM(H27,$A27,O$18)</f>
        <v>29.181303011652183</v>
      </c>
      <c r="P27" s="32" cm="1">
        <f t="array" ref="P27">TrajectoryDropInCM(I27,$A27,P$18)</f>
        <v>62.500520838541718</v>
      </c>
      <c r="Q27" s="34" cm="1">
        <f t="array" ref="Q27">TrajectoryErrorCM($E$19,1,$A27)</f>
        <v>1.8780568529534629</v>
      </c>
    </row>
    <row r="28" spans="1:17" x14ac:dyDescent="0.25">
      <c r="A28" s="1">
        <v>150</v>
      </c>
      <c r="B28" s="1">
        <v>1027.9000000000001</v>
      </c>
      <c r="C28" s="6">
        <v>4.2999999999999997E-2</v>
      </c>
      <c r="D28" s="6">
        <v>-4.2999999999999997E-2</v>
      </c>
      <c r="E28" s="7">
        <v>0</v>
      </c>
      <c r="F28" s="6">
        <v>0.125</v>
      </c>
      <c r="G28" s="6">
        <v>0.33300000000000002</v>
      </c>
      <c r="H28" s="6">
        <v>0.625</v>
      </c>
      <c r="I28" s="14">
        <v>1.125</v>
      </c>
      <c r="J28" s="9" cm="1">
        <f t="array" ref="J28">TrajectoryDropInCM(C28,$A28,J$18)</f>
        <v>3.2572500511975897</v>
      </c>
      <c r="K28" s="9" cm="1">
        <f t="array" ref="K28">TrajectoryDropInCM(D28,$A28,K$18)</f>
        <v>-2.5800000254422399</v>
      </c>
      <c r="L28" s="9" cm="1">
        <f t="array" ref="L28">TrajectoryDropInCM(E28,$A28,L$18)</f>
        <v>0</v>
      </c>
      <c r="M28" s="9" cm="1">
        <f t="array" ref="M28">TrajectoryDropInCM(F28,$A28,M$18)</f>
        <v>7.5000006250000615</v>
      </c>
      <c r="N28" s="9" cm="1">
        <f t="array" ref="N28">TrajectoryDropInCM(G28,$A28,N$18)</f>
        <v>19.98001181634023</v>
      </c>
      <c r="O28" s="9" cm="1">
        <f t="array" ref="O28">TrajectoryDropInCM(H28,$A28,O$18)</f>
        <v>32.812552337746666</v>
      </c>
      <c r="P28" s="32" cm="1">
        <f t="array" ref="P28">TrajectoryDropInCM(I28,$A28,P$18)</f>
        <v>67.500455628690588</v>
      </c>
      <c r="Q28" s="34" cm="1">
        <f t="array" ref="Q28">TrajectoryErrorCM($E$19,1,$A28)</f>
        <v>2.2536682235441554</v>
      </c>
    </row>
    <row r="29" spans="1:17" x14ac:dyDescent="0.25">
      <c r="A29" s="1">
        <v>200</v>
      </c>
      <c r="B29" s="1">
        <v>850.1</v>
      </c>
      <c r="C29" s="6">
        <v>-8.3000000000000004E-2</v>
      </c>
      <c r="D29" s="6">
        <v>-0.125</v>
      </c>
      <c r="E29" s="6">
        <v>-0.16700000000000001</v>
      </c>
      <c r="F29" s="7">
        <v>0</v>
      </c>
      <c r="G29" s="6">
        <v>0.25</v>
      </c>
      <c r="H29" s="6">
        <v>0.5625</v>
      </c>
      <c r="I29" s="14">
        <v>1</v>
      </c>
      <c r="J29" s="9" cm="1">
        <f t="array" ref="J29">TrajectoryDropInCM(C29,$A29,J$18)</f>
        <v>-8.3830004909272997</v>
      </c>
      <c r="K29" s="9" cm="1">
        <f t="array" ref="K29">TrajectoryDropInCM(D29,$A29,K$18)</f>
        <v>-10.000000833333415</v>
      </c>
      <c r="L29" s="9" cm="1">
        <f t="array" ref="L29">TrajectoryDropInCM(E29,$A29,L$18)</f>
        <v>-13.360001987184569</v>
      </c>
      <c r="M29" s="9" cm="1">
        <f t="array" ref="M29">TrajectoryDropInCM(F29,$A29,M$18)</f>
        <v>0</v>
      </c>
      <c r="N29" s="9" cm="1">
        <f t="array" ref="N29">TrajectoryDropInCM(G29,$A29,N$18)</f>
        <v>20.000006666669336</v>
      </c>
      <c r="O29" s="9" cm="1">
        <f t="array" ref="O29">TrajectoryDropInCM(H29,$A29,O$18)</f>
        <v>39.375050872271252</v>
      </c>
      <c r="P29" s="32" cm="1">
        <f t="array" ref="P29">TrajectoryDropInCM(I29,$A29,P$18)</f>
        <v>80.000426669397356</v>
      </c>
      <c r="Q29" s="34" cm="1">
        <f t="array" ref="Q29">TrajectoryErrorCM($E$19,1,$A29)</f>
        <v>3.0048909647255404</v>
      </c>
    </row>
    <row r="30" spans="1:17" x14ac:dyDescent="0.25">
      <c r="A30" s="1">
        <v>250</v>
      </c>
      <c r="B30" s="1">
        <v>691.8</v>
      </c>
      <c r="C30" s="6">
        <v>-0.125</v>
      </c>
      <c r="D30" s="6">
        <v>-0.2</v>
      </c>
      <c r="E30" s="6">
        <v>-0.15</v>
      </c>
      <c r="F30" s="6">
        <v>-0.125</v>
      </c>
      <c r="G30" s="6">
        <v>0.125</v>
      </c>
      <c r="H30" s="6">
        <v>0.4375</v>
      </c>
      <c r="I30" s="14">
        <v>0.875</v>
      </c>
      <c r="J30" s="9" cm="1">
        <f t="array" ref="J30">TrajectoryDropInCM(C30,$A30,J$18)</f>
        <v>-15.781252096153084</v>
      </c>
      <c r="K30" s="9" cm="1">
        <f t="array" ref="K30">TrajectoryDropInCM(D30,$A30,K$18)</f>
        <v>-20.000004266667759</v>
      </c>
      <c r="L30" s="9" cm="1">
        <f t="array" ref="L30">TrajectoryDropInCM(E30,$A30,L$18)</f>
        <v>-15.000001800000257</v>
      </c>
      <c r="M30" s="9" cm="1">
        <f t="array" ref="M30">TrajectoryDropInCM(F30,$A30,M$18)</f>
        <v>-12.500001041666769</v>
      </c>
      <c r="N30" s="9" cm="1">
        <f t="array" ref="N30">TrajectoryDropInCM(G30,$A30,N$18)</f>
        <v>12.500001041666769</v>
      </c>
      <c r="O30" s="9" cm="1">
        <f t="array" ref="O30">TrajectoryDropInCM(H30,$A30,O$18)</f>
        <v>38.281279919715971</v>
      </c>
      <c r="P30" s="32" cm="1">
        <f t="array" ref="P30">TrajectoryDropInCM(I30,$A30,P$18)</f>
        <v>87.500357293417409</v>
      </c>
      <c r="Q30" s="34" cm="1">
        <f t="array" ref="Q30">TrajectoryErrorCM($E$19,1,$A30)</f>
        <v>3.7561137059069258</v>
      </c>
    </row>
    <row r="31" spans="1:17" x14ac:dyDescent="0.25">
      <c r="A31" s="1">
        <v>300</v>
      </c>
      <c r="B31" s="1">
        <v>562.1</v>
      </c>
      <c r="C31" s="6">
        <v>-0.2</v>
      </c>
      <c r="D31" s="6">
        <v>-0.375</v>
      </c>
      <c r="E31" s="6">
        <v>-0.33300000000000002</v>
      </c>
      <c r="F31" s="6">
        <v>-0.1875</v>
      </c>
      <c r="G31" s="7">
        <v>0</v>
      </c>
      <c r="H31" s="17">
        <v>0.35</v>
      </c>
      <c r="I31" s="43"/>
      <c r="J31" s="9" cm="1">
        <f t="array" ref="J31">TrajectoryDropInCM(C31,$A31,J$18)</f>
        <v>-30.300010303014208</v>
      </c>
      <c r="K31" s="9" cm="1">
        <f t="array" ref="K31">TrajectoryDropInCM(D31,$A31,K$18)</f>
        <v>-45.000033750030376</v>
      </c>
      <c r="L31" s="9" cm="1">
        <f t="array" ref="L31">TrajectoryDropInCM(E31,$A31,L$18)</f>
        <v>-39.960023632680461</v>
      </c>
      <c r="M31" s="9" cm="1">
        <f t="array" ref="M31">TrajectoryDropInCM(F31,$A31,M$18)</f>
        <v>-22.500004218750952</v>
      </c>
      <c r="N31" s="9" cm="1">
        <f t="array" ref="N31">TrajectoryDropInCM(G31,$A31,N$18)</f>
        <v>0</v>
      </c>
      <c r="O31" s="9" cm="1">
        <f t="array" ref="O31">TrajectoryDropInCM(H31,$A31,O$18)</f>
        <v>36.750018382667285</v>
      </c>
      <c r="P31" s="45"/>
      <c r="Q31" s="34" cm="1">
        <f t="array" ref="Q31">TrajectoryErrorCM($E$19,1,$A31)</f>
        <v>4.5073364470883108</v>
      </c>
    </row>
    <row r="32" spans="1:17" x14ac:dyDescent="0.25">
      <c r="A32" s="1">
        <v>350</v>
      </c>
      <c r="B32" s="42"/>
      <c r="C32" s="42"/>
      <c r="D32" s="42"/>
      <c r="E32" s="42"/>
      <c r="F32" s="42"/>
      <c r="G32" s="42"/>
      <c r="H32" s="42"/>
      <c r="I32" s="43"/>
      <c r="J32" s="44"/>
      <c r="K32" s="44"/>
      <c r="L32" s="44"/>
      <c r="M32" s="44"/>
      <c r="N32" s="44"/>
      <c r="O32" s="44"/>
      <c r="P32" s="45"/>
      <c r="Q32" s="46"/>
    </row>
    <row r="33" spans="1:17" x14ac:dyDescent="0.25">
      <c r="A33" s="1">
        <v>400</v>
      </c>
      <c r="B33" s="42"/>
      <c r="C33" s="42"/>
      <c r="D33" s="42"/>
      <c r="E33" s="42"/>
      <c r="F33" s="42"/>
      <c r="G33" s="42"/>
      <c r="H33" s="42"/>
      <c r="I33" s="43"/>
      <c r="J33" s="44"/>
      <c r="K33" s="44"/>
      <c r="L33" s="44"/>
      <c r="M33" s="44"/>
      <c r="N33" s="44"/>
      <c r="O33" s="44"/>
      <c r="P33" s="45"/>
      <c r="Q33" s="46"/>
    </row>
    <row r="34" spans="1:17" x14ac:dyDescent="0.25">
      <c r="A34" s="1">
        <v>450</v>
      </c>
      <c r="B34" s="42"/>
      <c r="C34" s="42"/>
      <c r="D34" s="42"/>
      <c r="E34" s="42"/>
      <c r="F34" s="42"/>
      <c r="G34" s="42"/>
      <c r="H34" s="42"/>
      <c r="I34" s="43"/>
      <c r="J34" s="44"/>
      <c r="K34" s="44"/>
      <c r="L34" s="44"/>
      <c r="M34" s="44"/>
      <c r="N34" s="44"/>
      <c r="O34" s="44"/>
      <c r="P34" s="45"/>
      <c r="Q34" s="46"/>
    </row>
    <row r="35" spans="1:17" x14ac:dyDescent="0.25">
      <c r="A35" s="1">
        <v>500</v>
      </c>
      <c r="B35" s="42"/>
      <c r="C35" s="42"/>
      <c r="D35" s="42"/>
      <c r="E35" s="42"/>
      <c r="F35" s="42"/>
      <c r="G35" s="42"/>
      <c r="H35" s="42"/>
      <c r="I35" s="43"/>
      <c r="J35" s="44"/>
      <c r="K35" s="44"/>
      <c r="L35" s="44"/>
      <c r="M35" s="44"/>
      <c r="N35" s="44"/>
      <c r="O35" s="44"/>
      <c r="P35" s="45"/>
      <c r="Q35" s="46"/>
    </row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77" spans="1:19" x14ac:dyDescent="0.25">
      <c r="A77" t="s">
        <v>27</v>
      </c>
    </row>
    <row r="78" spans="1:19" x14ac:dyDescent="0.25">
      <c r="A78" t="s">
        <v>54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33</v>
      </c>
      <c r="H79" t="s">
        <v>34</v>
      </c>
      <c r="I79" t="s">
        <v>35</v>
      </c>
    </row>
    <row r="80" spans="1:19" x14ac:dyDescent="0.25">
      <c r="A80" s="1">
        <v>0</v>
      </c>
      <c r="B80" s="1">
        <v>975</v>
      </c>
      <c r="C80" s="1">
        <v>1696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1">
        <v>25</v>
      </c>
      <c r="B81" s="1">
        <v>935</v>
      </c>
      <c r="C81" s="1">
        <v>1558</v>
      </c>
      <c r="D81" s="1">
        <v>-1.6</v>
      </c>
      <c r="E81" s="1">
        <v>2.2000000000000002</v>
      </c>
      <c r="F81" s="1">
        <v>0.6</v>
      </c>
      <c r="G81" s="1">
        <v>0</v>
      </c>
      <c r="H81" s="1">
        <v>0</v>
      </c>
      <c r="I81" s="1">
        <v>0</v>
      </c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10">
        <v>50</v>
      </c>
      <c r="B82" s="10">
        <v>896</v>
      </c>
      <c r="C82" s="10">
        <v>1431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/>
      <c r="L82" s="10"/>
      <c r="M82" s="10"/>
      <c r="N82" s="1"/>
      <c r="O82" s="1"/>
      <c r="P82" s="1"/>
      <c r="Q82" s="1"/>
      <c r="R82" s="1"/>
      <c r="S82" s="1"/>
    </row>
    <row r="83" spans="1:19" x14ac:dyDescent="0.25">
      <c r="A83" s="1">
        <v>75</v>
      </c>
      <c r="B83" s="1">
        <v>858</v>
      </c>
      <c r="C83" s="1">
        <v>1313</v>
      </c>
      <c r="D83" s="1">
        <v>0.8</v>
      </c>
      <c r="E83" s="1">
        <v>-0.3</v>
      </c>
      <c r="F83" s="1">
        <v>-0.1</v>
      </c>
      <c r="G83" s="1">
        <v>0</v>
      </c>
      <c r="H83" s="1">
        <v>0</v>
      </c>
      <c r="I83" s="1">
        <v>0</v>
      </c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1">
        <v>100</v>
      </c>
      <c r="B84" s="1">
        <v>822</v>
      </c>
      <c r="C84" s="1">
        <v>1203</v>
      </c>
      <c r="D84" s="1">
        <v>0.7</v>
      </c>
      <c r="E84" s="1">
        <v>-0.2</v>
      </c>
      <c r="F84" s="1">
        <v>-0.1</v>
      </c>
      <c r="G84" s="1">
        <v>0</v>
      </c>
      <c r="H84" s="1">
        <v>0</v>
      </c>
      <c r="I84" s="1">
        <v>0</v>
      </c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1">
        <v>125</v>
      </c>
      <c r="B85" s="1">
        <v>786</v>
      </c>
      <c r="C85" s="1">
        <v>1101</v>
      </c>
      <c r="D85" s="1">
        <v>-0.4</v>
      </c>
      <c r="E85" s="1">
        <v>0.1</v>
      </c>
      <c r="F85" s="1">
        <v>0</v>
      </c>
      <c r="G85" s="1">
        <v>0</v>
      </c>
      <c r="H85" s="1">
        <v>0</v>
      </c>
      <c r="I85" s="1">
        <v>0</v>
      </c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1">
        <v>150</v>
      </c>
      <c r="B86" s="1">
        <v>751</v>
      </c>
      <c r="C86" s="1">
        <v>1005</v>
      </c>
      <c r="D86" s="1">
        <v>-2.4</v>
      </c>
      <c r="E86" s="1">
        <v>0.6</v>
      </c>
      <c r="F86" s="1">
        <v>0.2</v>
      </c>
      <c r="G86" s="1">
        <v>0</v>
      </c>
      <c r="H86" s="1">
        <v>0</v>
      </c>
      <c r="I86" s="1">
        <v>0</v>
      </c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1">
        <v>175</v>
      </c>
      <c r="B87" s="1">
        <v>717</v>
      </c>
      <c r="C87" s="1">
        <v>917</v>
      </c>
      <c r="D87" s="1">
        <v>-5.6</v>
      </c>
      <c r="E87" s="1">
        <v>1.1000000000000001</v>
      </c>
      <c r="F87" s="1">
        <v>0.3</v>
      </c>
      <c r="G87" s="1">
        <v>0</v>
      </c>
      <c r="H87" s="1">
        <v>0</v>
      </c>
      <c r="I87" s="1">
        <v>0</v>
      </c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1">
        <v>200</v>
      </c>
      <c r="B88" s="1">
        <v>684</v>
      </c>
      <c r="C88" s="1">
        <v>834</v>
      </c>
      <c r="D88" s="1">
        <v>-10.199999999999999</v>
      </c>
      <c r="E88" s="1">
        <v>1.7</v>
      </c>
      <c r="F88" s="1">
        <v>0.5</v>
      </c>
      <c r="G88" s="1">
        <v>0</v>
      </c>
      <c r="H88" s="1">
        <v>0</v>
      </c>
      <c r="I88" s="1">
        <v>0</v>
      </c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1">
        <v>225</v>
      </c>
      <c r="B89" s="1">
        <v>652</v>
      </c>
      <c r="C89" s="1">
        <v>757</v>
      </c>
      <c r="D89" s="1">
        <v>-16</v>
      </c>
      <c r="E89" s="1">
        <v>2.4</v>
      </c>
      <c r="F89" s="1">
        <v>0.7</v>
      </c>
      <c r="G89" s="1">
        <v>0</v>
      </c>
      <c r="H89" s="1">
        <v>0</v>
      </c>
      <c r="I89" s="1">
        <v>0</v>
      </c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1">
        <v>250</v>
      </c>
      <c r="B90" s="1">
        <v>620</v>
      </c>
      <c r="C90" s="1">
        <v>686</v>
      </c>
      <c r="D90" s="1">
        <v>-23.3</v>
      </c>
      <c r="E90" s="1">
        <v>3.2</v>
      </c>
      <c r="F90" s="1">
        <v>0.9</v>
      </c>
      <c r="G90" s="1">
        <v>0</v>
      </c>
      <c r="H90" s="1">
        <v>0</v>
      </c>
      <c r="I90" s="1">
        <v>0</v>
      </c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1">
        <v>275</v>
      </c>
      <c r="B91" s="1">
        <v>590</v>
      </c>
      <c r="C91" s="1">
        <v>620</v>
      </c>
      <c r="D91" s="1">
        <v>-32.799999999999997</v>
      </c>
      <c r="E91" s="1">
        <v>4.0999999999999996</v>
      </c>
      <c r="F91" s="1">
        <v>1.2</v>
      </c>
      <c r="G91" s="1">
        <v>0</v>
      </c>
      <c r="H91" s="1">
        <v>0</v>
      </c>
      <c r="I91" s="1">
        <v>0</v>
      </c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1">
        <v>300</v>
      </c>
      <c r="B92" s="1">
        <v>560</v>
      </c>
      <c r="C92" s="1">
        <v>560</v>
      </c>
      <c r="D92" s="1">
        <v>-43.8</v>
      </c>
      <c r="E92" s="1">
        <v>5</v>
      </c>
      <c r="F92" s="1">
        <v>1.5</v>
      </c>
      <c r="G92" s="1">
        <v>0</v>
      </c>
      <c r="H92" s="1">
        <v>0</v>
      </c>
      <c r="I92" s="1">
        <v>0</v>
      </c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1">
        <v>325</v>
      </c>
      <c r="B93" s="1">
        <v>532</v>
      </c>
      <c r="C93" s="1">
        <v>504</v>
      </c>
      <c r="D93" s="1">
        <v>-57</v>
      </c>
      <c r="E93" s="1">
        <v>6</v>
      </c>
      <c r="F93" s="1">
        <v>1.8</v>
      </c>
      <c r="G93" s="1">
        <v>0</v>
      </c>
      <c r="H93" s="1">
        <v>0</v>
      </c>
      <c r="I93" s="1">
        <v>0</v>
      </c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1">
        <v>350</v>
      </c>
      <c r="B94" s="1">
        <v>505</v>
      </c>
      <c r="C94" s="1">
        <v>454</v>
      </c>
      <c r="D94" s="1">
        <v>-73.2</v>
      </c>
      <c r="E94" s="1">
        <v>7.2</v>
      </c>
      <c r="F94" s="1">
        <v>2.1</v>
      </c>
      <c r="G94" s="1">
        <v>0</v>
      </c>
      <c r="H94" s="1">
        <v>0</v>
      </c>
      <c r="I94" s="1">
        <v>0</v>
      </c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1">
        <v>375</v>
      </c>
      <c r="B95" s="1">
        <v>479</v>
      </c>
      <c r="C95" s="1">
        <v>408</v>
      </c>
      <c r="D95" s="1">
        <v>-91.6</v>
      </c>
      <c r="E95" s="1">
        <v>8.4</v>
      </c>
      <c r="F95" s="1">
        <v>2.4</v>
      </c>
      <c r="G95" s="1">
        <v>0</v>
      </c>
      <c r="H95" s="1">
        <v>0</v>
      </c>
      <c r="I95" s="1">
        <v>0</v>
      </c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1">
        <v>400</v>
      </c>
      <c r="B96" s="1">
        <v>454</v>
      </c>
      <c r="C96" s="1">
        <v>367</v>
      </c>
      <c r="D96" s="1">
        <v>-113</v>
      </c>
      <c r="E96" s="1">
        <v>9.6999999999999993</v>
      </c>
      <c r="F96" s="1">
        <v>2.8</v>
      </c>
      <c r="G96" s="1">
        <v>0</v>
      </c>
      <c r="H96" s="1">
        <v>0</v>
      </c>
      <c r="I96" s="1">
        <v>0</v>
      </c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1">
        <v>425</v>
      </c>
      <c r="B97" s="1">
        <v>430</v>
      </c>
      <c r="C97" s="1">
        <v>330</v>
      </c>
      <c r="D97" s="1">
        <v>-138.80000000000001</v>
      </c>
      <c r="E97" s="1">
        <v>11.2</v>
      </c>
      <c r="F97" s="1">
        <v>3.3</v>
      </c>
      <c r="G97" s="1">
        <v>0</v>
      </c>
      <c r="H97" s="1">
        <v>0</v>
      </c>
      <c r="I97" s="1">
        <v>0</v>
      </c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1">
        <v>450</v>
      </c>
      <c r="B98" s="1">
        <v>408</v>
      </c>
      <c r="C98" s="1">
        <v>297</v>
      </c>
      <c r="D98" s="1">
        <v>-167.6</v>
      </c>
      <c r="E98" s="1">
        <v>12.8</v>
      </c>
      <c r="F98" s="1">
        <v>3.7</v>
      </c>
      <c r="G98" s="1">
        <v>0</v>
      </c>
      <c r="H98" s="1">
        <v>0</v>
      </c>
      <c r="I98" s="1">
        <v>0</v>
      </c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1">
        <v>475</v>
      </c>
      <c r="B99" s="1">
        <v>388</v>
      </c>
      <c r="C99" s="1">
        <v>268</v>
      </c>
      <c r="D99" s="1">
        <v>-200.6</v>
      </c>
      <c r="E99" s="1">
        <v>14.5</v>
      </c>
      <c r="F99" s="1">
        <v>4.2</v>
      </c>
      <c r="G99" s="1">
        <v>0</v>
      </c>
      <c r="H99" s="1">
        <v>0</v>
      </c>
      <c r="I99" s="1">
        <v>0</v>
      </c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1">
        <v>500</v>
      </c>
      <c r="B100" s="1">
        <v>370</v>
      </c>
      <c r="C100" s="1">
        <v>245</v>
      </c>
      <c r="D100" s="1">
        <v>-238.3</v>
      </c>
      <c r="E100" s="1">
        <v>16.399999999999999</v>
      </c>
      <c r="F100" s="1">
        <v>4.8</v>
      </c>
      <c r="G100" s="1">
        <v>0</v>
      </c>
      <c r="H100" s="1">
        <v>0</v>
      </c>
      <c r="I100" s="1">
        <v>0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2" spans="1:19" x14ac:dyDescent="0.25">
      <c r="A102" t="s">
        <v>55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33</v>
      </c>
      <c r="H103" t="s">
        <v>34</v>
      </c>
      <c r="I103" t="s">
        <v>35</v>
      </c>
    </row>
    <row r="104" spans="1:19" x14ac:dyDescent="0.25">
      <c r="A104" s="1">
        <v>0</v>
      </c>
      <c r="B104" s="1">
        <v>975</v>
      </c>
      <c r="C104" s="1">
        <v>1696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1">
        <v>25</v>
      </c>
      <c r="B105" s="1">
        <v>935</v>
      </c>
      <c r="C105" s="1">
        <v>1558</v>
      </c>
      <c r="D105" s="1">
        <v>-1.7</v>
      </c>
      <c r="E105" s="1">
        <v>2.4</v>
      </c>
      <c r="F105" s="1">
        <v>0.7</v>
      </c>
      <c r="G105">
        <v>0</v>
      </c>
      <c r="H105">
        <v>0</v>
      </c>
      <c r="I105">
        <v>0</v>
      </c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1">
        <v>50</v>
      </c>
      <c r="B106" s="1">
        <v>896</v>
      </c>
      <c r="C106" s="1">
        <v>1431</v>
      </c>
      <c r="D106" s="1">
        <v>-0.3</v>
      </c>
      <c r="E106" s="1">
        <v>0.2</v>
      </c>
      <c r="F106" s="1">
        <v>0.1</v>
      </c>
      <c r="G106">
        <v>0</v>
      </c>
      <c r="H106">
        <v>0</v>
      </c>
      <c r="I106">
        <v>0</v>
      </c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1">
        <v>75</v>
      </c>
      <c r="B107" s="1">
        <v>858</v>
      </c>
      <c r="C107" s="1">
        <v>1313</v>
      </c>
      <c r="D107" s="1">
        <v>0.3</v>
      </c>
      <c r="E107" s="1">
        <v>-0.1</v>
      </c>
      <c r="F107" s="1">
        <v>0</v>
      </c>
      <c r="G107">
        <v>0</v>
      </c>
      <c r="H107">
        <v>0</v>
      </c>
      <c r="I107">
        <v>0</v>
      </c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10">
        <v>100</v>
      </c>
      <c r="B108" s="10">
        <v>822</v>
      </c>
      <c r="C108" s="10">
        <v>1203</v>
      </c>
      <c r="D108" s="10">
        <v>0</v>
      </c>
      <c r="E108" s="10">
        <v>0</v>
      </c>
      <c r="F108" s="10">
        <v>0</v>
      </c>
      <c r="G108">
        <v>0</v>
      </c>
      <c r="H108">
        <v>0</v>
      </c>
      <c r="I108">
        <v>0</v>
      </c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1">
        <v>125</v>
      </c>
      <c r="B109" s="1">
        <v>786</v>
      </c>
      <c r="C109" s="1">
        <v>1101</v>
      </c>
      <c r="D109" s="1">
        <v>-1.2</v>
      </c>
      <c r="E109" s="1">
        <v>0.3</v>
      </c>
      <c r="F109" s="1">
        <v>0.1</v>
      </c>
      <c r="G109">
        <v>0</v>
      </c>
      <c r="H109">
        <v>0</v>
      </c>
      <c r="I109">
        <v>0</v>
      </c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1">
        <v>150</v>
      </c>
      <c r="B110" s="1">
        <v>751</v>
      </c>
      <c r="C110" s="1">
        <v>1005</v>
      </c>
      <c r="D110" s="1">
        <v>-3.4</v>
      </c>
      <c r="E110" s="1">
        <v>0.8</v>
      </c>
      <c r="F110" s="1">
        <v>0.2</v>
      </c>
      <c r="G110">
        <v>0</v>
      </c>
      <c r="H110">
        <v>0</v>
      </c>
      <c r="I110">
        <v>0</v>
      </c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1">
        <v>175</v>
      </c>
      <c r="B111" s="1">
        <v>717</v>
      </c>
      <c r="C111" s="1">
        <v>917</v>
      </c>
      <c r="D111" s="1">
        <v>-6.7</v>
      </c>
      <c r="E111" s="1">
        <v>1.3</v>
      </c>
      <c r="F111" s="1">
        <v>0.4</v>
      </c>
      <c r="G111">
        <v>0</v>
      </c>
      <c r="H111">
        <v>0</v>
      </c>
      <c r="I111">
        <v>0</v>
      </c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1">
        <v>200</v>
      </c>
      <c r="B112" s="1">
        <v>684</v>
      </c>
      <c r="C112" s="1">
        <v>834</v>
      </c>
      <c r="D112" s="1">
        <v>-11.5</v>
      </c>
      <c r="E112" s="1">
        <v>2</v>
      </c>
      <c r="F112" s="1">
        <v>0.6</v>
      </c>
      <c r="G112">
        <v>0</v>
      </c>
      <c r="H112">
        <v>0</v>
      </c>
      <c r="I112">
        <v>0</v>
      </c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1">
        <v>225</v>
      </c>
      <c r="B113" s="1">
        <v>652</v>
      </c>
      <c r="C113" s="1">
        <v>757</v>
      </c>
      <c r="D113" s="1">
        <v>-17.5</v>
      </c>
      <c r="E113" s="1">
        <v>2.7</v>
      </c>
      <c r="F113" s="1">
        <v>0.8</v>
      </c>
      <c r="G113">
        <v>0</v>
      </c>
      <c r="H113">
        <v>0</v>
      </c>
      <c r="I113">
        <v>0</v>
      </c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1">
        <v>250</v>
      </c>
      <c r="B114" s="1">
        <v>620</v>
      </c>
      <c r="C114" s="1">
        <v>686</v>
      </c>
      <c r="D114" s="1">
        <v>-25</v>
      </c>
      <c r="E114" s="1">
        <v>3.4</v>
      </c>
      <c r="F114" s="1">
        <v>1</v>
      </c>
      <c r="G114">
        <v>0</v>
      </c>
      <c r="H114">
        <v>0</v>
      </c>
      <c r="I114">
        <v>0</v>
      </c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1">
        <v>275</v>
      </c>
      <c r="B115" s="1">
        <v>590</v>
      </c>
      <c r="C115" s="1">
        <v>620</v>
      </c>
      <c r="D115" s="1">
        <v>-34.6</v>
      </c>
      <c r="E115" s="1">
        <v>4.3</v>
      </c>
      <c r="F115" s="1">
        <v>1.3</v>
      </c>
      <c r="G115">
        <v>0</v>
      </c>
      <c r="H115">
        <v>0</v>
      </c>
      <c r="I115">
        <v>0</v>
      </c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1">
        <v>300</v>
      </c>
      <c r="B116" s="1">
        <v>560</v>
      </c>
      <c r="C116" s="1">
        <v>560</v>
      </c>
      <c r="D116" s="1">
        <v>-45.8</v>
      </c>
      <c r="E116" s="1">
        <v>5.2</v>
      </c>
      <c r="F116" s="1">
        <v>1.5</v>
      </c>
      <c r="G116">
        <v>0</v>
      </c>
      <c r="H116">
        <v>0</v>
      </c>
      <c r="I116">
        <v>0</v>
      </c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1">
        <v>325</v>
      </c>
      <c r="B117" s="1">
        <v>532</v>
      </c>
      <c r="C117" s="1">
        <v>504</v>
      </c>
      <c r="D117" s="1">
        <v>-59.2</v>
      </c>
      <c r="E117" s="1">
        <v>6.3</v>
      </c>
      <c r="F117" s="1">
        <v>1.8</v>
      </c>
      <c r="G117">
        <v>0</v>
      </c>
      <c r="H117">
        <v>0</v>
      </c>
      <c r="I117">
        <v>0</v>
      </c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1">
        <v>350</v>
      </c>
      <c r="B118" s="1">
        <v>505</v>
      </c>
      <c r="C118" s="1">
        <v>454</v>
      </c>
      <c r="D118" s="1">
        <v>-75.599999999999994</v>
      </c>
      <c r="E118" s="1">
        <v>7.4</v>
      </c>
      <c r="F118" s="1">
        <v>2.2000000000000002</v>
      </c>
      <c r="G118">
        <v>0</v>
      </c>
      <c r="H118">
        <v>0</v>
      </c>
      <c r="I118">
        <v>0</v>
      </c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1">
        <v>375</v>
      </c>
      <c r="B119" s="1">
        <v>479</v>
      </c>
      <c r="C119" s="1">
        <v>408</v>
      </c>
      <c r="D119" s="1">
        <v>-94.1</v>
      </c>
      <c r="E119" s="1">
        <v>8.6</v>
      </c>
      <c r="F119" s="1">
        <v>2.5</v>
      </c>
      <c r="G119">
        <v>0</v>
      </c>
      <c r="H119">
        <v>0</v>
      </c>
      <c r="I119">
        <v>0</v>
      </c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1">
        <v>400</v>
      </c>
      <c r="B120" s="1">
        <v>454</v>
      </c>
      <c r="C120" s="1">
        <v>367</v>
      </c>
      <c r="D120" s="1">
        <v>-115.7</v>
      </c>
      <c r="E120" s="1">
        <v>10</v>
      </c>
      <c r="F120" s="1">
        <v>2.9</v>
      </c>
      <c r="G120">
        <v>0</v>
      </c>
      <c r="H120">
        <v>0</v>
      </c>
      <c r="I120">
        <v>0</v>
      </c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1">
        <v>425</v>
      </c>
      <c r="B121" s="1">
        <v>430</v>
      </c>
      <c r="C121" s="1">
        <v>330</v>
      </c>
      <c r="D121" s="1">
        <v>-141.69999999999999</v>
      </c>
      <c r="E121" s="1">
        <v>11.5</v>
      </c>
      <c r="F121" s="1">
        <v>3.3</v>
      </c>
      <c r="G121">
        <v>0</v>
      </c>
      <c r="H121">
        <v>0</v>
      </c>
      <c r="I121">
        <v>0</v>
      </c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1">
        <v>450</v>
      </c>
      <c r="B122" s="1">
        <v>408</v>
      </c>
      <c r="C122" s="1">
        <v>297</v>
      </c>
      <c r="D122" s="1">
        <v>-170.6</v>
      </c>
      <c r="E122" s="1">
        <v>13</v>
      </c>
      <c r="F122" s="1">
        <v>3.8</v>
      </c>
      <c r="G122">
        <v>0</v>
      </c>
      <c r="H122">
        <v>0</v>
      </c>
      <c r="I122">
        <v>0</v>
      </c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1">
        <v>475</v>
      </c>
      <c r="B123" s="1">
        <v>388</v>
      </c>
      <c r="C123" s="1">
        <v>268</v>
      </c>
      <c r="D123" s="1">
        <v>-203.8</v>
      </c>
      <c r="E123" s="1">
        <v>14.8</v>
      </c>
      <c r="F123" s="1">
        <v>4.3</v>
      </c>
      <c r="G123">
        <v>0</v>
      </c>
      <c r="H123">
        <v>0</v>
      </c>
      <c r="I123">
        <v>0</v>
      </c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1">
        <v>500</v>
      </c>
      <c r="B124" s="1">
        <v>370</v>
      </c>
      <c r="C124" s="1">
        <v>245</v>
      </c>
      <c r="D124" s="1">
        <v>-241.7</v>
      </c>
      <c r="E124" s="1">
        <v>16.600000000000001</v>
      </c>
      <c r="F124" s="1">
        <v>4.8</v>
      </c>
      <c r="G124">
        <v>0</v>
      </c>
      <c r="H124">
        <v>0</v>
      </c>
      <c r="I124">
        <v>0</v>
      </c>
      <c r="K124" s="1"/>
      <c r="L124" s="1"/>
      <c r="M124" s="1"/>
      <c r="N124" s="1"/>
      <c r="O124" s="1"/>
      <c r="P124" s="1"/>
      <c r="Q124" s="1"/>
      <c r="R124" s="1"/>
      <c r="S124" s="1"/>
    </row>
    <row r="126" spans="1:19" x14ac:dyDescent="0.25">
      <c r="A126" t="s">
        <v>56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33</v>
      </c>
      <c r="H127" t="s">
        <v>34</v>
      </c>
      <c r="I127" t="s">
        <v>35</v>
      </c>
    </row>
    <row r="128" spans="1:19" x14ac:dyDescent="0.25">
      <c r="A128" s="1">
        <v>0</v>
      </c>
      <c r="B128" s="1">
        <v>975</v>
      </c>
      <c r="C128" s="1">
        <v>1696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1">
        <v>25</v>
      </c>
      <c r="B129" s="1">
        <v>935</v>
      </c>
      <c r="C129" s="1">
        <v>1558</v>
      </c>
      <c r="D129" s="1">
        <v>-1.2</v>
      </c>
      <c r="E129" s="1">
        <v>1.6</v>
      </c>
      <c r="F129" s="1">
        <v>0.5</v>
      </c>
      <c r="G129">
        <v>0</v>
      </c>
      <c r="H129">
        <v>0</v>
      </c>
      <c r="I129">
        <v>0</v>
      </c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1">
        <v>50</v>
      </c>
      <c r="B130" s="1">
        <v>896</v>
      </c>
      <c r="C130" s="1">
        <v>1431</v>
      </c>
      <c r="D130" s="1">
        <v>0.8</v>
      </c>
      <c r="E130" s="1">
        <v>-0.6</v>
      </c>
      <c r="F130" s="1">
        <v>-0.2</v>
      </c>
      <c r="G130">
        <v>0</v>
      </c>
      <c r="H130">
        <v>0</v>
      </c>
      <c r="I130">
        <v>0</v>
      </c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1">
        <v>75</v>
      </c>
      <c r="B131" s="1">
        <v>858</v>
      </c>
      <c r="C131" s="1">
        <v>1313</v>
      </c>
      <c r="D131" s="1">
        <v>2</v>
      </c>
      <c r="E131" s="1">
        <v>-0.9</v>
      </c>
      <c r="F131" s="1">
        <v>-0.3</v>
      </c>
      <c r="G131">
        <v>0</v>
      </c>
      <c r="H131">
        <v>0</v>
      </c>
      <c r="I131">
        <v>0</v>
      </c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1">
        <v>100</v>
      </c>
      <c r="B132" s="1">
        <v>822</v>
      </c>
      <c r="C132" s="1">
        <v>1203</v>
      </c>
      <c r="D132" s="1">
        <v>2.2999999999999998</v>
      </c>
      <c r="E132" s="1">
        <v>-0.8</v>
      </c>
      <c r="F132" s="1">
        <v>-0.2</v>
      </c>
      <c r="G132">
        <v>0</v>
      </c>
      <c r="H132">
        <v>0</v>
      </c>
      <c r="I132">
        <v>0</v>
      </c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1">
        <v>125</v>
      </c>
      <c r="B133" s="1">
        <v>786</v>
      </c>
      <c r="C133" s="1">
        <v>1101</v>
      </c>
      <c r="D133" s="1">
        <v>1.6</v>
      </c>
      <c r="E133" s="1">
        <v>-0.4</v>
      </c>
      <c r="F133" s="1">
        <v>-0.1</v>
      </c>
      <c r="G133">
        <v>0</v>
      </c>
      <c r="H133">
        <v>0</v>
      </c>
      <c r="I133">
        <v>0</v>
      </c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10">
        <v>150</v>
      </c>
      <c r="B134" s="10">
        <v>751</v>
      </c>
      <c r="C134" s="10">
        <v>1005</v>
      </c>
      <c r="D134" s="10">
        <v>0</v>
      </c>
      <c r="E134" s="10">
        <v>0</v>
      </c>
      <c r="F134" s="10">
        <v>0</v>
      </c>
      <c r="G134">
        <v>0</v>
      </c>
      <c r="H134">
        <v>0</v>
      </c>
      <c r="I134">
        <v>0</v>
      </c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1">
        <v>175</v>
      </c>
      <c r="B135" s="1">
        <v>717</v>
      </c>
      <c r="C135" s="1">
        <v>917</v>
      </c>
      <c r="D135" s="1">
        <v>-2.8</v>
      </c>
      <c r="E135" s="1">
        <v>0.5</v>
      </c>
      <c r="F135" s="1">
        <v>0.2</v>
      </c>
      <c r="G135">
        <v>0</v>
      </c>
      <c r="H135">
        <v>0</v>
      </c>
      <c r="I135">
        <v>0</v>
      </c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1">
        <v>200</v>
      </c>
      <c r="B136" s="1">
        <v>684</v>
      </c>
      <c r="C136" s="1">
        <v>834</v>
      </c>
      <c r="D136" s="1">
        <v>-6.9</v>
      </c>
      <c r="E136" s="1">
        <v>1.2</v>
      </c>
      <c r="F136" s="1">
        <v>0.3</v>
      </c>
      <c r="G136">
        <v>0</v>
      </c>
      <c r="H136">
        <v>0</v>
      </c>
      <c r="I136">
        <v>0</v>
      </c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1">
        <v>225</v>
      </c>
      <c r="B137" s="1">
        <v>652</v>
      </c>
      <c r="C137" s="1">
        <v>757</v>
      </c>
      <c r="D137" s="1">
        <v>-12.4</v>
      </c>
      <c r="E137" s="1">
        <v>1.9</v>
      </c>
      <c r="F137" s="1">
        <v>0.5</v>
      </c>
      <c r="G137">
        <v>0</v>
      </c>
      <c r="H137">
        <v>0</v>
      </c>
      <c r="I137">
        <v>0</v>
      </c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1">
        <v>250</v>
      </c>
      <c r="B138" s="1">
        <v>620</v>
      </c>
      <c r="C138" s="1">
        <v>686</v>
      </c>
      <c r="D138" s="1">
        <v>-19.3</v>
      </c>
      <c r="E138" s="1">
        <v>2.7</v>
      </c>
      <c r="F138" s="1">
        <v>0.8</v>
      </c>
      <c r="G138">
        <v>0</v>
      </c>
      <c r="H138">
        <v>0</v>
      </c>
      <c r="I138">
        <v>0</v>
      </c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1">
        <v>275</v>
      </c>
      <c r="B139" s="1">
        <v>590</v>
      </c>
      <c r="C139" s="1">
        <v>620</v>
      </c>
      <c r="D139" s="1">
        <v>-28.4</v>
      </c>
      <c r="E139" s="1">
        <v>3.5</v>
      </c>
      <c r="F139" s="1">
        <v>1</v>
      </c>
      <c r="G139">
        <v>0</v>
      </c>
      <c r="H139">
        <v>0</v>
      </c>
      <c r="I139">
        <v>0</v>
      </c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1">
        <v>300</v>
      </c>
      <c r="B140" s="1">
        <v>560</v>
      </c>
      <c r="C140" s="1">
        <v>560</v>
      </c>
      <c r="D140" s="1">
        <v>-39</v>
      </c>
      <c r="E140" s="1">
        <v>4.5</v>
      </c>
      <c r="F140" s="1">
        <v>1.3</v>
      </c>
      <c r="G140">
        <v>0</v>
      </c>
      <c r="H140">
        <v>0</v>
      </c>
      <c r="I140">
        <v>0</v>
      </c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1">
        <v>325</v>
      </c>
      <c r="B141" s="1">
        <v>532</v>
      </c>
      <c r="C141" s="1">
        <v>504</v>
      </c>
      <c r="D141" s="1">
        <v>-51.8</v>
      </c>
      <c r="E141" s="1">
        <v>5.5</v>
      </c>
      <c r="F141" s="1">
        <v>1.6</v>
      </c>
      <c r="G141">
        <v>0</v>
      </c>
      <c r="H141">
        <v>0</v>
      </c>
      <c r="I141">
        <v>0</v>
      </c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1">
        <v>350</v>
      </c>
      <c r="B142" s="1">
        <v>505</v>
      </c>
      <c r="C142" s="1">
        <v>454</v>
      </c>
      <c r="D142" s="1">
        <v>-67.599999999999994</v>
      </c>
      <c r="E142" s="1">
        <v>6.6</v>
      </c>
      <c r="F142" s="1">
        <v>1.9</v>
      </c>
      <c r="G142">
        <v>0</v>
      </c>
      <c r="H142">
        <v>0</v>
      </c>
      <c r="I142">
        <v>0</v>
      </c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1">
        <v>375</v>
      </c>
      <c r="B143" s="1">
        <v>479</v>
      </c>
      <c r="C143" s="1">
        <v>408</v>
      </c>
      <c r="D143" s="1">
        <v>-85.6</v>
      </c>
      <c r="E143" s="1">
        <v>7.8</v>
      </c>
      <c r="F143" s="1">
        <v>2.2999999999999998</v>
      </c>
      <c r="G143">
        <v>0</v>
      </c>
      <c r="H143">
        <v>0</v>
      </c>
      <c r="I143">
        <v>0</v>
      </c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1">
        <v>400</v>
      </c>
      <c r="B144" s="1">
        <v>454</v>
      </c>
      <c r="C144" s="1">
        <v>367</v>
      </c>
      <c r="D144" s="1">
        <v>-106.6</v>
      </c>
      <c r="E144" s="1">
        <v>9.1999999999999993</v>
      </c>
      <c r="F144" s="1">
        <v>2.7</v>
      </c>
      <c r="G144">
        <v>0</v>
      </c>
      <c r="H144">
        <v>0</v>
      </c>
      <c r="I144">
        <v>0</v>
      </c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1">
        <v>425</v>
      </c>
      <c r="B145" s="1">
        <v>430</v>
      </c>
      <c r="C145" s="1">
        <v>330</v>
      </c>
      <c r="D145" s="1">
        <v>-132</v>
      </c>
      <c r="E145" s="1">
        <v>10.7</v>
      </c>
      <c r="F145" s="1">
        <v>3.1</v>
      </c>
      <c r="G145">
        <v>0</v>
      </c>
      <c r="H145">
        <v>0</v>
      </c>
      <c r="I145">
        <v>0</v>
      </c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1">
        <v>450</v>
      </c>
      <c r="B146" s="1">
        <v>408</v>
      </c>
      <c r="C146" s="1">
        <v>297</v>
      </c>
      <c r="D146" s="1">
        <v>-160.4</v>
      </c>
      <c r="E146" s="1">
        <v>12.3</v>
      </c>
      <c r="F146" s="1">
        <v>3.6</v>
      </c>
      <c r="G146">
        <v>0</v>
      </c>
      <c r="H146">
        <v>0</v>
      </c>
      <c r="I146">
        <v>0</v>
      </c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1">
        <v>475</v>
      </c>
      <c r="B147" s="1">
        <v>388</v>
      </c>
      <c r="C147" s="1">
        <v>268</v>
      </c>
      <c r="D147" s="1">
        <v>-193</v>
      </c>
      <c r="E147" s="1">
        <v>14</v>
      </c>
      <c r="F147" s="1">
        <v>4.0999999999999996</v>
      </c>
      <c r="G147">
        <v>0</v>
      </c>
      <c r="H147">
        <v>0</v>
      </c>
      <c r="I147">
        <v>0</v>
      </c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1">
        <v>500</v>
      </c>
      <c r="B148" s="1">
        <v>370</v>
      </c>
      <c r="C148" s="1">
        <v>245</v>
      </c>
      <c r="D148" s="1">
        <v>-230.3</v>
      </c>
      <c r="E148" s="1">
        <v>15.9</v>
      </c>
      <c r="F148" s="1">
        <v>4.5999999999999996</v>
      </c>
      <c r="G148">
        <v>0</v>
      </c>
      <c r="H148">
        <v>0</v>
      </c>
      <c r="I148">
        <v>0</v>
      </c>
      <c r="K148" s="1"/>
      <c r="L148" s="1"/>
      <c r="M148" s="1"/>
      <c r="N148" s="1"/>
      <c r="O148" s="1"/>
      <c r="P148" s="1"/>
      <c r="Q148" s="1"/>
      <c r="R148" s="1"/>
      <c r="S148" s="1"/>
    </row>
    <row r="150" spans="1:19" x14ac:dyDescent="0.25">
      <c r="A150" t="s">
        <v>57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33</v>
      </c>
      <c r="H151" t="s">
        <v>34</v>
      </c>
      <c r="I151" t="s">
        <v>35</v>
      </c>
    </row>
    <row r="152" spans="1:19" x14ac:dyDescent="0.25">
      <c r="A152" s="1">
        <v>0</v>
      </c>
      <c r="B152" s="1">
        <v>975</v>
      </c>
      <c r="C152" s="1">
        <v>1696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1">
        <v>25</v>
      </c>
      <c r="B153" s="1">
        <v>935</v>
      </c>
      <c r="C153" s="1">
        <v>1558</v>
      </c>
      <c r="D153" s="1">
        <v>-0.3</v>
      </c>
      <c r="E153" s="1">
        <v>0.4</v>
      </c>
      <c r="F153" s="1">
        <v>0.1</v>
      </c>
      <c r="G153">
        <v>0</v>
      </c>
      <c r="H153">
        <v>0</v>
      </c>
      <c r="I153">
        <v>0</v>
      </c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1">
        <v>50</v>
      </c>
      <c r="B154" s="1">
        <v>896</v>
      </c>
      <c r="C154" s="1">
        <v>1431</v>
      </c>
      <c r="D154" s="1">
        <v>2.6</v>
      </c>
      <c r="E154" s="1">
        <v>-1.8</v>
      </c>
      <c r="F154" s="1">
        <v>-0.5</v>
      </c>
      <c r="G154">
        <v>0</v>
      </c>
      <c r="H154">
        <v>0</v>
      </c>
      <c r="I154">
        <v>0</v>
      </c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1">
        <v>75</v>
      </c>
      <c r="B155" s="1">
        <v>858</v>
      </c>
      <c r="C155" s="1">
        <v>1313</v>
      </c>
      <c r="D155" s="1">
        <v>4.5999999999999996</v>
      </c>
      <c r="E155" s="1">
        <v>-2.1</v>
      </c>
      <c r="F155" s="1">
        <v>-0.6</v>
      </c>
      <c r="G155">
        <v>0</v>
      </c>
      <c r="H155">
        <v>0</v>
      </c>
      <c r="I155">
        <v>0</v>
      </c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1">
        <v>100</v>
      </c>
      <c r="B156" s="1">
        <v>822</v>
      </c>
      <c r="C156" s="1">
        <v>1203</v>
      </c>
      <c r="D156" s="1">
        <v>5.7</v>
      </c>
      <c r="E156" s="1">
        <v>-2</v>
      </c>
      <c r="F156" s="1">
        <v>-0.6</v>
      </c>
      <c r="G156">
        <v>0</v>
      </c>
      <c r="H156">
        <v>0</v>
      </c>
      <c r="I156">
        <v>0</v>
      </c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1">
        <v>125</v>
      </c>
      <c r="B157" s="1">
        <v>786</v>
      </c>
      <c r="C157" s="1">
        <v>1101</v>
      </c>
      <c r="D157" s="1">
        <v>6</v>
      </c>
      <c r="E157" s="1">
        <v>-1.6</v>
      </c>
      <c r="F157" s="1">
        <v>-0.5</v>
      </c>
      <c r="G157">
        <v>0</v>
      </c>
      <c r="H157">
        <v>0</v>
      </c>
      <c r="I157">
        <v>0</v>
      </c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1">
        <v>150</v>
      </c>
      <c r="B158" s="1">
        <v>751</v>
      </c>
      <c r="C158" s="1">
        <v>1005</v>
      </c>
      <c r="D158" s="1">
        <v>5.2</v>
      </c>
      <c r="E158" s="1">
        <v>-1.2</v>
      </c>
      <c r="F158" s="1">
        <v>-0.3</v>
      </c>
      <c r="G158">
        <v>0</v>
      </c>
      <c r="H158">
        <v>0</v>
      </c>
      <c r="I158">
        <v>0</v>
      </c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1">
        <v>175</v>
      </c>
      <c r="B159" s="1">
        <v>717</v>
      </c>
      <c r="C159" s="1">
        <v>917</v>
      </c>
      <c r="D159" s="1">
        <v>3.3</v>
      </c>
      <c r="E159" s="1">
        <v>-0.6</v>
      </c>
      <c r="F159" s="1">
        <v>-0.2</v>
      </c>
      <c r="G159">
        <v>0</v>
      </c>
      <c r="H159">
        <v>0</v>
      </c>
      <c r="I159">
        <v>0</v>
      </c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10">
        <v>200</v>
      </c>
      <c r="B160" s="10">
        <v>684</v>
      </c>
      <c r="C160" s="10">
        <v>834</v>
      </c>
      <c r="D160" s="10">
        <v>0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1">
        <v>225</v>
      </c>
      <c r="B161" s="1">
        <v>652</v>
      </c>
      <c r="C161" s="1">
        <v>757</v>
      </c>
      <c r="D161" s="1">
        <v>-4.5999999999999996</v>
      </c>
      <c r="E161" s="1">
        <v>0.7</v>
      </c>
      <c r="F161" s="1">
        <v>0.2</v>
      </c>
      <c r="G161">
        <v>0</v>
      </c>
      <c r="H161">
        <v>0</v>
      </c>
      <c r="I161">
        <v>0</v>
      </c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1">
        <v>250</v>
      </c>
      <c r="B162" s="1">
        <v>620</v>
      </c>
      <c r="C162" s="1">
        <v>686</v>
      </c>
      <c r="D162" s="1">
        <v>-10.7</v>
      </c>
      <c r="E162" s="1">
        <v>1.5</v>
      </c>
      <c r="F162" s="1">
        <v>0.4</v>
      </c>
      <c r="G162">
        <v>0</v>
      </c>
      <c r="H162">
        <v>0</v>
      </c>
      <c r="I162">
        <v>0</v>
      </c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1">
        <v>275</v>
      </c>
      <c r="B163" s="1">
        <v>590</v>
      </c>
      <c r="C163" s="1">
        <v>620</v>
      </c>
      <c r="D163" s="1">
        <v>-18.8</v>
      </c>
      <c r="E163" s="1">
        <v>2.2999999999999998</v>
      </c>
      <c r="F163" s="1">
        <v>0.7</v>
      </c>
      <c r="G163">
        <v>0</v>
      </c>
      <c r="H163">
        <v>0</v>
      </c>
      <c r="I163">
        <v>0</v>
      </c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1">
        <v>300</v>
      </c>
      <c r="B164" s="1">
        <v>560</v>
      </c>
      <c r="C164" s="1">
        <v>560</v>
      </c>
      <c r="D164" s="1">
        <v>-28.6</v>
      </c>
      <c r="E164" s="1">
        <v>3.3</v>
      </c>
      <c r="F164" s="1">
        <v>1</v>
      </c>
      <c r="G164">
        <v>0</v>
      </c>
      <c r="H164">
        <v>0</v>
      </c>
      <c r="I164">
        <v>0</v>
      </c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1">
        <v>325</v>
      </c>
      <c r="B165" s="1">
        <v>532</v>
      </c>
      <c r="C165" s="1">
        <v>504</v>
      </c>
      <c r="D165" s="1">
        <v>-40.5</v>
      </c>
      <c r="E165" s="1">
        <v>4.3</v>
      </c>
      <c r="F165" s="1">
        <v>1.2</v>
      </c>
      <c r="G165">
        <v>0</v>
      </c>
      <c r="H165">
        <v>0</v>
      </c>
      <c r="I165">
        <v>0</v>
      </c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1">
        <v>350</v>
      </c>
      <c r="B166" s="1">
        <v>505</v>
      </c>
      <c r="C166" s="1">
        <v>454</v>
      </c>
      <c r="D166" s="1">
        <v>-55.4</v>
      </c>
      <c r="E166" s="1">
        <v>5.4</v>
      </c>
      <c r="F166" s="1">
        <v>1.6</v>
      </c>
      <c r="G166">
        <v>0</v>
      </c>
      <c r="H166">
        <v>0</v>
      </c>
      <c r="I166">
        <v>0</v>
      </c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1">
        <v>375</v>
      </c>
      <c r="B167" s="1">
        <v>479</v>
      </c>
      <c r="C167" s="1">
        <v>408</v>
      </c>
      <c r="D167" s="1">
        <v>-72.599999999999994</v>
      </c>
      <c r="E167" s="1">
        <v>6.7</v>
      </c>
      <c r="F167" s="1">
        <v>1.9</v>
      </c>
      <c r="G167">
        <v>0</v>
      </c>
      <c r="H167">
        <v>0</v>
      </c>
      <c r="I167">
        <v>0</v>
      </c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1">
        <v>400</v>
      </c>
      <c r="B168" s="1">
        <v>454</v>
      </c>
      <c r="C168" s="1">
        <v>367</v>
      </c>
      <c r="D168" s="1">
        <v>-92.7</v>
      </c>
      <c r="E168" s="1">
        <v>8</v>
      </c>
      <c r="F168" s="1">
        <v>2.2999999999999998</v>
      </c>
      <c r="G168">
        <v>0</v>
      </c>
      <c r="H168">
        <v>0</v>
      </c>
      <c r="I168">
        <v>0</v>
      </c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1">
        <v>425</v>
      </c>
      <c r="B169" s="1">
        <v>430</v>
      </c>
      <c r="C169" s="1">
        <v>330</v>
      </c>
      <c r="D169" s="1">
        <v>-117.2</v>
      </c>
      <c r="E169" s="1">
        <v>9.5</v>
      </c>
      <c r="F169" s="1">
        <v>2.8</v>
      </c>
      <c r="G169">
        <v>0</v>
      </c>
      <c r="H169">
        <v>0</v>
      </c>
      <c r="I169">
        <v>0</v>
      </c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1">
        <v>450</v>
      </c>
      <c r="B170" s="1">
        <v>408</v>
      </c>
      <c r="C170" s="1">
        <v>297</v>
      </c>
      <c r="D170" s="1">
        <v>-144.80000000000001</v>
      </c>
      <c r="E170" s="1">
        <v>11.1</v>
      </c>
      <c r="F170" s="1">
        <v>3.2</v>
      </c>
      <c r="G170">
        <v>0</v>
      </c>
      <c r="H170">
        <v>0</v>
      </c>
      <c r="I170">
        <v>0</v>
      </c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1">
        <v>475</v>
      </c>
      <c r="B171" s="1">
        <v>388</v>
      </c>
      <c r="C171" s="1">
        <v>268</v>
      </c>
      <c r="D171" s="1">
        <v>-176.5</v>
      </c>
      <c r="E171" s="1">
        <v>12.8</v>
      </c>
      <c r="F171" s="1">
        <v>3.7</v>
      </c>
      <c r="G171">
        <v>0</v>
      </c>
      <c r="H171">
        <v>0</v>
      </c>
      <c r="I171">
        <v>0</v>
      </c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1">
        <v>500</v>
      </c>
      <c r="B172" s="1">
        <v>370</v>
      </c>
      <c r="C172" s="1">
        <v>245</v>
      </c>
      <c r="D172" s="1">
        <v>-213</v>
      </c>
      <c r="E172" s="1">
        <v>14.7</v>
      </c>
      <c r="F172" s="1">
        <v>4.3</v>
      </c>
      <c r="G172">
        <v>0</v>
      </c>
      <c r="H172">
        <v>0</v>
      </c>
      <c r="I172">
        <v>0</v>
      </c>
      <c r="K172" s="1"/>
      <c r="L172" s="1"/>
      <c r="M172" s="1"/>
      <c r="N172" s="1"/>
      <c r="O172" s="1"/>
      <c r="P172" s="1"/>
      <c r="Q172" s="1"/>
      <c r="R172" s="1"/>
      <c r="S172" s="1"/>
    </row>
    <row r="174" spans="1:19" x14ac:dyDescent="0.25">
      <c r="A174" t="s">
        <v>58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33</v>
      </c>
      <c r="H175" t="s">
        <v>34</v>
      </c>
      <c r="I175" t="s">
        <v>35</v>
      </c>
    </row>
    <row r="176" spans="1:19" x14ac:dyDescent="0.25">
      <c r="A176" s="1">
        <v>0</v>
      </c>
      <c r="B176" s="1">
        <v>975</v>
      </c>
      <c r="C176" s="1">
        <v>1696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1">
        <v>25</v>
      </c>
      <c r="B177" s="1">
        <v>935</v>
      </c>
      <c r="C177" s="1">
        <v>1558</v>
      </c>
      <c r="D177" s="1">
        <v>2.1</v>
      </c>
      <c r="E177" s="1">
        <v>-2.9</v>
      </c>
      <c r="F177" s="1">
        <v>-0.8</v>
      </c>
      <c r="G177">
        <v>0</v>
      </c>
      <c r="H177">
        <v>0</v>
      </c>
      <c r="I177">
        <v>0</v>
      </c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1">
        <v>50</v>
      </c>
      <c r="B178" s="1">
        <v>896</v>
      </c>
      <c r="C178" s="1">
        <v>1431</v>
      </c>
      <c r="D178" s="1">
        <v>7.4</v>
      </c>
      <c r="E178" s="1">
        <v>-5</v>
      </c>
      <c r="F178" s="1">
        <v>-1.5</v>
      </c>
      <c r="G178">
        <v>0</v>
      </c>
      <c r="H178">
        <v>0</v>
      </c>
      <c r="I178">
        <v>0</v>
      </c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1">
        <v>75</v>
      </c>
      <c r="B179" s="1">
        <v>858</v>
      </c>
      <c r="C179" s="1">
        <v>1313</v>
      </c>
      <c r="D179" s="1">
        <v>11.7</v>
      </c>
      <c r="E179" s="1">
        <v>-5.4</v>
      </c>
      <c r="F179" s="1">
        <v>-1.6</v>
      </c>
      <c r="G179">
        <v>0</v>
      </c>
      <c r="H179">
        <v>0</v>
      </c>
      <c r="I179">
        <v>0</v>
      </c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1">
        <v>100</v>
      </c>
      <c r="B180" s="1">
        <v>822</v>
      </c>
      <c r="C180" s="1">
        <v>1203</v>
      </c>
      <c r="D180" s="1">
        <v>15.3</v>
      </c>
      <c r="E180" s="1">
        <v>-5.3</v>
      </c>
      <c r="F180" s="1">
        <v>-1.5</v>
      </c>
      <c r="G180">
        <v>0</v>
      </c>
      <c r="H180">
        <v>0</v>
      </c>
      <c r="I180">
        <v>0</v>
      </c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1">
        <v>125</v>
      </c>
      <c r="B181" s="1">
        <v>786</v>
      </c>
      <c r="C181" s="1">
        <v>1101</v>
      </c>
      <c r="D181" s="1">
        <v>18</v>
      </c>
      <c r="E181" s="1">
        <v>-4.9000000000000004</v>
      </c>
      <c r="F181" s="1">
        <v>-1.4</v>
      </c>
      <c r="G181">
        <v>0</v>
      </c>
      <c r="H181">
        <v>0</v>
      </c>
      <c r="I181">
        <v>0</v>
      </c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1">
        <v>150</v>
      </c>
      <c r="B182" s="1">
        <v>751</v>
      </c>
      <c r="C182" s="1">
        <v>1005</v>
      </c>
      <c r="D182" s="1">
        <v>19.5</v>
      </c>
      <c r="E182" s="1">
        <v>-4.5</v>
      </c>
      <c r="F182" s="1">
        <v>-1.3</v>
      </c>
      <c r="G182">
        <v>0</v>
      </c>
      <c r="H182">
        <v>0</v>
      </c>
      <c r="I182">
        <v>0</v>
      </c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1">
        <v>175</v>
      </c>
      <c r="B183" s="1">
        <v>717</v>
      </c>
      <c r="C183" s="1">
        <v>917</v>
      </c>
      <c r="D183" s="1">
        <v>20</v>
      </c>
      <c r="E183" s="1">
        <v>-3.9</v>
      </c>
      <c r="F183" s="1">
        <v>-1.1000000000000001</v>
      </c>
      <c r="G183">
        <v>0</v>
      </c>
      <c r="H183">
        <v>0</v>
      </c>
      <c r="I183">
        <v>0</v>
      </c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1">
        <v>200</v>
      </c>
      <c r="B184" s="1">
        <v>684</v>
      </c>
      <c r="C184" s="1">
        <v>834</v>
      </c>
      <c r="D184" s="1">
        <v>19.100000000000001</v>
      </c>
      <c r="E184" s="1">
        <v>-3.3</v>
      </c>
      <c r="F184" s="1">
        <v>-1</v>
      </c>
      <c r="G184">
        <v>0</v>
      </c>
      <c r="H184">
        <v>0</v>
      </c>
      <c r="I184">
        <v>0</v>
      </c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1">
        <v>225</v>
      </c>
      <c r="B185" s="1">
        <v>652</v>
      </c>
      <c r="C185" s="1">
        <v>757</v>
      </c>
      <c r="D185" s="1">
        <v>16.899999999999999</v>
      </c>
      <c r="E185" s="1">
        <v>-2.6</v>
      </c>
      <c r="F185" s="1">
        <v>-0.8</v>
      </c>
      <c r="G185">
        <v>0</v>
      </c>
      <c r="H185">
        <v>0</v>
      </c>
      <c r="I185">
        <v>0</v>
      </c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1">
        <v>250</v>
      </c>
      <c r="B186" s="1">
        <v>620</v>
      </c>
      <c r="C186" s="1">
        <v>686</v>
      </c>
      <c r="D186" s="1">
        <v>13.2</v>
      </c>
      <c r="E186" s="1">
        <v>-1.8</v>
      </c>
      <c r="F186" s="1">
        <v>-0.5</v>
      </c>
      <c r="G186">
        <v>0</v>
      </c>
      <c r="H186">
        <v>0</v>
      </c>
      <c r="I186">
        <v>0</v>
      </c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1">
        <v>275</v>
      </c>
      <c r="B187" s="1">
        <v>590</v>
      </c>
      <c r="C187" s="1">
        <v>620</v>
      </c>
      <c r="D187" s="1">
        <v>7.5</v>
      </c>
      <c r="E187" s="1">
        <v>-0.9</v>
      </c>
      <c r="F187" s="1">
        <v>-0.3</v>
      </c>
      <c r="G187">
        <v>0</v>
      </c>
      <c r="H187">
        <v>0</v>
      </c>
      <c r="I187">
        <v>0</v>
      </c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10">
        <v>300</v>
      </c>
      <c r="B188" s="10">
        <v>560</v>
      </c>
      <c r="C188" s="10">
        <v>560</v>
      </c>
      <c r="D188" s="10">
        <v>0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1">
        <v>325</v>
      </c>
      <c r="B189" s="1">
        <v>532</v>
      </c>
      <c r="C189" s="1">
        <v>504</v>
      </c>
      <c r="D189" s="1">
        <v>-9.5</v>
      </c>
      <c r="E189" s="1">
        <v>1</v>
      </c>
      <c r="F189" s="1">
        <v>0.3</v>
      </c>
      <c r="G189">
        <v>0</v>
      </c>
      <c r="H189">
        <v>0</v>
      </c>
      <c r="I189">
        <v>0</v>
      </c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1">
        <v>350</v>
      </c>
      <c r="B190" s="1">
        <v>505</v>
      </c>
      <c r="C190" s="1">
        <v>454</v>
      </c>
      <c r="D190" s="1">
        <v>-22</v>
      </c>
      <c r="E190" s="1">
        <v>2.2000000000000002</v>
      </c>
      <c r="F190" s="1">
        <v>0.6</v>
      </c>
      <c r="G190">
        <v>0</v>
      </c>
      <c r="H190">
        <v>0</v>
      </c>
      <c r="I190">
        <v>0</v>
      </c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1">
        <v>375</v>
      </c>
      <c r="B191" s="1">
        <v>479</v>
      </c>
      <c r="C191" s="1">
        <v>408</v>
      </c>
      <c r="D191" s="1">
        <v>-36.799999999999997</v>
      </c>
      <c r="E191" s="1">
        <v>3.4</v>
      </c>
      <c r="F191" s="1">
        <v>1</v>
      </c>
      <c r="G191">
        <v>0</v>
      </c>
      <c r="H191">
        <v>0</v>
      </c>
      <c r="I191">
        <v>0</v>
      </c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1">
        <v>400</v>
      </c>
      <c r="B192" s="1">
        <v>454</v>
      </c>
      <c r="C192" s="1">
        <v>367</v>
      </c>
      <c r="D192" s="1">
        <v>-54.6</v>
      </c>
      <c r="E192" s="1">
        <v>4.7</v>
      </c>
      <c r="F192" s="1">
        <v>1.4</v>
      </c>
      <c r="G192">
        <v>0</v>
      </c>
      <c r="H192">
        <v>0</v>
      </c>
      <c r="I192">
        <v>0</v>
      </c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1">
        <v>425</v>
      </c>
      <c r="B193" s="1">
        <v>430</v>
      </c>
      <c r="C193" s="1">
        <v>330</v>
      </c>
      <c r="D193" s="1">
        <v>-76.7</v>
      </c>
      <c r="E193" s="1">
        <v>6.2</v>
      </c>
      <c r="F193" s="1">
        <v>1.8</v>
      </c>
      <c r="G193">
        <v>0</v>
      </c>
      <c r="H193">
        <v>0</v>
      </c>
      <c r="I193">
        <v>0</v>
      </c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1">
        <v>450</v>
      </c>
      <c r="B194" s="1">
        <v>408</v>
      </c>
      <c r="C194" s="1">
        <v>297</v>
      </c>
      <c r="D194" s="1">
        <v>-101.8</v>
      </c>
      <c r="E194" s="1">
        <v>7.8</v>
      </c>
      <c r="F194" s="1">
        <v>2.2999999999999998</v>
      </c>
      <c r="G194">
        <v>0</v>
      </c>
      <c r="H194">
        <v>0</v>
      </c>
      <c r="I194">
        <v>0</v>
      </c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1">
        <v>475</v>
      </c>
      <c r="B195" s="1">
        <v>388</v>
      </c>
      <c r="C195" s="1">
        <v>268</v>
      </c>
      <c r="D195" s="1">
        <v>-131.19999999999999</v>
      </c>
      <c r="E195" s="1">
        <v>9.5</v>
      </c>
      <c r="F195" s="1">
        <v>2.8</v>
      </c>
      <c r="G195">
        <v>0</v>
      </c>
      <c r="H195">
        <v>0</v>
      </c>
      <c r="I195">
        <v>0</v>
      </c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1">
        <v>500</v>
      </c>
      <c r="B196" s="1">
        <v>370</v>
      </c>
      <c r="C196" s="1">
        <v>245</v>
      </c>
      <c r="D196" s="1">
        <v>-165.3</v>
      </c>
      <c r="E196" s="1">
        <v>11.4</v>
      </c>
      <c r="F196" s="1">
        <v>3.3</v>
      </c>
      <c r="G196">
        <v>0</v>
      </c>
      <c r="H196">
        <v>0</v>
      </c>
      <c r="I196">
        <v>0</v>
      </c>
      <c r="K196" s="1"/>
      <c r="L196" s="1"/>
      <c r="M196" s="1"/>
      <c r="N196" s="1"/>
      <c r="O196" s="1"/>
      <c r="P196" s="1"/>
      <c r="Q196" s="1"/>
      <c r="R196" s="1"/>
      <c r="S196" s="1"/>
    </row>
    <row r="198" spans="1:19" x14ac:dyDescent="0.25">
      <c r="A198" t="s">
        <v>59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33</v>
      </c>
      <c r="H199" t="s">
        <v>34</v>
      </c>
      <c r="I199" t="s">
        <v>35</v>
      </c>
    </row>
    <row r="200" spans="1:19" x14ac:dyDescent="0.25">
      <c r="A200" s="1">
        <v>0</v>
      </c>
      <c r="B200" s="1">
        <v>975</v>
      </c>
      <c r="C200" s="1">
        <v>1696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1">
        <v>25</v>
      </c>
      <c r="B201" s="1">
        <v>935</v>
      </c>
      <c r="C201" s="1">
        <v>1558</v>
      </c>
      <c r="D201" s="1">
        <v>5.5</v>
      </c>
      <c r="E201" s="1">
        <v>-7.6</v>
      </c>
      <c r="F201" s="1">
        <v>-2.2000000000000002</v>
      </c>
      <c r="G201">
        <v>0</v>
      </c>
      <c r="H201">
        <v>0</v>
      </c>
      <c r="I201">
        <v>0</v>
      </c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1">
        <v>50</v>
      </c>
      <c r="B202" s="1">
        <v>896</v>
      </c>
      <c r="C202" s="1">
        <v>1431</v>
      </c>
      <c r="D202" s="1">
        <v>14.3</v>
      </c>
      <c r="E202" s="1">
        <v>-9.6999999999999993</v>
      </c>
      <c r="F202" s="1">
        <v>-2.8</v>
      </c>
      <c r="G202">
        <v>0</v>
      </c>
      <c r="H202">
        <v>0</v>
      </c>
      <c r="I202">
        <v>0</v>
      </c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1">
        <v>75</v>
      </c>
      <c r="B203" s="1">
        <v>858</v>
      </c>
      <c r="C203" s="1">
        <v>1313</v>
      </c>
      <c r="D203" s="1">
        <v>22</v>
      </c>
      <c r="E203" s="1">
        <v>-10.1</v>
      </c>
      <c r="F203" s="1">
        <v>-2.9</v>
      </c>
      <c r="G203">
        <v>0</v>
      </c>
      <c r="H203">
        <v>0</v>
      </c>
      <c r="I203">
        <v>0</v>
      </c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1">
        <v>100</v>
      </c>
      <c r="B204" s="1">
        <v>822</v>
      </c>
      <c r="C204" s="1">
        <v>1203</v>
      </c>
      <c r="D204" s="1">
        <v>29</v>
      </c>
      <c r="E204" s="1">
        <v>-10</v>
      </c>
      <c r="F204" s="1">
        <v>-2.9</v>
      </c>
      <c r="G204">
        <v>0</v>
      </c>
      <c r="H204">
        <v>0</v>
      </c>
      <c r="I204">
        <v>0</v>
      </c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1">
        <v>125</v>
      </c>
      <c r="B205" s="1">
        <v>786</v>
      </c>
      <c r="C205" s="1">
        <v>1101</v>
      </c>
      <c r="D205" s="1">
        <v>35.200000000000003</v>
      </c>
      <c r="E205" s="1">
        <v>-9.6</v>
      </c>
      <c r="F205" s="1">
        <v>-2.8</v>
      </c>
      <c r="G205">
        <v>0</v>
      </c>
      <c r="H205">
        <v>0</v>
      </c>
      <c r="I205">
        <v>0</v>
      </c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1">
        <v>150</v>
      </c>
      <c r="B206" s="1">
        <v>751</v>
      </c>
      <c r="C206" s="1">
        <v>1005</v>
      </c>
      <c r="D206" s="1">
        <v>40.1</v>
      </c>
      <c r="E206" s="1">
        <v>-9.1999999999999993</v>
      </c>
      <c r="F206" s="1">
        <v>-2.7</v>
      </c>
      <c r="G206">
        <v>0</v>
      </c>
      <c r="H206">
        <v>0</v>
      </c>
      <c r="I206">
        <v>0</v>
      </c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1">
        <v>175</v>
      </c>
      <c r="B207" s="1">
        <v>717</v>
      </c>
      <c r="C207" s="1">
        <v>917</v>
      </c>
      <c r="D207" s="1">
        <v>44</v>
      </c>
      <c r="E207" s="1">
        <v>-8.6</v>
      </c>
      <c r="F207" s="1">
        <v>-2.5</v>
      </c>
      <c r="G207">
        <v>0</v>
      </c>
      <c r="H207">
        <v>0</v>
      </c>
      <c r="I207">
        <v>0</v>
      </c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1">
        <v>200</v>
      </c>
      <c r="B208" s="1">
        <v>684</v>
      </c>
      <c r="C208" s="1">
        <v>834</v>
      </c>
      <c r="D208" s="1">
        <v>46.6</v>
      </c>
      <c r="E208" s="1">
        <v>-8</v>
      </c>
      <c r="F208" s="1">
        <v>-2.2999999999999998</v>
      </c>
      <c r="G208">
        <v>0</v>
      </c>
      <c r="H208">
        <v>0</v>
      </c>
      <c r="I208">
        <v>0</v>
      </c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1">
        <v>225</v>
      </c>
      <c r="B209" s="1">
        <v>652</v>
      </c>
      <c r="C209" s="1">
        <v>757</v>
      </c>
      <c r="D209" s="1">
        <v>47.8</v>
      </c>
      <c r="E209" s="1">
        <v>-7.3</v>
      </c>
      <c r="F209" s="1">
        <v>-2.1</v>
      </c>
      <c r="G209">
        <v>0</v>
      </c>
      <c r="H209">
        <v>0</v>
      </c>
      <c r="I209">
        <v>0</v>
      </c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1">
        <v>250</v>
      </c>
      <c r="B210" s="1">
        <v>620</v>
      </c>
      <c r="C210" s="1">
        <v>686</v>
      </c>
      <c r="D210" s="1">
        <v>47.4</v>
      </c>
      <c r="E210" s="1">
        <v>-6.5</v>
      </c>
      <c r="F210" s="1">
        <v>-1.9</v>
      </c>
      <c r="G210">
        <v>0</v>
      </c>
      <c r="H210">
        <v>0</v>
      </c>
      <c r="I210">
        <v>0</v>
      </c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1">
        <v>275</v>
      </c>
      <c r="B211" s="1">
        <v>590</v>
      </c>
      <c r="C211" s="1">
        <v>620</v>
      </c>
      <c r="D211" s="1">
        <v>45.3</v>
      </c>
      <c r="E211" s="1">
        <v>-5.7</v>
      </c>
      <c r="F211" s="1">
        <v>-1.6</v>
      </c>
      <c r="G211">
        <v>0</v>
      </c>
      <c r="H211">
        <v>0</v>
      </c>
      <c r="I211">
        <v>0</v>
      </c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1">
        <v>300</v>
      </c>
      <c r="B212" s="1">
        <v>560</v>
      </c>
      <c r="C212" s="1">
        <v>560</v>
      </c>
      <c r="D212" s="1">
        <v>41.2</v>
      </c>
      <c r="E212" s="1">
        <v>-4.7</v>
      </c>
      <c r="F212" s="1">
        <v>-1.4</v>
      </c>
      <c r="G212">
        <v>0</v>
      </c>
      <c r="H212">
        <v>0</v>
      </c>
      <c r="I212">
        <v>0</v>
      </c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1">
        <v>325</v>
      </c>
      <c r="B213" s="1">
        <v>532</v>
      </c>
      <c r="C213" s="1">
        <v>504</v>
      </c>
      <c r="D213" s="1">
        <v>35</v>
      </c>
      <c r="E213" s="1">
        <v>-3.7</v>
      </c>
      <c r="F213" s="1">
        <v>-1.1000000000000001</v>
      </c>
      <c r="G213">
        <v>0</v>
      </c>
      <c r="H213">
        <v>0</v>
      </c>
      <c r="I213">
        <v>0</v>
      </c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1">
        <v>350</v>
      </c>
      <c r="B214" s="1">
        <v>505</v>
      </c>
      <c r="C214" s="1">
        <v>454</v>
      </c>
      <c r="D214" s="1">
        <v>26.1</v>
      </c>
      <c r="E214" s="1">
        <v>-2.6</v>
      </c>
      <c r="F214" s="1">
        <v>-0.7</v>
      </c>
      <c r="G214">
        <v>0</v>
      </c>
      <c r="H214">
        <v>0</v>
      </c>
      <c r="I214">
        <v>0</v>
      </c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1">
        <v>375</v>
      </c>
      <c r="B215" s="1">
        <v>478</v>
      </c>
      <c r="C215" s="1">
        <v>408</v>
      </c>
      <c r="D215" s="1">
        <v>14.7</v>
      </c>
      <c r="E215" s="1">
        <v>-1.3</v>
      </c>
      <c r="F215" s="1">
        <v>-0.4</v>
      </c>
      <c r="G215">
        <v>0</v>
      </c>
      <c r="H215">
        <v>0</v>
      </c>
      <c r="I215">
        <v>0</v>
      </c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10">
        <v>400</v>
      </c>
      <c r="B216" s="10">
        <v>454</v>
      </c>
      <c r="C216" s="10">
        <v>367</v>
      </c>
      <c r="D216" s="10">
        <v>0.2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1">
        <v>425</v>
      </c>
      <c r="B217" s="1">
        <v>430</v>
      </c>
      <c r="C217" s="1">
        <v>330</v>
      </c>
      <c r="D217" s="1">
        <v>-18.3</v>
      </c>
      <c r="E217" s="1">
        <v>1.5</v>
      </c>
      <c r="F217" s="1">
        <v>0.4</v>
      </c>
      <c r="G217">
        <v>0</v>
      </c>
      <c r="H217">
        <v>0</v>
      </c>
      <c r="I217">
        <v>0</v>
      </c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1">
        <v>450</v>
      </c>
      <c r="B218" s="1">
        <v>408</v>
      </c>
      <c r="C218" s="1">
        <v>297</v>
      </c>
      <c r="D218" s="1">
        <v>-40.1</v>
      </c>
      <c r="E218" s="1">
        <v>3.1</v>
      </c>
      <c r="F218" s="1">
        <v>0.9</v>
      </c>
      <c r="G218">
        <v>0</v>
      </c>
      <c r="H218">
        <v>0</v>
      </c>
      <c r="I218">
        <v>0</v>
      </c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1">
        <v>475</v>
      </c>
      <c r="B219" s="1">
        <v>388</v>
      </c>
      <c r="C219" s="1">
        <v>268</v>
      </c>
      <c r="D219" s="1">
        <v>-66.099999999999994</v>
      </c>
      <c r="E219" s="1">
        <v>4.8</v>
      </c>
      <c r="F219" s="1">
        <v>1.4</v>
      </c>
      <c r="G219">
        <v>0</v>
      </c>
      <c r="H219">
        <v>0</v>
      </c>
      <c r="I219">
        <v>0</v>
      </c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1">
        <v>500</v>
      </c>
      <c r="B220" s="1">
        <v>370</v>
      </c>
      <c r="C220" s="1">
        <v>245</v>
      </c>
      <c r="D220" s="1">
        <v>-96.8</v>
      </c>
      <c r="E220" s="1">
        <v>6.7</v>
      </c>
      <c r="F220" s="1">
        <v>1.9</v>
      </c>
      <c r="G220">
        <v>0</v>
      </c>
      <c r="H220">
        <v>0</v>
      </c>
      <c r="I220">
        <v>0</v>
      </c>
      <c r="K220" s="1"/>
      <c r="L220" s="1"/>
      <c r="M220" s="1"/>
      <c r="N220" s="1"/>
      <c r="O220" s="1"/>
      <c r="P220" s="1"/>
      <c r="Q220" s="1"/>
      <c r="R220" s="1"/>
      <c r="S220" s="1"/>
    </row>
    <row r="222" spans="1:19" x14ac:dyDescent="0.25">
      <c r="A222" t="s">
        <v>60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33</v>
      </c>
      <c r="H223" t="s">
        <v>34</v>
      </c>
      <c r="I223" t="s">
        <v>35</v>
      </c>
    </row>
    <row r="224" spans="1:19" x14ac:dyDescent="0.25">
      <c r="A224" s="1">
        <v>0</v>
      </c>
      <c r="B224" s="1">
        <v>975</v>
      </c>
      <c r="C224" s="1">
        <v>1696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/>
      <c r="L224" s="1"/>
      <c r="M224" s="1"/>
      <c r="N224" s="1"/>
      <c r="O224" s="1"/>
      <c r="P224" s="1"/>
      <c r="Q224" s="1"/>
      <c r="R224" s="1"/>
      <c r="S224" s="1"/>
    </row>
    <row r="225" spans="1:19" x14ac:dyDescent="0.25">
      <c r="A225" s="1">
        <v>25</v>
      </c>
      <c r="B225" s="1">
        <v>935</v>
      </c>
      <c r="C225" s="1">
        <v>1558</v>
      </c>
      <c r="D225" s="1">
        <v>10.3</v>
      </c>
      <c r="E225" s="1">
        <v>-14.3</v>
      </c>
      <c r="F225" s="1">
        <v>-4.2</v>
      </c>
      <c r="G225" s="2">
        <v>0</v>
      </c>
      <c r="H225" s="2">
        <v>0</v>
      </c>
      <c r="I225" s="2">
        <v>0</v>
      </c>
      <c r="K225" s="1"/>
      <c r="L225" s="1"/>
      <c r="M225" s="1"/>
      <c r="N225" s="1"/>
      <c r="O225" s="1"/>
      <c r="P225" s="1"/>
      <c r="Q225" s="1"/>
      <c r="R225" s="1"/>
      <c r="S225" s="1"/>
    </row>
    <row r="226" spans="1:19" x14ac:dyDescent="0.25">
      <c r="A226" s="1">
        <v>50</v>
      </c>
      <c r="B226" s="1">
        <v>896</v>
      </c>
      <c r="C226" s="1">
        <v>1431</v>
      </c>
      <c r="D226" s="1">
        <v>24.2</v>
      </c>
      <c r="E226" s="1">
        <v>-16.5</v>
      </c>
      <c r="F226" s="1">
        <v>-4.8</v>
      </c>
      <c r="G226" s="2">
        <v>0</v>
      </c>
      <c r="H226" s="2">
        <v>0</v>
      </c>
      <c r="I226" s="2">
        <v>0</v>
      </c>
      <c r="K226" s="1"/>
      <c r="L226" s="1"/>
      <c r="M226" s="1"/>
      <c r="N226" s="1"/>
      <c r="O226" s="1"/>
      <c r="P226" s="1"/>
      <c r="Q226" s="1"/>
      <c r="R226" s="1"/>
      <c r="S226" s="1"/>
    </row>
    <row r="227" spans="1:19" x14ac:dyDescent="0.25">
      <c r="A227" s="1">
        <v>75</v>
      </c>
      <c r="B227" s="1">
        <v>858</v>
      </c>
      <c r="C227" s="1">
        <v>1313</v>
      </c>
      <c r="D227" s="1">
        <v>36.799999999999997</v>
      </c>
      <c r="E227" s="1">
        <v>-16.8</v>
      </c>
      <c r="F227" s="1">
        <v>-4.9000000000000004</v>
      </c>
      <c r="G227" s="2">
        <v>0</v>
      </c>
      <c r="H227" s="2">
        <v>0</v>
      </c>
      <c r="I227" s="2">
        <v>0</v>
      </c>
      <c r="K227" s="1"/>
      <c r="L227" s="1"/>
      <c r="M227" s="1"/>
      <c r="N227" s="1"/>
      <c r="O227" s="1"/>
      <c r="P227" s="1"/>
      <c r="Q227" s="1"/>
      <c r="R227" s="1"/>
      <c r="S227" s="1"/>
    </row>
    <row r="228" spans="1:19" x14ac:dyDescent="0.25">
      <c r="A228" s="1">
        <v>100</v>
      </c>
      <c r="B228" s="1">
        <v>822</v>
      </c>
      <c r="C228" s="1">
        <v>1203</v>
      </c>
      <c r="D228" s="1">
        <v>48.5</v>
      </c>
      <c r="E228" s="1">
        <v>-16.7</v>
      </c>
      <c r="F228" s="1">
        <v>-4.9000000000000004</v>
      </c>
      <c r="G228" s="2">
        <v>0</v>
      </c>
      <c r="H228" s="2">
        <v>0</v>
      </c>
      <c r="I228" s="2">
        <v>0</v>
      </c>
      <c r="K228" s="1"/>
      <c r="L228" s="1"/>
      <c r="M228" s="1"/>
      <c r="N228" s="1"/>
      <c r="O228" s="1"/>
      <c r="P228" s="1"/>
      <c r="Q228" s="1"/>
      <c r="R228" s="1"/>
      <c r="S228" s="1"/>
    </row>
    <row r="229" spans="1:19" x14ac:dyDescent="0.25">
      <c r="A229" s="1">
        <v>125</v>
      </c>
      <c r="B229" s="1">
        <v>786</v>
      </c>
      <c r="C229" s="1">
        <v>1101</v>
      </c>
      <c r="D229" s="1">
        <v>59.7</v>
      </c>
      <c r="E229" s="1">
        <v>-16.399999999999999</v>
      </c>
      <c r="F229" s="1">
        <v>-4.8</v>
      </c>
      <c r="G229" s="2">
        <v>0</v>
      </c>
      <c r="H229" s="2">
        <v>0</v>
      </c>
      <c r="I229" s="2">
        <v>0</v>
      </c>
      <c r="K229" s="1"/>
      <c r="L229" s="1"/>
      <c r="M229" s="1"/>
      <c r="N229" s="1"/>
      <c r="O229" s="1"/>
      <c r="P229" s="1"/>
      <c r="Q229" s="1"/>
      <c r="R229" s="1"/>
      <c r="S229" s="1"/>
    </row>
    <row r="230" spans="1:19" x14ac:dyDescent="0.25">
      <c r="A230" s="1">
        <v>150</v>
      </c>
      <c r="B230" s="1">
        <v>751</v>
      </c>
      <c r="C230" s="1">
        <v>1005</v>
      </c>
      <c r="D230" s="1">
        <v>69.5</v>
      </c>
      <c r="E230" s="1">
        <v>-15.9</v>
      </c>
      <c r="F230" s="1">
        <v>-4.5999999999999996</v>
      </c>
      <c r="G230" s="2">
        <v>0</v>
      </c>
      <c r="H230" s="2">
        <v>0</v>
      </c>
      <c r="I230" s="2">
        <v>0</v>
      </c>
      <c r="K230" s="1"/>
      <c r="L230" s="1"/>
      <c r="M230" s="1"/>
      <c r="N230" s="1"/>
      <c r="O230" s="1"/>
      <c r="P230" s="1"/>
      <c r="Q230" s="1"/>
      <c r="R230" s="1"/>
      <c r="S230" s="1"/>
    </row>
    <row r="231" spans="1:19" x14ac:dyDescent="0.25">
      <c r="A231" s="1">
        <v>175</v>
      </c>
      <c r="B231" s="1">
        <v>717</v>
      </c>
      <c r="C231" s="1">
        <v>917</v>
      </c>
      <c r="D231" s="1">
        <v>78.2</v>
      </c>
      <c r="E231" s="1">
        <v>-15.4</v>
      </c>
      <c r="F231" s="1">
        <v>-4.5</v>
      </c>
      <c r="G231" s="2">
        <v>0</v>
      </c>
      <c r="H231" s="2">
        <v>0</v>
      </c>
      <c r="I231" s="2">
        <v>0</v>
      </c>
      <c r="K231" s="1"/>
      <c r="L231" s="1"/>
      <c r="M231" s="1"/>
      <c r="N231" s="1"/>
      <c r="O231" s="1"/>
      <c r="P231" s="1"/>
      <c r="Q231" s="1"/>
      <c r="R231" s="1"/>
      <c r="S231" s="1"/>
    </row>
    <row r="232" spans="1:19" x14ac:dyDescent="0.25">
      <c r="A232" s="1">
        <v>200</v>
      </c>
      <c r="B232" s="1">
        <v>684</v>
      </c>
      <c r="C232" s="1">
        <v>834</v>
      </c>
      <c r="D232" s="1">
        <v>85.8</v>
      </c>
      <c r="E232" s="1">
        <v>-14.7</v>
      </c>
      <c r="F232" s="1">
        <v>-4.3</v>
      </c>
      <c r="G232" s="2">
        <v>0</v>
      </c>
      <c r="H232" s="2">
        <v>0</v>
      </c>
      <c r="I232" s="2">
        <v>0</v>
      </c>
      <c r="K232" s="1"/>
      <c r="L232" s="1"/>
      <c r="M232" s="1"/>
      <c r="N232" s="1"/>
      <c r="O232" s="1"/>
      <c r="P232" s="1"/>
      <c r="Q232" s="1"/>
      <c r="R232" s="1"/>
      <c r="S232" s="1"/>
    </row>
    <row r="233" spans="1:19" x14ac:dyDescent="0.25">
      <c r="A233" s="1">
        <v>225</v>
      </c>
      <c r="B233" s="1">
        <v>652</v>
      </c>
      <c r="C233" s="1">
        <v>757</v>
      </c>
      <c r="D233" s="1">
        <v>91.8</v>
      </c>
      <c r="E233" s="1">
        <v>-14</v>
      </c>
      <c r="F233" s="1">
        <v>-4.0999999999999996</v>
      </c>
      <c r="G233" s="2">
        <v>0</v>
      </c>
      <c r="H233" s="2">
        <v>0</v>
      </c>
      <c r="I233" s="2">
        <v>0</v>
      </c>
      <c r="K233" s="1"/>
      <c r="L233" s="1"/>
      <c r="M233" s="1"/>
      <c r="N233" s="1"/>
      <c r="O233" s="1"/>
      <c r="P233" s="1"/>
      <c r="Q233" s="1"/>
      <c r="R233" s="1"/>
      <c r="S233" s="1"/>
    </row>
    <row r="234" spans="1:19" x14ac:dyDescent="0.25">
      <c r="A234" s="1">
        <v>250</v>
      </c>
      <c r="B234" s="1">
        <v>620</v>
      </c>
      <c r="C234" s="1">
        <v>686</v>
      </c>
      <c r="D234" s="1">
        <v>96.3</v>
      </c>
      <c r="E234" s="1">
        <v>-13.3</v>
      </c>
      <c r="F234" s="1">
        <v>-3.9</v>
      </c>
      <c r="G234" s="2">
        <v>0</v>
      </c>
      <c r="H234" s="2">
        <v>0</v>
      </c>
      <c r="I234" s="2">
        <v>0</v>
      </c>
      <c r="K234" s="1"/>
      <c r="L234" s="1"/>
      <c r="M234" s="1"/>
      <c r="N234" s="1"/>
      <c r="O234" s="1"/>
      <c r="P234" s="1"/>
      <c r="Q234" s="1"/>
      <c r="R234" s="1"/>
      <c r="S234" s="1"/>
    </row>
    <row r="235" spans="1:19" x14ac:dyDescent="0.25">
      <c r="A235" s="1">
        <v>275</v>
      </c>
      <c r="B235" s="1">
        <v>590</v>
      </c>
      <c r="C235" s="1">
        <v>620</v>
      </c>
      <c r="D235" s="1">
        <v>99.2</v>
      </c>
      <c r="E235" s="1">
        <v>-12.4</v>
      </c>
      <c r="F235" s="1">
        <v>-3.6</v>
      </c>
      <c r="G235" s="2">
        <v>0</v>
      </c>
      <c r="H235" s="2">
        <v>0</v>
      </c>
      <c r="I235" s="2">
        <v>0</v>
      </c>
      <c r="K235" s="1"/>
      <c r="L235" s="1"/>
      <c r="M235" s="1"/>
      <c r="N235" s="1"/>
      <c r="O235" s="1"/>
      <c r="P235" s="1"/>
      <c r="Q235" s="1"/>
      <c r="R235" s="1"/>
      <c r="S235" s="1"/>
    </row>
    <row r="236" spans="1:19" x14ac:dyDescent="0.25">
      <c r="A236" s="1">
        <v>300</v>
      </c>
      <c r="B236" s="1">
        <v>560</v>
      </c>
      <c r="C236" s="1">
        <v>560</v>
      </c>
      <c r="D236" s="1">
        <v>99.9</v>
      </c>
      <c r="E236" s="1">
        <v>-11.5</v>
      </c>
      <c r="F236" s="1">
        <v>-3.3</v>
      </c>
      <c r="G236" s="2">
        <v>0</v>
      </c>
      <c r="H236" s="2">
        <v>0</v>
      </c>
      <c r="I236" s="2">
        <v>0</v>
      </c>
      <c r="K236" s="1"/>
      <c r="L236" s="1"/>
      <c r="M236" s="1"/>
      <c r="N236" s="1"/>
      <c r="O236" s="1"/>
      <c r="P236" s="1"/>
      <c r="Q236" s="1"/>
      <c r="R236" s="1"/>
      <c r="S236" s="1"/>
    </row>
    <row r="237" spans="1:19" x14ac:dyDescent="0.25">
      <c r="A237" s="1">
        <v>325</v>
      </c>
      <c r="B237" s="1">
        <v>532</v>
      </c>
      <c r="C237" s="1">
        <v>504</v>
      </c>
      <c r="D237" s="1">
        <v>98.6</v>
      </c>
      <c r="E237" s="1">
        <v>-10.4</v>
      </c>
      <c r="F237" s="1">
        <v>-3</v>
      </c>
      <c r="G237" s="2">
        <v>0</v>
      </c>
      <c r="H237" s="2">
        <v>0</v>
      </c>
      <c r="I237" s="2">
        <v>0</v>
      </c>
      <c r="K237" s="1"/>
      <c r="L237" s="1"/>
      <c r="M237" s="1"/>
      <c r="N237" s="1"/>
      <c r="O237" s="1"/>
      <c r="P237" s="1"/>
      <c r="Q237" s="1"/>
      <c r="R237" s="1"/>
      <c r="S237" s="1"/>
    </row>
    <row r="238" spans="1:19" x14ac:dyDescent="0.25">
      <c r="A238" s="1">
        <v>350</v>
      </c>
      <c r="B238" s="1">
        <v>505</v>
      </c>
      <c r="C238" s="1">
        <v>454</v>
      </c>
      <c r="D238" s="1">
        <v>94.6</v>
      </c>
      <c r="E238" s="1">
        <v>-9.3000000000000007</v>
      </c>
      <c r="F238" s="1">
        <v>-2.7</v>
      </c>
      <c r="G238" s="2">
        <v>0</v>
      </c>
      <c r="H238" s="2">
        <v>0</v>
      </c>
      <c r="I238" s="2">
        <v>0</v>
      </c>
      <c r="K238" s="1"/>
      <c r="L238" s="1"/>
      <c r="M238" s="1"/>
      <c r="N238" s="1"/>
      <c r="O238" s="1"/>
      <c r="P238" s="1"/>
      <c r="Q238" s="1"/>
      <c r="R238" s="1"/>
      <c r="S238" s="1"/>
    </row>
    <row r="239" spans="1:19" x14ac:dyDescent="0.25">
      <c r="A239" s="1">
        <v>375</v>
      </c>
      <c r="B239" s="1">
        <v>478</v>
      </c>
      <c r="C239" s="1">
        <v>408</v>
      </c>
      <c r="D239" s="1">
        <v>88.1</v>
      </c>
      <c r="E239" s="1">
        <v>-8.1</v>
      </c>
      <c r="F239" s="1">
        <v>-2.2999999999999998</v>
      </c>
      <c r="G239" s="2">
        <v>0</v>
      </c>
      <c r="H239" s="2">
        <v>0</v>
      </c>
      <c r="I239" s="2">
        <v>0</v>
      </c>
      <c r="K239" s="1"/>
      <c r="L239" s="1"/>
      <c r="M239" s="1"/>
      <c r="N239" s="1"/>
      <c r="O239" s="1"/>
      <c r="P239" s="1"/>
      <c r="Q239" s="1"/>
      <c r="R239" s="1"/>
      <c r="S239" s="1"/>
    </row>
    <row r="240" spans="1:19" x14ac:dyDescent="0.25">
      <c r="A240" s="1">
        <v>400</v>
      </c>
      <c r="B240" s="1">
        <v>454</v>
      </c>
      <c r="C240" s="1">
        <v>367</v>
      </c>
      <c r="D240" s="1">
        <v>78.5</v>
      </c>
      <c r="E240" s="1">
        <v>-6.8</v>
      </c>
      <c r="F240" s="1">
        <v>-2</v>
      </c>
      <c r="G240" s="2">
        <v>0</v>
      </c>
      <c r="H240" s="2">
        <v>0</v>
      </c>
      <c r="I240" s="2">
        <v>0</v>
      </c>
      <c r="K240" s="1"/>
      <c r="L240" s="1"/>
      <c r="M240" s="1"/>
      <c r="N240" s="1"/>
      <c r="O240" s="1"/>
      <c r="P240" s="1"/>
      <c r="Q240" s="1"/>
      <c r="R240" s="1"/>
      <c r="S240" s="1"/>
    </row>
    <row r="241" spans="1:19" x14ac:dyDescent="0.25">
      <c r="A241" s="1">
        <v>425</v>
      </c>
      <c r="B241" s="1">
        <v>430</v>
      </c>
      <c r="C241" s="1">
        <v>330</v>
      </c>
      <c r="D241" s="1">
        <v>64.900000000000006</v>
      </c>
      <c r="E241" s="1">
        <v>-5.2</v>
      </c>
      <c r="F241" s="1">
        <v>-1.5</v>
      </c>
      <c r="G241" s="2">
        <v>0</v>
      </c>
      <c r="H241" s="2">
        <v>0</v>
      </c>
      <c r="I241" s="2">
        <v>0</v>
      </c>
      <c r="K241" s="1"/>
      <c r="L241" s="1"/>
      <c r="M241" s="1"/>
      <c r="N241" s="1"/>
      <c r="O241" s="1"/>
      <c r="P241" s="1"/>
      <c r="Q241" s="1"/>
      <c r="R241" s="1"/>
      <c r="S241" s="1"/>
    </row>
    <row r="242" spans="1:19" x14ac:dyDescent="0.25">
      <c r="A242" s="1">
        <v>450</v>
      </c>
      <c r="B242" s="1">
        <v>408</v>
      </c>
      <c r="C242" s="1">
        <v>297</v>
      </c>
      <c r="D242" s="1">
        <v>48</v>
      </c>
      <c r="E242" s="1">
        <v>-3.7</v>
      </c>
      <c r="F242" s="1">
        <v>-1.1000000000000001</v>
      </c>
      <c r="G242" s="2">
        <v>0</v>
      </c>
      <c r="H242" s="2">
        <v>0</v>
      </c>
      <c r="I242" s="2">
        <v>0</v>
      </c>
      <c r="K242" s="1"/>
      <c r="L242" s="1"/>
      <c r="M242" s="1"/>
      <c r="N242" s="1"/>
      <c r="O242" s="1"/>
      <c r="P242" s="1"/>
      <c r="Q242" s="1"/>
      <c r="R242" s="1"/>
      <c r="S242" s="1"/>
    </row>
    <row r="243" spans="1:19" x14ac:dyDescent="0.25">
      <c r="A243" s="1">
        <v>475</v>
      </c>
      <c r="B243" s="1">
        <v>388</v>
      </c>
      <c r="C243" s="1">
        <v>268</v>
      </c>
      <c r="D243" s="1">
        <v>26.8</v>
      </c>
      <c r="E243" s="1">
        <v>-1.9</v>
      </c>
      <c r="F243" s="1">
        <v>-0.6</v>
      </c>
      <c r="G243" s="2">
        <v>0</v>
      </c>
      <c r="H243" s="2">
        <v>0</v>
      </c>
      <c r="I243" s="2">
        <v>0</v>
      </c>
      <c r="K243" s="1"/>
      <c r="L243" s="1"/>
      <c r="M243" s="1"/>
      <c r="N243" s="1"/>
      <c r="O243" s="1"/>
      <c r="P243" s="1"/>
      <c r="Q243" s="1"/>
      <c r="R243" s="1"/>
      <c r="S243" s="1"/>
    </row>
    <row r="244" spans="1:19" x14ac:dyDescent="0.25">
      <c r="A244" s="10">
        <v>500</v>
      </c>
      <c r="B244" s="10">
        <v>370</v>
      </c>
      <c r="C244" s="10">
        <v>245</v>
      </c>
      <c r="D244" s="10">
        <v>0.9</v>
      </c>
      <c r="E244" s="10">
        <v>-0.1</v>
      </c>
      <c r="F244" s="10">
        <v>0</v>
      </c>
      <c r="G244" s="2">
        <v>0</v>
      </c>
      <c r="H244" s="2">
        <v>0</v>
      </c>
      <c r="I244" s="2">
        <v>0</v>
      </c>
      <c r="K244" s="1"/>
      <c r="L244" s="1"/>
      <c r="M244" s="1"/>
      <c r="N244" s="1"/>
      <c r="O244" s="1"/>
      <c r="P244" s="1"/>
      <c r="Q244" s="1"/>
      <c r="R244" s="1"/>
      <c r="S244" s="1"/>
    </row>
    <row r="246" spans="1:19" x14ac:dyDescent="0.25">
      <c r="A246" t="s">
        <v>71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31</v>
      </c>
      <c r="H246" s="13" t="s">
        <v>32</v>
      </c>
      <c r="I246" s="13" t="s">
        <v>14</v>
      </c>
    </row>
    <row r="247" spans="1:19" x14ac:dyDescent="0.25">
      <c r="A247" t="s">
        <v>63</v>
      </c>
      <c r="B247" s="22" cm="1">
        <f t="array" ref="B247">INDEX(LINEST(J$22:J$31,$A$22:$A$31^{1,2,3}), 1,4)</f>
        <v>-6.1553102606792658</v>
      </c>
      <c r="C247" s="22" cm="1">
        <f t="array" ref="C247">INDEX(LINEST(K$22:K$31,$A$22:$A$31^{1,2,3}), 1,4)</f>
        <v>-4.0979626563023626</v>
      </c>
      <c r="D247" s="23" cm="1">
        <f t="array" ref="D247">INDEX(LINEST(L$22:L$31,$A$22:$A$31^{1,2,3}), 1,4)</f>
        <v>-4.655792880925218</v>
      </c>
      <c r="E247" s="23" cm="1">
        <f t="array" ref="E247">INDEX(LINEST(M$22:M$31,$A$22:$A$31^{1,2,3}), 1,4)</f>
        <v>-5.0134357533281628</v>
      </c>
      <c r="F247" s="23" cm="1">
        <f t="array" ref="F247">INDEX(LINEST(N$22:N$31,$A$22:$A$31^{1,2,3}), 1,4)</f>
        <v>-4.6644649795865103</v>
      </c>
      <c r="G247" s="23" cm="1">
        <f t="array" ref="G247">INDEX(LINEST(O$22:O$31,$A$22:$A$31^{1,2,3}), 1,4)</f>
        <v>-4.405196262469838</v>
      </c>
      <c r="H247" s="23" cm="1">
        <f t="array" ref="H247">INDEX(LINEST(P$22:P$30,$A$22:$A$30^{1,2,3}), 1,4)</f>
        <v>-5.72327373378163</v>
      </c>
      <c r="I247" s="23" cm="1">
        <f t="array" ref="I247">INDEX(LINEST($B$22:B$31,$A$22:$A$31^{1,2,3}), 1,4)</f>
        <v>1700.2389121645169</v>
      </c>
    </row>
    <row r="248" spans="1:19" x14ac:dyDescent="0.25">
      <c r="A248" t="s">
        <v>64</v>
      </c>
      <c r="B248" s="23" cm="1">
        <f t="array" ref="B248">INDEX(LINEST(J$22:J$31,$A$22:$A$31^{1,2,3}), 1,3)</f>
        <v>0.23401632287945306</v>
      </c>
      <c r="C248" s="22" cm="1">
        <f t="array" ref="C248">INDEX(LINEST(K$22:K$31,$A$22:$A$31^{1,2,3}), 1,3)</f>
        <v>4.4971121981373333E-2</v>
      </c>
      <c r="D248" s="23" cm="1">
        <f t="array" ref="D248">INDEX(LINEST(L$22:L$31,$A$22:$A$31^{1,2,3}), 1,3)</f>
        <v>0.11822176685979326</v>
      </c>
      <c r="E248" s="23" cm="1">
        <f t="array" ref="E248">INDEX(LINEST(M$22:M$31,$A$22:$A$31^{1,2,3}), 1,3)</f>
        <v>0.18836519822510561</v>
      </c>
      <c r="F248" s="23" cm="1">
        <f t="array" ref="F248">INDEX(LINEST(N$22:N$31,$A$22:$A$31^{1,2,3}), 1,3)</f>
        <v>0.24026586268965222</v>
      </c>
      <c r="G248" s="23" cm="1">
        <f t="array" ref="G248">INDEX(LINEST(O$22:O$31,$A$22:$A$31^{1,2,3}), 1,3)</f>
        <v>0.33688880941069382</v>
      </c>
      <c r="H248" s="23" cm="1">
        <f t="array" ref="H248">INDEX(LINEST(P$22:P$30,$A$22:$A$30^{1,2,3}), 1,3)</f>
        <v>0.62220685721360225</v>
      </c>
      <c r="I248" s="23" cm="1">
        <f t="array" ref="I248">INDEX(LINEST($B$22:B$31,$A$22:$A$31^{1,2,3}), 1,3)</f>
        <v>-5.2177555844632488</v>
      </c>
    </row>
    <row r="249" spans="1:19" x14ac:dyDescent="0.25">
      <c r="A249" t="s">
        <v>65</v>
      </c>
      <c r="B249" s="23" cm="1">
        <f t="array" ref="B249">INDEX(LINEST(J$22:J$31,$A$22:$A$31^{1,2,3}), 1,2)</f>
        <v>-1.3153672545118799E-3</v>
      </c>
      <c r="C249" s="23" cm="1">
        <f t="array" ref="C249">INDEX(LINEST(K$22:K$31,$A$22:$A$31^{1,2,3}), 1,2)</f>
        <v>1.980440060480477E-4</v>
      </c>
      <c r="D249" s="23" cm="1">
        <f t="array" ref="D249">INDEX(LINEST(L$22:L$31,$A$22:$A$31^{1,2,3}), 1,2)</f>
        <v>-4.3362265576425344E-4</v>
      </c>
      <c r="E249" s="23" cm="1">
        <f t="array" ref="E249">INDEX(LINEST(M$22:M$31,$A$22:$A$31^{1,2,3}), 1,2)</f>
        <v>-8.0214704866314102E-4</v>
      </c>
      <c r="F249" s="23" cm="1">
        <f t="array" ref="F249">INDEX(LINEST(N$22:N$31,$A$22:$A$31^{1,2,3}), 1,2)</f>
        <v>-2.6612502945334387E-4</v>
      </c>
      <c r="G249" s="23" cm="1">
        <f t="array" ref="G249">INDEX(LINEST(O$22:O$31,$A$22:$A$31^{1,2,3}), 1,2)</f>
        <v>-5.0318602968679065E-4</v>
      </c>
      <c r="H249" s="23" cm="1">
        <f t="array" ref="H249">INDEX(LINEST(P$22:P$30,$A$22:$A$30^{1,2,3}), 1,2)</f>
        <v>-5.5842453450374331E-4</v>
      </c>
      <c r="I249" s="23" cm="1">
        <f t="array" ref="I249">INDEX(LINEST($B$22:B$31,$A$22:$A$31^{1,2,3}), 1,2)</f>
        <v>4.765884495532299E-3</v>
      </c>
    </row>
    <row r="250" spans="1:19" x14ac:dyDescent="0.25">
      <c r="A250" t="s">
        <v>66</v>
      </c>
      <c r="B250" s="22" cm="1">
        <f t="array" ref="B250">INDEX(LINEST(J$22:J$31,$A$22:$A$31^{1,2,3}), 1)</f>
        <v>8.7585743151022619E-7</v>
      </c>
      <c r="C250" s="22" cm="1">
        <f t="array" ref="C250">INDEX(LINEST(K$22:K$31,$A$22:$A$31^{1,2,3}), 1)</f>
        <v>-2.6522500576221889E-6</v>
      </c>
      <c r="D250" s="23" cm="1">
        <f t="array" ref="D250">INDEX(LINEST(L$22:L$31,$A$22:$A$31^{1,2,3}), 1)</f>
        <v>-1.1284794933161806E-6</v>
      </c>
      <c r="E250" s="23" cm="1">
        <f t="array" ref="E250">INDEX(LINEST(M$22:M$31,$A$22:$A$31^{1,2,3}), 1)</f>
        <v>-1.0981109074590163E-7</v>
      </c>
      <c r="F250" s="23" cm="1">
        <f t="array" ref="F250">INDEX(LINEST(N$22:N$31,$A$22:$A$31^{1,2,3}), 1)</f>
        <v>-1.6240689270715005E-6</v>
      </c>
      <c r="G250" s="23" cm="1">
        <f t="array" ref="G250">INDEX(LINEST(O$22:O$31,$A$22:$A$31^{1,2,3}), 1)</f>
        <v>-5.5925372785883027E-7</v>
      </c>
      <c r="H250" s="23" cm="1">
        <f t="array" ref="H250">INDEX(LINEST(P$22:P$30,$A$22:$A$30^{1,2,3}), 1)</f>
        <v>-1.8089305541409421E-6</v>
      </c>
      <c r="I250" s="23" cm="1">
        <f t="array" ref="I250">INDEX(LINEST($B$22:B$31,$A$22:$A$31^{1,2,3}), 1)</f>
        <v>-5.4649454437731322E-8</v>
      </c>
    </row>
    <row r="251" spans="1:19" x14ac:dyDescent="0.25">
      <c r="A251" t="s">
        <v>67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68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69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t="s">
        <v>70</v>
      </c>
    </row>
    <row r="256" spans="1:19" x14ac:dyDescent="0.25">
      <c r="A256" s="21" t="s">
        <v>4</v>
      </c>
      <c r="B256" s="20"/>
      <c r="C256" s="20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1700.2389121645169</v>
      </c>
    </row>
    <row r="258" spans="1:9" x14ac:dyDescent="0.25">
      <c r="A258" s="1">
        <v>25</v>
      </c>
      <c r="B258" s="2" cm="1">
        <f t="array" ref="B258">TrajectoryToComeUp(B$247:B$250,$A258)</f>
        <v>0.44532858015820664</v>
      </c>
      <c r="C258" s="2" cm="1">
        <f t="array" ref="C258">TrajectoryToComeUp(C$247:C$250,$A258)</f>
        <v>1.1565394040553385</v>
      </c>
      <c r="D258" s="25" cm="1">
        <f t="array" ref="D258">TrajectoryToComeUp(D$247:D$250,$A258)</f>
        <v>0.79555814454644425</v>
      </c>
      <c r="E258" s="25" cm="1">
        <f t="array" ref="E258">TrajectoryToComeUp(E$247:E$250,$A258)</f>
        <v>0.32294540056315613</v>
      </c>
      <c r="F258" s="25" cm="1">
        <f t="array" ref="F258">TrajectoryToComeUp(F$247:F$250,$A258)</f>
        <v>-0.46019094690438533</v>
      </c>
      <c r="G258" s="25" cm="1">
        <f t="array" ref="G258">TrajectoryToComeUp(G$247:G$250,$A258)</f>
        <v>-1.4775177458981881</v>
      </c>
      <c r="H258" s="25" cm="1">
        <f t="array" ref="H258">TrajectoryToComeUp(H$247:H$250,$A258)</f>
        <v>-3.7818471290340536</v>
      </c>
      <c r="I258" s="2" cm="1">
        <f t="array" ref="I258">EvaluatePolynomial(I$247:I$250,$A258)</f>
        <v>1572.7728464649178</v>
      </c>
    </row>
    <row r="259" spans="1:9" x14ac:dyDescent="0.25">
      <c r="A259" s="1">
        <v>50</v>
      </c>
      <c r="B259" s="2" cm="1">
        <f t="array" ref="B259">TrajectoryToComeUp(B$247:B$250,$A259)</f>
        <v>-0.47331398519049328</v>
      </c>
      <c r="C259" s="24" cm="1">
        <f t="array" ref="C259">TrajectoryToComeUp(C$247:C$250,$A259)</f>
        <v>0.33716555986327007</v>
      </c>
      <c r="D259" s="25" cm="1">
        <f t="array" ref="D259">TrajectoryToComeUp(D$247:D$250,$A259)</f>
        <v>-6.0357771978577501E-3</v>
      </c>
      <c r="E259" s="25" cm="1">
        <f t="array" ref="E259">TrajectoryToComeUp(E$247:E$250,$A259)</f>
        <v>-0.47714602998520544</v>
      </c>
      <c r="F259" s="25" cm="1">
        <f t="array" ref="F259">TrajectoryToComeUp(F$247:F$250,$A259)</f>
        <v>-1.2961013930757606</v>
      </c>
      <c r="G259" s="25" cm="1">
        <f t="array" ref="G259">TrajectoryToComeUp(G$247:G$250,$A259)</f>
        <v>-2.2222744835731048</v>
      </c>
      <c r="H259" s="25" cm="1">
        <f t="array" ref="H259">TrajectoryToComeUp(H$247:H$250,$A259)</f>
        <v>-4.7529782942743024</v>
      </c>
      <c r="I259" s="2" cm="1">
        <f t="array" ref="I259">EvaluatePolynomial(I$247:I$250,$A259)</f>
        <v>1451.2590129983805</v>
      </c>
    </row>
    <row r="260" spans="1:9" x14ac:dyDescent="0.25">
      <c r="A260" s="1">
        <v>75</v>
      </c>
      <c r="B260" s="2" cm="1">
        <f t="array" ref="B260">TrajectoryToComeUp(B$247:B$250,$A260)</f>
        <v>-0.5821967336758358</v>
      </c>
      <c r="C260" s="2" cm="1">
        <f t="array" ref="C260">TrajectoryToComeUp(C$247:C$250,$A260)</f>
        <v>9.7339862231794028E-2</v>
      </c>
      <c r="D260" s="25" cm="1">
        <f t="array" ref="D260">TrajectoryToComeUp(D$247:D$250,$A260)</f>
        <v>-0.17275132115234501</v>
      </c>
      <c r="E260" s="25" cm="1">
        <f t="array" ref="E260">TrajectoryToComeUp(E$247:E$250,$A260)</f>
        <v>-0.60740672145548846</v>
      </c>
      <c r="F260" s="25" cm="1">
        <f t="array" ref="F260">TrajectoryToComeUp(F$247:F$250,$A260)</f>
        <v>-1.4897823137138746</v>
      </c>
      <c r="G260" s="25" cm="1">
        <f t="array" ref="G260">TrajectoryToComeUp(G$247:G$250,$A260)</f>
        <v>-2.372681047987141</v>
      </c>
      <c r="H260" s="25" cm="1">
        <f t="array" ref="H260">TrajectoryToComeUp(H$247:H$250,$A260)</f>
        <v>-4.93839466308357</v>
      </c>
      <c r="I260" s="2" cm="1">
        <f t="array" ref="I260">EvaluatePolynomial(I$247:I$250,$A260)</f>
        <v>1335.6922883785514</v>
      </c>
    </row>
    <row r="261" spans="1:9" x14ac:dyDescent="0.25">
      <c r="A261" s="1">
        <v>100</v>
      </c>
      <c r="B261" s="2" cm="1">
        <f t="array" ref="B261">TrajectoryToComeUp(B$247:B$250,$A261)</f>
        <v>-0.49685069136574667</v>
      </c>
      <c r="C261" s="2" cm="1">
        <f t="array" ref="C261">TrajectoryToComeUp(C$247:C$250,$A261)</f>
        <v>2.7266045530674115E-2</v>
      </c>
      <c r="D261" s="25" cm="1">
        <f t="array" ref="D261">TrajectoryToComeUp(D$247:D$250,$A261)</f>
        <v>-0.17016777540953928</v>
      </c>
      <c r="E261" s="25" cm="1">
        <f t="array" ref="E261">TrajectoryToComeUp(E$247:E$250,$A261)</f>
        <v>-0.5691802491805088</v>
      </c>
      <c r="F261" s="25" cm="1">
        <f t="array" ref="F261">TrajectoryToComeUp(F$247:F$250,$A261)</f>
        <v>-1.5076802067773774</v>
      </c>
      <c r="G261" s="25" cm="1">
        <f t="array" ref="G261">TrajectoryToComeUp(G$247:G$250,$A261)</f>
        <v>-2.3692570653872802</v>
      </c>
      <c r="H261" s="25" cm="1">
        <f t="array" ref="H261">TrajectoryToComeUp(H$247:H$250,$A261)</f>
        <v>-4.9104236088400217</v>
      </c>
      <c r="I261" s="2" cm="1">
        <f t="array" ref="I261">EvaluatePolynomial(I$247:I$250,$A261)</f>
        <v>1226.0675492190774</v>
      </c>
    </row>
    <row r="262" spans="1:9" x14ac:dyDescent="0.25">
      <c r="A262" s="1">
        <v>125</v>
      </c>
      <c r="B262" s="2" cm="1">
        <f t="array" ref="B262">TrajectoryToComeUp(B$247:B$250,$A262)</f>
        <v>-0.34038206347381234</v>
      </c>
      <c r="C262" s="2" cm="1">
        <f t="array" ref="C262">TrajectoryToComeUp(C$247:C$250,$A262)</f>
        <v>4.4984856633863056E-2</v>
      </c>
      <c r="D262" s="25" cm="1">
        <f t="array" ref="D262">TrajectoryToComeUp(D$247:D$250,$A262)</f>
        <v>-9.1400997587945038E-2</v>
      </c>
      <c r="E262" s="25" cm="1">
        <f t="array" ref="E262">TrajectoryToComeUp(E$247:E$250,$A262)</f>
        <v>-0.46273532822682967</v>
      </c>
      <c r="F262" s="25" cm="1">
        <f t="array" ref="F262">TrajectoryToComeUp(F$247:F$250,$A262)</f>
        <v>-1.4430843718579995</v>
      </c>
      <c r="G262" s="25" cm="1">
        <f t="array" ref="G262">TrajectoryToComeUp(G$247:G$250,$A262)</f>
        <v>-2.3001064610229203</v>
      </c>
      <c r="H262" s="25" cm="1">
        <f t="array" ref="H262">TrajectoryToComeUp(H$247:H$250,$A262)</f>
        <v>-4.7835306062192906</v>
      </c>
      <c r="I262" s="2" cm="1">
        <f t="array" ref="I262">EvaluatePolynomial(I$247:I$250,$A262)</f>
        <v>1122.3796721336043</v>
      </c>
    </row>
    <row r="263" spans="1:9" x14ac:dyDescent="0.25">
      <c r="A263" s="1">
        <v>150</v>
      </c>
      <c r="B263" s="2" cm="1">
        <f t="array" ref="B263">TrajectoryToComeUp(B$247:B$250,$A263)</f>
        <v>-0.15382625173789397</v>
      </c>
      <c r="C263" s="2" cm="1">
        <f t="array" ref="C263">TrajectoryToComeUp(C$247:C$250,$A263)</f>
        <v>0.12317654449934513</v>
      </c>
      <c r="D263" s="25" cm="1">
        <f t="array" ref="D263">TrajectoryToComeUp(D$247:D$250,$A263)</f>
        <v>3.2510393106269374E-2</v>
      </c>
      <c r="E263" s="25" cm="1">
        <f t="array" ref="E263">TrajectoryToComeUp(E$247:E$250,$A263)</f>
        <v>-0.32149486361663915</v>
      </c>
      <c r="F263" s="25" cm="1">
        <f t="array" ref="F263">TrajectoryToComeUp(F$247:F$250,$A263)</f>
        <v>-1.3270912421529848</v>
      </c>
      <c r="G263" s="25" cm="1">
        <f t="array" ref="G263">TrajectoryToComeUp(G$247:G$250,$A263)</f>
        <v>-2.1945972099771929</v>
      </c>
      <c r="H263" s="25" cm="1">
        <f t="array" ref="H263">TrajectoryToComeUp(H$247:H$250,$A263)</f>
        <v>-4.595870813446588</v>
      </c>
      <c r="I263" s="2" cm="1">
        <f t="array" ref="I263">EvaluatePolynomial(I$247:I$250,$A263)</f>
        <v>1024.6235337357789</v>
      </c>
    </row>
    <row r="264" spans="1:9" x14ac:dyDescent="0.25">
      <c r="A264" s="1">
        <v>175</v>
      </c>
      <c r="B264" s="2" cm="1">
        <f t="array" ref="B264">TrajectoryToComeUp(B$247:B$250,$A264)</f>
        <v>4.5230143097210414E-2</v>
      </c>
      <c r="C264" s="2" cm="1">
        <f t="array" ref="C264">TrajectoryToComeUp(C$247:C$250,$A264)</f>
        <v>0.25013264439482785</v>
      </c>
      <c r="D264" s="25" cm="1">
        <f t="array" ref="D264">TrajectoryToComeUp(D$247:D$250,$A264)</f>
        <v>0.1882641312990323</v>
      </c>
      <c r="E264" s="25" cm="1">
        <f t="array" ref="E264">TrajectoryToComeUp(E$247:E$250,$A264)</f>
        <v>-0.15978295750230351</v>
      </c>
      <c r="F264" s="25" cm="1">
        <f t="array" ref="F264">TrajectoryToComeUp(F$247:F$250,$A264)</f>
        <v>-1.1730278604611515</v>
      </c>
      <c r="G264" s="25" cm="1">
        <f t="array" ref="G264">TrajectoryToComeUp(G$247:G$250,$A264)</f>
        <v>-2.0653155872857258</v>
      </c>
      <c r="H264" s="25" cm="1">
        <f t="array" ref="H264">TrajectoryToComeUp(H$247:H$250,$A264)</f>
        <v>-4.3637964411898587</v>
      </c>
      <c r="I264" s="2" cm="1">
        <f t="array" ref="I264">EvaluatePolynomial(I$247:I$250,$A264)</f>
        <v>932.79401063924774</v>
      </c>
    </row>
    <row r="265" spans="1:9" x14ac:dyDescent="0.25">
      <c r="A265" s="1">
        <v>200</v>
      </c>
      <c r="B265" s="2" cm="1">
        <f t="array" ref="B265">TrajectoryToComeUp(B$247:B$250,$A265)</f>
        <v>0.2479938206591018</v>
      </c>
      <c r="C265" s="2" cm="1">
        <f t="array" ref="C265">TrajectoryToComeUp(C$247:C$250,$A265)</f>
        <v>0.41999892395416488</v>
      </c>
      <c r="D265" s="25" cm="1">
        <f t="array" ref="D265">TrajectoryToComeUp(D$247:D$250,$A265)</f>
        <v>0.36920908430330751</v>
      </c>
      <c r="E265" s="25" cm="1">
        <f t="array" ref="E265">TrajectoryToComeUp(E$247:E$250,$A265)</f>
        <v>1.523833903999466E-2</v>
      </c>
      <c r="F265" s="25" cm="1">
        <f t="array" ref="F265">TrajectoryToComeUp(F$247:F$250,$A265)</f>
        <v>-0.98755774818190878</v>
      </c>
      <c r="G265" s="25" cm="1">
        <f t="array" ref="G265">TrajectoryToComeUp(G$247:G$250,$A265)</f>
        <v>-1.9185547304663331</v>
      </c>
      <c r="H265" s="25" cm="1">
        <f t="array" ref="H265">TrajectoryToComeUp(H$247:H$250,$A265)</f>
        <v>-4.0954835947830777</v>
      </c>
      <c r="I265" s="2" cm="1">
        <f t="array" ref="I265">EvaluatePolynomial(I$247:I$250,$A265)</f>
        <v>846.8859794576573</v>
      </c>
    </row>
    <row r="266" spans="1:9" x14ac:dyDescent="0.25">
      <c r="A266" s="1">
        <v>225</v>
      </c>
      <c r="B266" s="2" cm="1">
        <f t="array" ref="B266">TrajectoryToComeUp(B$247:B$250,$A266)</f>
        <v>0.44957961407422542</v>
      </c>
      <c r="C266" s="2" cm="1">
        <f t="array" ref="C266">TrajectoryToComeUp(C$247:C$250,$A266)</f>
        <v>0.62952303186283087</v>
      </c>
      <c r="D266" s="25" cm="1">
        <f t="array" ref="D266">TrajectoryToComeUp(D$247:D$250,$A266)</f>
        <v>0.57165017840407484</v>
      </c>
      <c r="E266" s="25" cm="1">
        <f t="array" ref="E266">TrajectoryToComeUp(E$247:E$250,$A266)</f>
        <v>0.1995901087457089</v>
      </c>
      <c r="F266" s="25" cm="1">
        <f t="array" ref="F266">TrajectoryToComeUp(F$247:F$250,$A266)</f>
        <v>-0.77438286164826198</v>
      </c>
      <c r="G266" s="25" cm="1">
        <f t="array" ref="G266">TrajectoryToComeUp(G$247:G$250,$A266)</f>
        <v>-1.7578108270289114</v>
      </c>
      <c r="H266" s="25" cm="1">
        <f t="array" ref="H266">TrajectoryToComeUp(H$247:H$250,$A266)</f>
        <v>-3.7954745549673423</v>
      </c>
      <c r="I266" s="2" cm="1">
        <f t="array" ref="I266">EvaluatePolynomial(I$247:I$250,$A266)</f>
        <v>766.89431680465373</v>
      </c>
    </row>
    <row r="267" spans="1:9" x14ac:dyDescent="0.25">
      <c r="A267" s="1">
        <v>250</v>
      </c>
      <c r="B267" s="2" cm="1">
        <f t="array" ref="B267">TrajectoryToComeUp(B$247:B$250,$A267)</f>
        <v>0.64705642321844858</v>
      </c>
      <c r="C267" s="2" cm="1">
        <f t="array" ref="C267">TrajectoryToComeUp(C$247:C$250,$A267)</f>
        <v>0.87675355733211002</v>
      </c>
      <c r="D267" s="25" cm="1">
        <f t="array" ref="D267">TrajectoryToComeUp(D$247:D$250,$A267)</f>
        <v>0.79337036937232253</v>
      </c>
      <c r="E267" s="25" cm="1">
        <f t="array" ref="E267">TrajectoryToComeUp(E$247:E$250,$A267)</f>
        <v>0.39088500125611148</v>
      </c>
      <c r="F267" s="25" cm="1">
        <f t="array" ref="F267">TrajectoryToComeUp(F$247:F$250,$A267)</f>
        <v>-0.53572437466001444</v>
      </c>
      <c r="G267" s="25" cm="1">
        <f t="array" ref="G267">TrajectoryToComeUp(G$247:G$250,$A267)</f>
        <v>-1.5851815894793995</v>
      </c>
      <c r="H267" s="25" cm="1">
        <f t="array" ref="H267">TrajectoryToComeUp(H$247:H$250,$A267)</f>
        <v>-3.4664946901873099</v>
      </c>
      <c r="I267" s="2" cm="1">
        <f t="array" ref="I267">EvaluatePolynomial(I$247:I$250,$A267)</f>
        <v>692.81389929388388</v>
      </c>
    </row>
    <row r="268" spans="1:9" x14ac:dyDescent="0.25">
      <c r="A268" s="1">
        <v>275</v>
      </c>
      <c r="B268" s="2" cm="1">
        <f t="array" ref="B268">TrajectoryToComeUp(B$247:B$250,$A268)</f>
        <v>0.83855900255823124</v>
      </c>
      <c r="C268" s="2" cm="1">
        <f t="array" ref="C268">TrajectoryToComeUp(C$247:C$250,$A268)</f>
        <v>1.1604486934964562</v>
      </c>
      <c r="D268" s="25" cm="1">
        <f t="array" ref="D268">TrajectoryToComeUp(D$247:D$250,$A268)</f>
        <v>1.0329588108804977</v>
      </c>
      <c r="E268" s="25" cm="1">
        <f t="array" ref="E268">TrajectoryToComeUp(E$247:E$250,$A268)</f>
        <v>0.58760379361564863</v>
      </c>
      <c r="F268" s="25" cm="1">
        <f t="array" ref="F268">TrajectoryToComeUp(F$247:F$250,$A268)</f>
        <v>-0.27299576145340387</v>
      </c>
      <c r="G268" s="25" cm="1">
        <f t="array" ref="G268">TrajectoryToComeUp(G$247:G$250,$A268)</f>
        <v>-1.4020019257761203</v>
      </c>
      <c r="H268" s="25" cm="1">
        <f t="array" ref="H268">TrajectoryToComeUp(H$247:H$250,$A268)</f>
        <v>-3.1102783258168545</v>
      </c>
      <c r="I268" s="2" cm="1">
        <f t="array" ref="I268">EvaluatePolynomial(I$247:I$250,$A268)</f>
        <v>624.63960353899392</v>
      </c>
    </row>
    <row r="269" spans="1:9" x14ac:dyDescent="0.25">
      <c r="A269" s="1">
        <v>300</v>
      </c>
      <c r="B269" s="2" cm="1">
        <f t="array" ref="B269">TrajectoryToComeUp(B$247:B$250,$A269)</f>
        <v>1.0228438550712142</v>
      </c>
      <c r="C269" s="2" cm="1">
        <f t="array" ref="C269">TrajectoryToComeUp(C$247:C$250,$A269)</f>
        <v>1.4797805691121722</v>
      </c>
      <c r="D269" s="25" cm="1">
        <f t="array" ref="D269">TrajectoryToComeUp(D$247:D$250,$A269)</f>
        <v>1.2894749387102309</v>
      </c>
      <c r="E269" s="25" cm="1">
        <f t="array" ref="E269">TrajectoryToComeUp(E$247:E$250,$A269)</f>
        <v>0.78873367052061705</v>
      </c>
      <c r="F269" s="25" cm="1">
        <f t="array" ref="F269">TrajectoryToComeUp(F$247:F$250,$A269)</f>
        <v>1.2860661814076794E-2</v>
      </c>
      <c r="G269" s="25" cm="1">
        <f t="array" ref="G269">TrajectoryToComeUp(G$247:G$250,$A269)</f>
        <v>-1.2091617745579577</v>
      </c>
      <c r="H269" s="25" cm="1">
        <f t="array" ref="H269">TrajectoryToComeUp(H$247:H$250,$A269)</f>
        <v>-2.7279816787718909</v>
      </c>
      <c r="I269" s="2" cm="1">
        <f t="array" ref="I269">EvaluatePolynomial(I$247:I$250,$A269)</f>
        <v>562.36630615363038</v>
      </c>
    </row>
    <row r="270" spans="1:9" x14ac:dyDescent="0.25">
      <c r="A270" s="1">
        <v>325</v>
      </c>
      <c r="B270" s="2" cm="1">
        <f t="array" ref="B270">TrajectoryToComeUp(B$247:B$250,$A270)</f>
        <v>1.1990500982034569</v>
      </c>
      <c r="C270" s="2" cm="1">
        <f t="array" ref="C270">TrajectoryToComeUp(C$247:C$250,$A270)</f>
        <v>1.8341760425490059</v>
      </c>
      <c r="D270" s="25" cm="1">
        <f t="array" ref="D270">TrajectoryToComeUp(D$247:D$250,$A270)</f>
        <v>1.5622675930180365</v>
      </c>
      <c r="E270" s="25" cm="1">
        <f t="array" ref="E270">TrajectoryToComeUp(E$247:E$250,$A270)</f>
        <v>0.99357345214537729</v>
      </c>
      <c r="F270" s="25" cm="1">
        <f t="array" ref="F270">TrajectoryToComeUp(F$247:F$250,$A270)</f>
        <v>0.32119252241801055</v>
      </c>
      <c r="G270" s="25" cm="1">
        <f t="array" ref="G270">TrajectoryToComeUp(G$247:G$250,$A270)</f>
        <v>-1.0072772471902918</v>
      </c>
      <c r="H270" s="25" cm="1">
        <f t="array" ref="H270">TrajectoryToComeUp(H$247:H$250,$A270)</f>
        <v>-2.3204052069172825</v>
      </c>
      <c r="I270" s="2" cm="1">
        <f t="array" ref="I270">EvaluatePolynomial(I$247:I$250,$A270)</f>
        <v>505.98888375143997</v>
      </c>
    </row>
    <row r="271" spans="1:9" x14ac:dyDescent="0.25">
      <c r="A271" s="1">
        <v>350</v>
      </c>
      <c r="B271" s="2" cm="1">
        <f t="array" ref="B271">TrajectoryToComeUp(B$247:B$250,$A271)</f>
        <v>1.3665628158450009</v>
      </c>
      <c r="C271" s="2" cm="1">
        <f t="array" ref="C271">TrajectoryToComeUp(C$247:C$250,$A271)</f>
        <v>2.2232257269282054</v>
      </c>
      <c r="D271" s="25" cm="1">
        <f t="array" ref="D271">TrajectoryToComeUp(D$247:D$250,$A271)</f>
        <v>1.8508716596299966</v>
      </c>
      <c r="E271" s="25" cm="1">
        <f t="array" ref="E271">TrajectoryToComeUp(E$247:E$250,$A271)</f>
        <v>1.2016222957573288</v>
      </c>
      <c r="F271" s="25" cm="1">
        <f t="array" ref="F271">TrajectoryToComeUp(F$247:F$250,$A271)</f>
        <v>0.65153383984095548</v>
      </c>
      <c r="G271" s="25" cm="1">
        <f t="array" ref="G271">TrajectoryToComeUp(G$247:G$250,$A271)</f>
        <v>-0.79678842321982291</v>
      </c>
      <c r="H271" s="25" cm="1">
        <f t="array" ref="H271">TrajectoryToComeUp(H$247:H$250,$A271)</f>
        <v>-1.8881206658707916</v>
      </c>
      <c r="I271" s="2" cm="1">
        <f t="array" ref="I271">EvaluatePolynomial(I$247:I$250,$A271)</f>
        <v>455.50221294606877</v>
      </c>
    </row>
    <row r="272" spans="1:9" x14ac:dyDescent="0.25">
      <c r="A272" s="1">
        <v>375</v>
      </c>
      <c r="B272" s="2" cm="1">
        <f t="array" ref="B272">TrajectoryToComeUp(B$247:B$250,$A272)</f>
        <v>1.5249310695152103</v>
      </c>
      <c r="C272" s="2" cm="1">
        <f t="array" ref="C272">TrajectoryToComeUp(C$247:C$250,$A272)</f>
        <v>2.6466294052053541</v>
      </c>
      <c r="D272" s="25" cm="1">
        <f t="array" ref="D272">TrajectoryToComeUp(D$247:D$250,$A272)</f>
        <v>2.1549460548185695</v>
      </c>
      <c r="E272" s="25" cm="1">
        <f t="array" ref="E272">TrajectoryToComeUp(E$247:E$250,$A272)</f>
        <v>1.4125129166858981</v>
      </c>
      <c r="F272" s="25" cm="1">
        <f t="array" ref="F272">TrajectoryToComeUp(F$247:F$250,$A272)</f>
        <v>1.0035428950367884</v>
      </c>
      <c r="G272" s="25" cm="1">
        <f t="array" ref="G272">TrajectoryToComeUp(G$247:G$250,$A272)</f>
        <v>-0.57801802764746424</v>
      </c>
      <c r="H272" s="25" cm="1">
        <f t="array" ref="H272">TrajectoryToComeUp(H$247:H$250,$A272)</f>
        <v>-1.431547343085442</v>
      </c>
      <c r="I272" s="2" cm="1">
        <f t="array" ref="I272">EvaluatePolynomial(I$247:I$250,$A272)</f>
        <v>410.90117035116344</v>
      </c>
    </row>
    <row r="273" spans="1:9" x14ac:dyDescent="0.25">
      <c r="A273" s="1">
        <v>400</v>
      </c>
      <c r="B273" s="2" cm="1">
        <f t="array" ref="B273">TrajectoryToComeUp(B$247:B$250,$A273)</f>
        <v>1.6738166553536085</v>
      </c>
      <c r="C273" s="2" cm="1">
        <f t="array" ref="C273">TrajectoryToComeUp(C$247:C$250,$A273)</f>
        <v>3.1041619145971371</v>
      </c>
      <c r="D273" s="25" cm="1">
        <f t="array" ref="D273">TrajectoryToComeUp(D$247:D$250,$A273)</f>
        <v>2.4742349657881006</v>
      </c>
      <c r="E273" s="25" cm="1">
        <f t="array" ref="E273">TrajectoryToComeUp(E$247:E$250,$A273)</f>
        <v>1.6259698514281546</v>
      </c>
      <c r="F273" s="25" cm="1">
        <f t="array" ref="F273">TrajectoryToComeUp(F$247:F$250,$A273)</f>
        <v>1.3769633987209171</v>
      </c>
      <c r="G273" s="25" cm="1">
        <f t="array" ref="G273">TrajectoryToComeUp(G$247:G$250,$A273)</f>
        <v>-0.35120810422390136</v>
      </c>
      <c r="H273" s="25" cm="1">
        <f t="array" ref="H273">TrajectoryToComeUp(H$247:H$250,$A273)</f>
        <v>-0.95099970415100143</v>
      </c>
      <c r="I273" s="2" cm="1">
        <f t="array" ref="I273">EvaluatePolynomial(I$247:I$250,$A273)</f>
        <v>372.18063258037046</v>
      </c>
    </row>
    <row r="274" spans="1:9" x14ac:dyDescent="0.25">
      <c r="A274" s="1">
        <v>425</v>
      </c>
      <c r="B274" s="2" cm="1">
        <f t="array" ref="B274">TrajectoryToComeUp(B$247:B$250,$A274)</f>
        <v>1.8129609468786541</v>
      </c>
      <c r="C274" s="2" cm="1">
        <f t="array" ref="C274">TrajectoryToComeUp(C$247:C$250,$A274)</f>
        <v>3.5956510717986689</v>
      </c>
      <c r="D274" s="25" cm="1">
        <f t="array" ref="D274">TrajectoryToComeUp(D$247:D$250,$A274)</f>
        <v>2.808542770988971</v>
      </c>
      <c r="E274" s="25" cm="1">
        <f t="array" ref="E274">TrajectoryToComeUp(E$247:E$250,$A274)</f>
        <v>1.8417824514230348</v>
      </c>
      <c r="F274" s="25" cm="1">
        <f t="array" ref="F274">TrajectoryToComeUp(F$247:F$250,$A274)</f>
        <v>1.7715993649698283</v>
      </c>
      <c r="G274" s="25" cm="1">
        <f t="array" ref="G274">TrajectoryToComeUp(G$247:G$250,$A274)</f>
        <v>-0.1165437452290698</v>
      </c>
      <c r="H274" s="25" cm="1">
        <f t="array" ref="H274">TrajectoryToComeUp(H$247:H$250,$A274)</f>
        <v>-0.44671822275376277</v>
      </c>
      <c r="I274" s="2" cm="1">
        <f t="array" ref="I274">EvaluatePolynomial(I$247:I$250,$A274)</f>
        <v>339.33547624733626</v>
      </c>
    </row>
    <row r="275" spans="1:9" x14ac:dyDescent="0.25">
      <c r="A275" s="1">
        <v>450</v>
      </c>
      <c r="B275" s="2" cm="1">
        <f t="array" ref="B275">TrajectoryToComeUp(B$247:B$250,$A275)</f>
        <v>1.9421627901602603</v>
      </c>
      <c r="C275" s="2" cm="1">
        <f t="array" ref="C275">TrajectoryToComeUp(C$247:C$250,$A275)</f>
        <v>4.1209629564617032</v>
      </c>
      <c r="D275" s="25" cm="1">
        <f t="array" ref="D275">TrajectoryToComeUp(D$247:D$250,$A275)</f>
        <v>3.1577173203270341</v>
      </c>
      <c r="E275" s="25" cm="1">
        <f t="array" ref="E275">TrajectoryToComeUp(E$247:E$250,$A275)</f>
        <v>2.0597868789008213</v>
      </c>
      <c r="F275" s="25" cm="1">
        <f t="array" ref="F275">TrajectoryToComeUp(F$247:F$250,$A275)</f>
        <v>2.1872983602874583</v>
      </c>
      <c r="G275" s="25" cm="1">
        <f t="array" ref="G275">TrajectoryToComeUp(G$247:G$250,$A275)</f>
        <v>0.12583108867485868</v>
      </c>
      <c r="H275" s="25" cm="1">
        <f t="array" ref="H275">TrajectoryToComeUp(H$247:H$250,$A275)</f>
        <v>8.1110066016933186E-2</v>
      </c>
      <c r="I275" s="2" cm="1">
        <f t="array" ref="I275">EvaluatePolynomial(I$247:I$250,$A275)</f>
        <v>312.36057796570714</v>
      </c>
    </row>
    <row r="276" spans="1:9" x14ac:dyDescent="0.25">
      <c r="A276" s="1">
        <v>475</v>
      </c>
      <c r="B276" s="2" cm="1">
        <f t="array" ref="B276">TrajectoryToComeUp(B$247:B$250,$A276)</f>
        <v>2.0612633794641457</v>
      </c>
      <c r="C276" s="2" cm="1">
        <f t="array" ref="C276">TrajectoryToComeUp(C$247:C$250,$A276)</f>
        <v>4.6799918419955224</v>
      </c>
      <c r="D276" s="25" cm="1">
        <f t="array" ref="D276">TrajectoryToComeUp(D$247:D$250,$A276)</f>
        <v>3.5216384953069086</v>
      </c>
      <c r="E276" s="25" cm="1">
        <f t="array" ref="E276">TrajectoryToComeUp(E$247:E$250,$A276)</f>
        <v>2.279853788253845</v>
      </c>
      <c r="F276" s="25" cm="1">
        <f t="array" ref="F276">TrajectoryToComeUp(F$247:F$250,$A276)</f>
        <v>2.6239400424400707</v>
      </c>
      <c r="G276" s="25" cm="1">
        <f t="array" ref="G276">TrajectoryToComeUp(G$247:G$250,$A276)</f>
        <v>0.37580274433353672</v>
      </c>
      <c r="H276" s="25" cm="1">
        <f t="array" ref="H276">TrajectoryToComeUp(H$247:H$250,$A276)</f>
        <v>0.63233750288002988</v>
      </c>
      <c r="I276" s="2" cm="1">
        <f t="array" ref="I276">EvaluatePolynomial(I$247:I$250,$A276)</f>
        <v>291.25081434912994</v>
      </c>
    </row>
    <row r="277" spans="1:9" x14ac:dyDescent="0.25">
      <c r="A277" s="10">
        <v>500</v>
      </c>
      <c r="B277" s="2" cm="1">
        <f t="array" ref="B277">TrajectoryToComeUp(B$247:B$250,$A277)</f>
        <v>2.1701356702028884</v>
      </c>
      <c r="C277" s="2" cm="1">
        <f t="array" ref="C277">TrajectoryToComeUp(C$247:C$250,$A277)</f>
        <v>5.2726531471275484</v>
      </c>
      <c r="D277" s="25" cm="1">
        <f t="array" ref="D277">TrajectoryToComeUp(D$247:D$250,$A277)</f>
        <v>3.9002102011322903</v>
      </c>
      <c r="E277" s="25" cm="1">
        <f t="array" ref="E277">TrajectoryToComeUp(E$247:E$250,$A277)</f>
        <v>2.5018797029959661</v>
      </c>
      <c r="F277" s="25" cm="1">
        <f t="array" ref="F277">TrajectoryToComeUp(F$247:F$250,$A277)</f>
        <v>3.0814281376406791</v>
      </c>
      <c r="G277" s="25" cm="1">
        <f t="array" ref="G277">TrajectoryToComeUp(G$247:G$250,$A277)</f>
        <v>0.6332802992234875</v>
      </c>
      <c r="H277" s="25" cm="1">
        <f t="array" ref="H277">TrajectoryToComeUp(H$247:H$250,$A277)</f>
        <v>1.2068459604106814</v>
      </c>
      <c r="I277" s="2" cm="1">
        <f t="array" ref="I277">EvaluatePolynomial(I$247:I$250,$A277)</f>
        <v>276.00106201125095</v>
      </c>
    </row>
    <row r="289" customFormat="1" x14ac:dyDescent="0.25"/>
  </sheetData>
  <mergeCells count="3">
    <mergeCell ref="C20:G20"/>
    <mergeCell ref="J20:N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2ABF1-5FE9-4A60-9AE7-516137690FFE}">
  <sheetPr codeName="Sheet4"/>
  <dimension ref="A1"/>
  <sheetViews>
    <sheetView tabSelected="1" topLeftCell="A40" workbookViewId="0">
      <selection activeCell="AC111" sqref="AC11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Federal TrophyBonded PHP</vt:lpstr>
      <vt:lpstr>Remington Core-Lokt SP</vt:lpstr>
      <vt:lpstr>Federal Barnes TSX HP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2024-08-19T21:15:02Z</dcterms:modified>
</cp:coreProperties>
</file>