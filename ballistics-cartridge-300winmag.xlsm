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"/>
    </mc:Choice>
  </mc:AlternateContent>
  <xr:revisionPtr revIDLastSave="0" documentId="13_ncr:11_{B2B6CAF2-C786-40E3-85B8-FA868FFDEDCB}" xr6:coauthVersionLast="47" xr6:coauthVersionMax="47" xr10:uidLastSave="{00000000-0000-0000-0000-000000000000}"/>
  <bookViews>
    <workbookView xWindow="-120" yWindow="-120" windowWidth="51840" windowHeight="21120" xr2:uid="{2F0FA23F-61CC-43E6-AF0F-86720E5DCFA1}"/>
  </bookViews>
  <sheets>
    <sheet name="SteyrSM12-TerminalAscentPHP" sheetId="13" r:id="rId1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13" l="1"/>
  <c r="D30" i="13"/>
  <c r="C31" i="13"/>
  <c r="E31" i="13" s="1"/>
  <c r="C30" i="13"/>
  <c r="E30" i="13" s="1"/>
  <c r="AD32" i="13"/>
  <c r="AC32" i="13"/>
  <c r="B6" i="13"/>
  <c r="C213" i="13"/>
  <c r="C167" i="13"/>
  <c r="C21" i="13" a="1"/>
  <c r="C21" i="13" s="1"/>
  <c r="C24" i="13"/>
  <c r="C11" i="13"/>
  <c r="AB37" i="13" s="1"/>
  <c r="C20" i="13"/>
  <c r="C17" i="13"/>
  <c r="C16" i="13"/>
  <c r="G17" i="13"/>
  <c r="G16" i="13"/>
  <c r="G21" i="13"/>
  <c r="AB155" i="13" a="1"/>
  <c r="AB155" i="13" s="1"/>
  <c r="AA155" i="13" a="1"/>
  <c r="AA155" i="13" s="1"/>
  <c r="Z155" i="13" a="1"/>
  <c r="Z155" i="13" s="1"/>
  <c r="Y155" i="13" a="1"/>
  <c r="Y155" i="13" s="1"/>
  <c r="X155" i="13" a="1"/>
  <c r="X155" i="13" s="1"/>
  <c r="W155" i="13" a="1"/>
  <c r="W155" i="13" s="1"/>
  <c r="V155" i="13" a="1"/>
  <c r="V155" i="13" s="1"/>
  <c r="U155" i="13" a="1"/>
  <c r="U155" i="13" s="1"/>
  <c r="T155" i="13" a="1"/>
  <c r="T155" i="13" s="1"/>
  <c r="S155" i="13" a="1"/>
  <c r="S155" i="13" s="1"/>
  <c r="R155" i="13" a="1"/>
  <c r="R155" i="13" s="1"/>
  <c r="Q155" i="13" a="1"/>
  <c r="Q155" i="13" s="1"/>
  <c r="P155" i="13" a="1"/>
  <c r="P155" i="13" s="1"/>
  <c r="O155" i="13" a="1"/>
  <c r="O155" i="13" s="1"/>
  <c r="N155" i="13" a="1"/>
  <c r="N155" i="13" s="1"/>
  <c r="M155" i="13" a="1"/>
  <c r="M155" i="13" s="1"/>
  <c r="L155" i="13" a="1"/>
  <c r="L155" i="13" s="1"/>
  <c r="K155" i="13" a="1"/>
  <c r="K155" i="13" s="1"/>
  <c r="J155" i="13" a="1"/>
  <c r="J155" i="13" s="1"/>
  <c r="I155" i="13" a="1"/>
  <c r="I155" i="13" s="1"/>
  <c r="H155" i="13" a="1"/>
  <c r="H155" i="13" s="1"/>
  <c r="G155" i="13" a="1"/>
  <c r="G155" i="13" s="1"/>
  <c r="F155" i="13" a="1"/>
  <c r="F155" i="13" s="1"/>
  <c r="E155" i="13" a="1"/>
  <c r="E155" i="13" s="1"/>
  <c r="D155" i="13" a="1"/>
  <c r="D155" i="13" s="1"/>
  <c r="C155" i="13" a="1"/>
  <c r="C155" i="13" s="1"/>
  <c r="AB154" i="13" a="1"/>
  <c r="AB154" i="13" s="1"/>
  <c r="AA154" i="13" a="1"/>
  <c r="AA154" i="13" s="1"/>
  <c r="Z154" i="13" a="1"/>
  <c r="Z154" i="13" s="1"/>
  <c r="Y154" i="13" a="1"/>
  <c r="Y154" i="13" s="1"/>
  <c r="X154" i="13" a="1"/>
  <c r="X154" i="13" s="1"/>
  <c r="W154" i="13" a="1"/>
  <c r="W154" i="13" s="1"/>
  <c r="V154" i="13" a="1"/>
  <c r="V154" i="13" s="1"/>
  <c r="U154" i="13" a="1"/>
  <c r="U154" i="13" s="1"/>
  <c r="T154" i="13" a="1"/>
  <c r="T154" i="13" s="1"/>
  <c r="S154" i="13" a="1"/>
  <c r="S154" i="13" s="1"/>
  <c r="R154" i="13" a="1"/>
  <c r="R154" i="13" s="1"/>
  <c r="Q154" i="13" a="1"/>
  <c r="Q154" i="13" s="1"/>
  <c r="P154" i="13" a="1"/>
  <c r="P154" i="13" s="1"/>
  <c r="O154" i="13" a="1"/>
  <c r="O154" i="13" s="1"/>
  <c r="N154" i="13" a="1"/>
  <c r="N154" i="13" s="1"/>
  <c r="M154" i="13" a="1"/>
  <c r="M154" i="13" s="1"/>
  <c r="L154" i="13" a="1"/>
  <c r="L154" i="13" s="1"/>
  <c r="K154" i="13" a="1"/>
  <c r="K154" i="13" s="1"/>
  <c r="J154" i="13" a="1"/>
  <c r="J154" i="13" s="1"/>
  <c r="I154" i="13" a="1"/>
  <c r="I154" i="13" s="1"/>
  <c r="H154" i="13" a="1"/>
  <c r="H154" i="13" s="1"/>
  <c r="G154" i="13" a="1"/>
  <c r="G154" i="13" s="1"/>
  <c r="F154" i="13" a="1"/>
  <c r="F154" i="13" s="1"/>
  <c r="E154" i="13" a="1"/>
  <c r="E154" i="13" s="1"/>
  <c r="D154" i="13" a="1"/>
  <c r="D154" i="13" s="1"/>
  <c r="C154" i="13" a="1"/>
  <c r="C154" i="13" s="1"/>
  <c r="AB153" i="13" a="1"/>
  <c r="AB153" i="13" s="1"/>
  <c r="AA153" i="13" a="1"/>
  <c r="AA153" i="13" s="1"/>
  <c r="Z153" i="13" a="1"/>
  <c r="Z153" i="13" s="1"/>
  <c r="Y153" i="13" a="1"/>
  <c r="Y153" i="13" s="1"/>
  <c r="X153" i="13" a="1"/>
  <c r="X153" i="13" s="1"/>
  <c r="W153" i="13" a="1"/>
  <c r="W153" i="13" s="1"/>
  <c r="V153" i="13" a="1"/>
  <c r="V153" i="13" s="1"/>
  <c r="U153" i="13" a="1"/>
  <c r="U153" i="13" s="1"/>
  <c r="T153" i="13" a="1"/>
  <c r="T153" i="13" s="1"/>
  <c r="S153" i="13" a="1"/>
  <c r="S153" i="13" s="1"/>
  <c r="R153" i="13" a="1"/>
  <c r="R153" i="13" s="1"/>
  <c r="Q153" i="13" a="1"/>
  <c r="Q153" i="13" s="1"/>
  <c r="P153" i="13" a="1"/>
  <c r="P153" i="13" s="1"/>
  <c r="O153" i="13" a="1"/>
  <c r="O153" i="13" s="1"/>
  <c r="N153" i="13" a="1"/>
  <c r="N153" i="13" s="1"/>
  <c r="M153" i="13" a="1"/>
  <c r="M153" i="13" s="1"/>
  <c r="L153" i="13" a="1"/>
  <c r="L153" i="13" s="1"/>
  <c r="K153" i="13" a="1"/>
  <c r="K153" i="13" s="1"/>
  <c r="J153" i="13" a="1"/>
  <c r="J153" i="13" s="1"/>
  <c r="I153" i="13" a="1"/>
  <c r="I153" i="13" s="1"/>
  <c r="H153" i="13" a="1"/>
  <c r="H153" i="13" s="1"/>
  <c r="G153" i="13" a="1"/>
  <c r="G153" i="13" s="1"/>
  <c r="F153" i="13" a="1"/>
  <c r="F153" i="13" s="1"/>
  <c r="E153" i="13" a="1"/>
  <c r="E153" i="13" s="1"/>
  <c r="D153" i="13" a="1"/>
  <c r="D153" i="13" s="1"/>
  <c r="C153" i="13" a="1"/>
  <c r="C153" i="13" s="1"/>
  <c r="AB152" i="13" a="1"/>
  <c r="AB152" i="13" s="1"/>
  <c r="AA152" i="13" a="1"/>
  <c r="AA152" i="13" s="1"/>
  <c r="Z152" i="13" a="1"/>
  <c r="Z152" i="13" s="1"/>
  <c r="Y152" i="13" a="1"/>
  <c r="Y152" i="13" s="1"/>
  <c r="X152" i="13" a="1"/>
  <c r="X152" i="13" s="1"/>
  <c r="W152" i="13" a="1"/>
  <c r="W152" i="13" s="1"/>
  <c r="V152" i="13" a="1"/>
  <c r="V152" i="13" s="1"/>
  <c r="U152" i="13" a="1"/>
  <c r="U152" i="13" s="1"/>
  <c r="T152" i="13" a="1"/>
  <c r="T152" i="13" s="1"/>
  <c r="S152" i="13" a="1"/>
  <c r="S152" i="13" s="1"/>
  <c r="R152" i="13" a="1"/>
  <c r="R152" i="13" s="1"/>
  <c r="Q152" i="13" a="1"/>
  <c r="Q152" i="13" s="1"/>
  <c r="P152" i="13" a="1"/>
  <c r="P152" i="13" s="1"/>
  <c r="O152" i="13" a="1"/>
  <c r="O152" i="13" s="1"/>
  <c r="N152" i="13" a="1"/>
  <c r="N152" i="13" s="1"/>
  <c r="M152" i="13" a="1"/>
  <c r="M152" i="13" s="1"/>
  <c r="L152" i="13" a="1"/>
  <c r="L152" i="13" s="1"/>
  <c r="K152" i="13" a="1"/>
  <c r="K152" i="13" s="1"/>
  <c r="J152" i="13" a="1"/>
  <c r="J152" i="13" s="1"/>
  <c r="I152" i="13" a="1"/>
  <c r="I152" i="13" s="1"/>
  <c r="H152" i="13" a="1"/>
  <c r="H152" i="13" s="1"/>
  <c r="G152" i="13" a="1"/>
  <c r="G152" i="13" s="1"/>
  <c r="F152" i="13" a="1"/>
  <c r="F152" i="13" s="1"/>
  <c r="E152" i="13" a="1"/>
  <c r="E152" i="13" s="1"/>
  <c r="D152" i="13" a="1"/>
  <c r="D152" i="13" s="1"/>
  <c r="C152" i="13" a="1"/>
  <c r="C152" i="13" s="1"/>
  <c r="AB151" i="13" a="1"/>
  <c r="AB151" i="13" s="1"/>
  <c r="AA151" i="13" a="1"/>
  <c r="AA151" i="13" s="1"/>
  <c r="Z151" i="13" a="1"/>
  <c r="Z151" i="13" s="1"/>
  <c r="Y151" i="13" a="1"/>
  <c r="Y151" i="13" s="1"/>
  <c r="X151" i="13" a="1"/>
  <c r="X151" i="13" s="1"/>
  <c r="W151" i="13" a="1"/>
  <c r="W151" i="13" s="1"/>
  <c r="V151" i="13" a="1"/>
  <c r="V151" i="13" s="1"/>
  <c r="U151" i="13" a="1"/>
  <c r="U151" i="13" s="1"/>
  <c r="T151" i="13" a="1"/>
  <c r="T151" i="13" s="1"/>
  <c r="S151" i="13" a="1"/>
  <c r="S151" i="13" s="1"/>
  <c r="R151" i="13" a="1"/>
  <c r="R151" i="13" s="1"/>
  <c r="Q151" i="13" a="1"/>
  <c r="Q151" i="13" s="1"/>
  <c r="P151" i="13" a="1"/>
  <c r="P151" i="13" s="1"/>
  <c r="O151" i="13" a="1"/>
  <c r="O151" i="13" s="1"/>
  <c r="N151" i="13" a="1"/>
  <c r="N151" i="13" s="1"/>
  <c r="M151" i="13" a="1"/>
  <c r="M151" i="13" s="1"/>
  <c r="L151" i="13" a="1"/>
  <c r="L151" i="13" s="1"/>
  <c r="K151" i="13" a="1"/>
  <c r="K151" i="13" s="1"/>
  <c r="J151" i="13" a="1"/>
  <c r="J151" i="13" s="1"/>
  <c r="I151" i="13" a="1"/>
  <c r="I151" i="13" s="1"/>
  <c r="H151" i="13" a="1"/>
  <c r="H151" i="13" s="1"/>
  <c r="G151" i="13" a="1"/>
  <c r="G151" i="13" s="1"/>
  <c r="F151" i="13" a="1"/>
  <c r="F151" i="13" s="1"/>
  <c r="E151" i="13" a="1"/>
  <c r="E151" i="13" s="1"/>
  <c r="D151" i="13" a="1"/>
  <c r="D151" i="13" s="1"/>
  <c r="C151" i="13" a="1"/>
  <c r="C151" i="13" s="1"/>
  <c r="AB150" i="13" a="1"/>
  <c r="AB150" i="13" s="1"/>
  <c r="AA150" i="13" a="1"/>
  <c r="AA150" i="13" s="1"/>
  <c r="Z150" i="13" a="1"/>
  <c r="Z150" i="13" s="1"/>
  <c r="Y150" i="13" a="1"/>
  <c r="Y150" i="13" s="1"/>
  <c r="X150" i="13" a="1"/>
  <c r="X150" i="13" s="1"/>
  <c r="W150" i="13" a="1"/>
  <c r="W150" i="13" s="1"/>
  <c r="V150" i="13" a="1"/>
  <c r="V150" i="13" s="1"/>
  <c r="U150" i="13" a="1"/>
  <c r="U150" i="13" s="1"/>
  <c r="T150" i="13" a="1"/>
  <c r="T150" i="13" s="1"/>
  <c r="S150" i="13" a="1"/>
  <c r="S150" i="13" s="1"/>
  <c r="R150" i="13" a="1"/>
  <c r="R150" i="13" s="1"/>
  <c r="Q150" i="13" a="1"/>
  <c r="Q150" i="13" s="1"/>
  <c r="P150" i="13" a="1"/>
  <c r="P150" i="13" s="1"/>
  <c r="O150" i="13" a="1"/>
  <c r="O150" i="13" s="1"/>
  <c r="N150" i="13" a="1"/>
  <c r="N150" i="13" s="1"/>
  <c r="M150" i="13" a="1"/>
  <c r="M150" i="13" s="1"/>
  <c r="L150" i="13" a="1"/>
  <c r="L150" i="13" s="1"/>
  <c r="K150" i="13" a="1"/>
  <c r="K150" i="13" s="1"/>
  <c r="J150" i="13" a="1"/>
  <c r="J150" i="13" s="1"/>
  <c r="I150" i="13" a="1"/>
  <c r="I150" i="13" s="1"/>
  <c r="H150" i="13" a="1"/>
  <c r="H150" i="13" s="1"/>
  <c r="G150" i="13" a="1"/>
  <c r="G150" i="13" s="1"/>
  <c r="F150" i="13" a="1"/>
  <c r="F150" i="13" s="1"/>
  <c r="E150" i="13" a="1"/>
  <c r="E150" i="13" s="1"/>
  <c r="D150" i="13" a="1"/>
  <c r="D150" i="13" s="1"/>
  <c r="C150" i="13" a="1"/>
  <c r="C150" i="13" s="1"/>
  <c r="AB149" i="13" a="1"/>
  <c r="AB149" i="13" s="1"/>
  <c r="AA149" i="13" a="1"/>
  <c r="AA149" i="13" s="1"/>
  <c r="Z149" i="13" a="1"/>
  <c r="Z149" i="13" s="1"/>
  <c r="Y149" i="13" a="1"/>
  <c r="Y149" i="13" s="1"/>
  <c r="X149" i="13" a="1"/>
  <c r="X149" i="13" s="1"/>
  <c r="W149" i="13" a="1"/>
  <c r="W149" i="13" s="1"/>
  <c r="V149" i="13" a="1"/>
  <c r="V149" i="13" s="1"/>
  <c r="U149" i="13" a="1"/>
  <c r="U149" i="13" s="1"/>
  <c r="T149" i="13" a="1"/>
  <c r="T149" i="13" s="1"/>
  <c r="S149" i="13" a="1"/>
  <c r="S149" i="13" s="1"/>
  <c r="R149" i="13" a="1"/>
  <c r="R149" i="13" s="1"/>
  <c r="Q149" i="13" a="1"/>
  <c r="Q149" i="13" s="1"/>
  <c r="P149" i="13" a="1"/>
  <c r="P149" i="13" s="1"/>
  <c r="O149" i="13" a="1"/>
  <c r="O149" i="13" s="1"/>
  <c r="N149" i="13" a="1"/>
  <c r="N149" i="13" s="1"/>
  <c r="M149" i="13" a="1"/>
  <c r="M149" i="13" s="1"/>
  <c r="L149" i="13" a="1"/>
  <c r="L149" i="13" s="1"/>
  <c r="K149" i="13" a="1"/>
  <c r="K149" i="13" s="1"/>
  <c r="J149" i="13" a="1"/>
  <c r="J149" i="13" s="1"/>
  <c r="I149" i="13" a="1"/>
  <c r="I149" i="13" s="1"/>
  <c r="H149" i="13" a="1"/>
  <c r="H149" i="13" s="1"/>
  <c r="G149" i="13" a="1"/>
  <c r="G149" i="13" s="1"/>
  <c r="F149" i="13" a="1"/>
  <c r="F149" i="13" s="1"/>
  <c r="E149" i="13" a="1"/>
  <c r="E149" i="13" s="1"/>
  <c r="D149" i="13" a="1"/>
  <c r="D149" i="13" s="1"/>
  <c r="C149" i="13" a="1"/>
  <c r="C149" i="13" s="1"/>
  <c r="AB148" i="13" a="1"/>
  <c r="AB148" i="13" s="1"/>
  <c r="AA148" i="13" a="1"/>
  <c r="AA148" i="13" s="1"/>
  <c r="Z148" i="13" a="1"/>
  <c r="Z148" i="13" s="1"/>
  <c r="Y148" i="13" a="1"/>
  <c r="Y148" i="13" s="1"/>
  <c r="X148" i="13" a="1"/>
  <c r="X148" i="13" s="1"/>
  <c r="W148" i="13" a="1"/>
  <c r="W148" i="13" s="1"/>
  <c r="V148" i="13" a="1"/>
  <c r="V148" i="13" s="1"/>
  <c r="U148" i="13" a="1"/>
  <c r="U148" i="13" s="1"/>
  <c r="T148" i="13" a="1"/>
  <c r="T148" i="13" s="1"/>
  <c r="S148" i="13" a="1"/>
  <c r="S148" i="13" s="1"/>
  <c r="R148" i="13" a="1"/>
  <c r="R148" i="13" s="1"/>
  <c r="Q148" i="13" a="1"/>
  <c r="Q148" i="13" s="1"/>
  <c r="P148" i="13" a="1"/>
  <c r="P148" i="13" s="1"/>
  <c r="O148" i="13" a="1"/>
  <c r="O148" i="13" s="1"/>
  <c r="N148" i="13" a="1"/>
  <c r="N148" i="13" s="1"/>
  <c r="M148" i="13" a="1"/>
  <c r="M148" i="13" s="1"/>
  <c r="L148" i="13" a="1"/>
  <c r="L148" i="13" s="1"/>
  <c r="K148" i="13" a="1"/>
  <c r="K148" i="13" s="1"/>
  <c r="J148" i="13" a="1"/>
  <c r="J148" i="13" s="1"/>
  <c r="I148" i="13" a="1"/>
  <c r="I148" i="13" s="1"/>
  <c r="H148" i="13" a="1"/>
  <c r="H148" i="13" s="1"/>
  <c r="G148" i="13" a="1"/>
  <c r="G148" i="13" s="1"/>
  <c r="F148" i="13" a="1"/>
  <c r="F148" i="13" s="1"/>
  <c r="E148" i="13" a="1"/>
  <c r="E148" i="13" s="1"/>
  <c r="D148" i="13" a="1"/>
  <c r="D148" i="13" s="1"/>
  <c r="C148" i="13" a="1"/>
  <c r="C148" i="13" s="1"/>
  <c r="AB147" i="13" a="1"/>
  <c r="AB147" i="13" s="1"/>
  <c r="AA147" i="13" a="1"/>
  <c r="AA147" i="13" s="1"/>
  <c r="Z147" i="13" a="1"/>
  <c r="Z147" i="13" s="1"/>
  <c r="Y147" i="13" a="1"/>
  <c r="Y147" i="13" s="1"/>
  <c r="X147" i="13" a="1"/>
  <c r="X147" i="13" s="1"/>
  <c r="W147" i="13" a="1"/>
  <c r="W147" i="13" s="1"/>
  <c r="V147" i="13" a="1"/>
  <c r="V147" i="13" s="1"/>
  <c r="U147" i="13" a="1"/>
  <c r="U147" i="13" s="1"/>
  <c r="T147" i="13" a="1"/>
  <c r="T147" i="13" s="1"/>
  <c r="S147" i="13" a="1"/>
  <c r="S147" i="13" s="1"/>
  <c r="R147" i="13" a="1"/>
  <c r="R147" i="13" s="1"/>
  <c r="Q147" i="13" a="1"/>
  <c r="Q147" i="13" s="1"/>
  <c r="P147" i="13" a="1"/>
  <c r="P147" i="13" s="1"/>
  <c r="O147" i="13" a="1"/>
  <c r="O147" i="13" s="1"/>
  <c r="N147" i="13" a="1"/>
  <c r="N147" i="13" s="1"/>
  <c r="M147" i="13" a="1"/>
  <c r="M147" i="13" s="1"/>
  <c r="L147" i="13" a="1"/>
  <c r="L147" i="13" s="1"/>
  <c r="K147" i="13" a="1"/>
  <c r="K147" i="13" s="1"/>
  <c r="J147" i="13" a="1"/>
  <c r="J147" i="13" s="1"/>
  <c r="I147" i="13" a="1"/>
  <c r="I147" i="13" s="1"/>
  <c r="H147" i="13" a="1"/>
  <c r="H147" i="13" s="1"/>
  <c r="G147" i="13" a="1"/>
  <c r="G147" i="13" s="1"/>
  <c r="F147" i="13" a="1"/>
  <c r="F147" i="13" s="1"/>
  <c r="E147" i="13" a="1"/>
  <c r="E147" i="13" s="1"/>
  <c r="D147" i="13" a="1"/>
  <c r="D147" i="13" s="1"/>
  <c r="C147" i="13" a="1"/>
  <c r="C147" i="13" s="1"/>
  <c r="AB146" i="13" a="1"/>
  <c r="AB146" i="13" s="1"/>
  <c r="AA146" i="13" a="1"/>
  <c r="AA146" i="13" s="1"/>
  <c r="Z146" i="13" a="1"/>
  <c r="Z146" i="13" s="1"/>
  <c r="Y146" i="13" a="1"/>
  <c r="Y146" i="13" s="1"/>
  <c r="X146" i="13" a="1"/>
  <c r="X146" i="13" s="1"/>
  <c r="W146" i="13" a="1"/>
  <c r="W146" i="13" s="1"/>
  <c r="V146" i="13" a="1"/>
  <c r="V146" i="13" s="1"/>
  <c r="U146" i="13" a="1"/>
  <c r="U146" i="13" s="1"/>
  <c r="T146" i="13" a="1"/>
  <c r="T146" i="13" s="1"/>
  <c r="S146" i="13" a="1"/>
  <c r="S146" i="13" s="1"/>
  <c r="R146" i="13" a="1"/>
  <c r="R146" i="13" s="1"/>
  <c r="Q146" i="13" a="1"/>
  <c r="Q146" i="13" s="1"/>
  <c r="P146" i="13" a="1"/>
  <c r="P146" i="13" s="1"/>
  <c r="O146" i="13" a="1"/>
  <c r="O146" i="13" s="1"/>
  <c r="N146" i="13" a="1"/>
  <c r="N146" i="13" s="1"/>
  <c r="M146" i="13" a="1"/>
  <c r="M146" i="13" s="1"/>
  <c r="L146" i="13" a="1"/>
  <c r="L146" i="13" s="1"/>
  <c r="K146" i="13" a="1"/>
  <c r="K146" i="13" s="1"/>
  <c r="J146" i="13" a="1"/>
  <c r="J146" i="13" s="1"/>
  <c r="I146" i="13" a="1"/>
  <c r="I146" i="13" s="1"/>
  <c r="H146" i="13" a="1"/>
  <c r="H146" i="13" s="1"/>
  <c r="G146" i="13" a="1"/>
  <c r="G146" i="13" s="1"/>
  <c r="F146" i="13" a="1"/>
  <c r="F146" i="13" s="1"/>
  <c r="E146" i="13" a="1"/>
  <c r="E146" i="13" s="1"/>
  <c r="D146" i="13" a="1"/>
  <c r="D146" i="13" s="1"/>
  <c r="C146" i="13" a="1"/>
  <c r="C146" i="13" s="1"/>
  <c r="AB145" i="13" a="1"/>
  <c r="AB145" i="13" s="1"/>
  <c r="AA145" i="13" a="1"/>
  <c r="AA145" i="13" s="1"/>
  <c r="Z145" i="13" a="1"/>
  <c r="Z145" i="13" s="1"/>
  <c r="Y145" i="13" a="1"/>
  <c r="Y145" i="13" s="1"/>
  <c r="X145" i="13" a="1"/>
  <c r="X145" i="13" s="1"/>
  <c r="W145" i="13" a="1"/>
  <c r="W145" i="13" s="1"/>
  <c r="V145" i="13" a="1"/>
  <c r="V145" i="13" s="1"/>
  <c r="U145" i="13" a="1"/>
  <c r="U145" i="13" s="1"/>
  <c r="T145" i="13" a="1"/>
  <c r="T145" i="13" s="1"/>
  <c r="S145" i="13" a="1"/>
  <c r="S145" i="13" s="1"/>
  <c r="R145" i="13" a="1"/>
  <c r="R145" i="13" s="1"/>
  <c r="Q145" i="13" a="1"/>
  <c r="Q145" i="13" s="1"/>
  <c r="P145" i="13" a="1"/>
  <c r="P145" i="13" s="1"/>
  <c r="O145" i="13" a="1"/>
  <c r="O145" i="13" s="1"/>
  <c r="N145" i="13" a="1"/>
  <c r="N145" i="13" s="1"/>
  <c r="M145" i="13" a="1"/>
  <c r="M145" i="13" s="1"/>
  <c r="L145" i="13" a="1"/>
  <c r="L145" i="13" s="1"/>
  <c r="K145" i="13" a="1"/>
  <c r="K145" i="13" s="1"/>
  <c r="J145" i="13" a="1"/>
  <c r="J145" i="13" s="1"/>
  <c r="I145" i="13" a="1"/>
  <c r="I145" i="13" s="1"/>
  <c r="H145" i="13" a="1"/>
  <c r="H145" i="13" s="1"/>
  <c r="G145" i="13" a="1"/>
  <c r="G145" i="13" s="1"/>
  <c r="F145" i="13" a="1"/>
  <c r="F145" i="13" s="1"/>
  <c r="E145" i="13" a="1"/>
  <c r="E145" i="13" s="1"/>
  <c r="D145" i="13" a="1"/>
  <c r="D145" i="13" s="1"/>
  <c r="C145" i="13" a="1"/>
  <c r="C145" i="13" s="1"/>
  <c r="AB144" i="13" a="1"/>
  <c r="AB144" i="13" s="1"/>
  <c r="AA144" i="13" a="1"/>
  <c r="AA144" i="13" s="1"/>
  <c r="Z144" i="13" a="1"/>
  <c r="Z144" i="13" s="1"/>
  <c r="Y144" i="13" a="1"/>
  <c r="Y144" i="13" s="1"/>
  <c r="X144" i="13" a="1"/>
  <c r="X144" i="13" s="1"/>
  <c r="W144" i="13" a="1"/>
  <c r="W144" i="13" s="1"/>
  <c r="V144" i="13" a="1"/>
  <c r="V144" i="13" s="1"/>
  <c r="U144" i="13" a="1"/>
  <c r="U144" i="13" s="1"/>
  <c r="T144" i="13" a="1"/>
  <c r="T144" i="13" s="1"/>
  <c r="S144" i="13" a="1"/>
  <c r="S144" i="13" s="1"/>
  <c r="R144" i="13" a="1"/>
  <c r="R144" i="13" s="1"/>
  <c r="Q144" i="13" a="1"/>
  <c r="Q144" i="13" s="1"/>
  <c r="P144" i="13" a="1"/>
  <c r="P144" i="13" s="1"/>
  <c r="O144" i="13" a="1"/>
  <c r="O144" i="13" s="1"/>
  <c r="N144" i="13" a="1"/>
  <c r="N144" i="13" s="1"/>
  <c r="M144" i="13" a="1"/>
  <c r="M144" i="13" s="1"/>
  <c r="L144" i="13" a="1"/>
  <c r="L144" i="13" s="1"/>
  <c r="K144" i="13" a="1"/>
  <c r="K144" i="13" s="1"/>
  <c r="J144" i="13" a="1"/>
  <c r="J144" i="13" s="1"/>
  <c r="I144" i="13" a="1"/>
  <c r="I144" i="13" s="1"/>
  <c r="H144" i="13" a="1"/>
  <c r="H144" i="13" s="1"/>
  <c r="G144" i="13" a="1"/>
  <c r="G144" i="13" s="1"/>
  <c r="F144" i="13" a="1"/>
  <c r="F144" i="13" s="1"/>
  <c r="E144" i="13" a="1"/>
  <c r="E144" i="13" s="1"/>
  <c r="D144" i="13" a="1"/>
  <c r="D144" i="13" s="1"/>
  <c r="C144" i="13" a="1"/>
  <c r="C144" i="13" s="1"/>
  <c r="AB143" i="13" a="1"/>
  <c r="AB143" i="13" s="1"/>
  <c r="AA143" i="13" a="1"/>
  <c r="AA143" i="13" s="1"/>
  <c r="Z143" i="13" a="1"/>
  <c r="Z143" i="13" s="1"/>
  <c r="Y143" i="13" a="1"/>
  <c r="Y143" i="13" s="1"/>
  <c r="X143" i="13" a="1"/>
  <c r="X143" i="13" s="1"/>
  <c r="W143" i="13" a="1"/>
  <c r="W143" i="13" s="1"/>
  <c r="V143" i="13" a="1"/>
  <c r="V143" i="13" s="1"/>
  <c r="U143" i="13" a="1"/>
  <c r="U143" i="13" s="1"/>
  <c r="T143" i="13" a="1"/>
  <c r="T143" i="13" s="1"/>
  <c r="S143" i="13" a="1"/>
  <c r="S143" i="13" s="1"/>
  <c r="R143" i="13" a="1"/>
  <c r="R143" i="13" s="1"/>
  <c r="Q143" i="13" a="1"/>
  <c r="Q143" i="13" s="1"/>
  <c r="P143" i="13" a="1"/>
  <c r="P143" i="13" s="1"/>
  <c r="O143" i="13" a="1"/>
  <c r="O143" i="13" s="1"/>
  <c r="N143" i="13" a="1"/>
  <c r="N143" i="13" s="1"/>
  <c r="M143" i="13" a="1"/>
  <c r="M143" i="13" s="1"/>
  <c r="L143" i="13" a="1"/>
  <c r="L143" i="13" s="1"/>
  <c r="K143" i="13" a="1"/>
  <c r="K143" i="13" s="1"/>
  <c r="J143" i="13" a="1"/>
  <c r="J143" i="13" s="1"/>
  <c r="I143" i="13" a="1"/>
  <c r="I143" i="13" s="1"/>
  <c r="H143" i="13" a="1"/>
  <c r="H143" i="13" s="1"/>
  <c r="G143" i="13" a="1"/>
  <c r="G143" i="13" s="1"/>
  <c r="F143" i="13" a="1"/>
  <c r="F143" i="13" s="1"/>
  <c r="E143" i="13" a="1"/>
  <c r="E143" i="13" s="1"/>
  <c r="D143" i="13" a="1"/>
  <c r="D143" i="13" s="1"/>
  <c r="C143" i="13" a="1"/>
  <c r="C143" i="13" s="1"/>
  <c r="AB142" i="13" a="1"/>
  <c r="AB142" i="13" s="1"/>
  <c r="AA142" i="13" a="1"/>
  <c r="AA142" i="13" s="1"/>
  <c r="Z142" i="13" a="1"/>
  <c r="Z142" i="13" s="1"/>
  <c r="Y142" i="13" a="1"/>
  <c r="Y142" i="13" s="1"/>
  <c r="X142" i="13" a="1"/>
  <c r="X142" i="13" s="1"/>
  <c r="W142" i="13" a="1"/>
  <c r="W142" i="13" s="1"/>
  <c r="V142" i="13" a="1"/>
  <c r="V142" i="13" s="1"/>
  <c r="U142" i="13" a="1"/>
  <c r="U142" i="13" s="1"/>
  <c r="T142" i="13" a="1"/>
  <c r="T142" i="13" s="1"/>
  <c r="S142" i="13" a="1"/>
  <c r="S142" i="13" s="1"/>
  <c r="R142" i="13" a="1"/>
  <c r="R142" i="13" s="1"/>
  <c r="Q142" i="13" a="1"/>
  <c r="Q142" i="13" s="1"/>
  <c r="P142" i="13" a="1"/>
  <c r="P142" i="13" s="1"/>
  <c r="O142" i="13" a="1"/>
  <c r="O142" i="13" s="1"/>
  <c r="N142" i="13" a="1"/>
  <c r="N142" i="13" s="1"/>
  <c r="M142" i="13" a="1"/>
  <c r="M142" i="13" s="1"/>
  <c r="L142" i="13" a="1"/>
  <c r="L142" i="13" s="1"/>
  <c r="K142" i="13" a="1"/>
  <c r="K142" i="13" s="1"/>
  <c r="J142" i="13" a="1"/>
  <c r="J142" i="13" s="1"/>
  <c r="I142" i="13" a="1"/>
  <c r="I142" i="13" s="1"/>
  <c r="H142" i="13" a="1"/>
  <c r="H142" i="13" s="1"/>
  <c r="G142" i="13" a="1"/>
  <c r="G142" i="13" s="1"/>
  <c r="F142" i="13" a="1"/>
  <c r="F142" i="13" s="1"/>
  <c r="E142" i="13" a="1"/>
  <c r="E142" i="13" s="1"/>
  <c r="D142" i="13" a="1"/>
  <c r="D142" i="13" s="1"/>
  <c r="C142" i="13" a="1"/>
  <c r="C142" i="13" s="1"/>
  <c r="AB141" i="13" a="1"/>
  <c r="AB141" i="13" s="1"/>
  <c r="AA141" i="13" a="1"/>
  <c r="AA141" i="13" s="1"/>
  <c r="Z141" i="13" a="1"/>
  <c r="Z141" i="13" s="1"/>
  <c r="Y141" i="13" a="1"/>
  <c r="Y141" i="13" s="1"/>
  <c r="X141" i="13" a="1"/>
  <c r="X141" i="13" s="1"/>
  <c r="W141" i="13" a="1"/>
  <c r="W141" i="13" s="1"/>
  <c r="V141" i="13" a="1"/>
  <c r="V141" i="13" s="1"/>
  <c r="U141" i="13" a="1"/>
  <c r="U141" i="13" s="1"/>
  <c r="T141" i="13" a="1"/>
  <c r="T141" i="13" s="1"/>
  <c r="S141" i="13" a="1"/>
  <c r="S141" i="13" s="1"/>
  <c r="R141" i="13" a="1"/>
  <c r="R141" i="13" s="1"/>
  <c r="Q141" i="13" a="1"/>
  <c r="Q141" i="13" s="1"/>
  <c r="P141" i="13" a="1"/>
  <c r="P141" i="13" s="1"/>
  <c r="O141" i="13" a="1"/>
  <c r="O141" i="13" s="1"/>
  <c r="N141" i="13" a="1"/>
  <c r="N141" i="13" s="1"/>
  <c r="M141" i="13" a="1"/>
  <c r="M141" i="13" s="1"/>
  <c r="L141" i="13" a="1"/>
  <c r="L141" i="13" s="1"/>
  <c r="K141" i="13" a="1"/>
  <c r="K141" i="13" s="1"/>
  <c r="J141" i="13" a="1"/>
  <c r="J141" i="13" s="1"/>
  <c r="I141" i="13" a="1"/>
  <c r="I141" i="13" s="1"/>
  <c r="H141" i="13" a="1"/>
  <c r="H141" i="13" s="1"/>
  <c r="G141" i="13" a="1"/>
  <c r="G141" i="13" s="1"/>
  <c r="F141" i="13" a="1"/>
  <c r="F141" i="13" s="1"/>
  <c r="E141" i="13" a="1"/>
  <c r="E141" i="13" s="1"/>
  <c r="D141" i="13" a="1"/>
  <c r="D141" i="13" s="1"/>
  <c r="C141" i="13" a="1"/>
  <c r="C141" i="13" s="1"/>
  <c r="AB140" i="13" a="1"/>
  <c r="AB140" i="13" s="1"/>
  <c r="AA140" i="13" a="1"/>
  <c r="AA140" i="13" s="1"/>
  <c r="Z140" i="13" a="1"/>
  <c r="Z140" i="13" s="1"/>
  <c r="Y140" i="13" a="1"/>
  <c r="Y140" i="13" s="1"/>
  <c r="X140" i="13" a="1"/>
  <c r="X140" i="13" s="1"/>
  <c r="W140" i="13" a="1"/>
  <c r="W140" i="13" s="1"/>
  <c r="V140" i="13" a="1"/>
  <c r="V140" i="13" s="1"/>
  <c r="U140" i="13" a="1"/>
  <c r="U140" i="13" s="1"/>
  <c r="T140" i="13" a="1"/>
  <c r="T140" i="13" s="1"/>
  <c r="S140" i="13" a="1"/>
  <c r="S140" i="13" s="1"/>
  <c r="R140" i="13" a="1"/>
  <c r="R140" i="13" s="1"/>
  <c r="Q140" i="13" a="1"/>
  <c r="Q140" i="13" s="1"/>
  <c r="P140" i="13" a="1"/>
  <c r="P140" i="13" s="1"/>
  <c r="O140" i="13" a="1"/>
  <c r="O140" i="13" s="1"/>
  <c r="N140" i="13" a="1"/>
  <c r="N140" i="13" s="1"/>
  <c r="M140" i="13" a="1"/>
  <c r="M140" i="13" s="1"/>
  <c r="L140" i="13" a="1"/>
  <c r="L140" i="13" s="1"/>
  <c r="K140" i="13" a="1"/>
  <c r="K140" i="13" s="1"/>
  <c r="J140" i="13" a="1"/>
  <c r="J140" i="13" s="1"/>
  <c r="I140" i="13" a="1"/>
  <c r="I140" i="13" s="1"/>
  <c r="H140" i="13" a="1"/>
  <c r="H140" i="13" s="1"/>
  <c r="G140" i="13" a="1"/>
  <c r="G140" i="13" s="1"/>
  <c r="F140" i="13" a="1"/>
  <c r="F140" i="13" s="1"/>
  <c r="E140" i="13" a="1"/>
  <c r="E140" i="13" s="1"/>
  <c r="D140" i="13" a="1"/>
  <c r="D140" i="13" s="1"/>
  <c r="C140" i="13" a="1"/>
  <c r="C140" i="13" s="1"/>
  <c r="AB139" i="13" a="1"/>
  <c r="AB139" i="13" s="1"/>
  <c r="AA139" i="13" a="1"/>
  <c r="AA139" i="13" s="1"/>
  <c r="Z139" i="13" a="1"/>
  <c r="Z139" i="13" s="1"/>
  <c r="Y139" i="13" a="1"/>
  <c r="Y139" i="13" s="1"/>
  <c r="X139" i="13" a="1"/>
  <c r="X139" i="13" s="1"/>
  <c r="W139" i="13" a="1"/>
  <c r="W139" i="13" s="1"/>
  <c r="V139" i="13" a="1"/>
  <c r="V139" i="13" s="1"/>
  <c r="U139" i="13" a="1"/>
  <c r="U139" i="13" s="1"/>
  <c r="T139" i="13" a="1"/>
  <c r="T139" i="13" s="1"/>
  <c r="S139" i="13" a="1"/>
  <c r="S139" i="13" s="1"/>
  <c r="R139" i="13" a="1"/>
  <c r="R139" i="13" s="1"/>
  <c r="Q139" i="13" a="1"/>
  <c r="Q139" i="13" s="1"/>
  <c r="P139" i="13" a="1"/>
  <c r="P139" i="13" s="1"/>
  <c r="O139" i="13" a="1"/>
  <c r="O139" i="13" s="1"/>
  <c r="N139" i="13" a="1"/>
  <c r="N139" i="13" s="1"/>
  <c r="M139" i="13" a="1"/>
  <c r="M139" i="13" s="1"/>
  <c r="L139" i="13" a="1"/>
  <c r="L139" i="13" s="1"/>
  <c r="K139" i="13" a="1"/>
  <c r="K139" i="13" s="1"/>
  <c r="J139" i="13" a="1"/>
  <c r="J139" i="13" s="1"/>
  <c r="I139" i="13" a="1"/>
  <c r="I139" i="13" s="1"/>
  <c r="H139" i="13" a="1"/>
  <c r="H139" i="13" s="1"/>
  <c r="G139" i="13" a="1"/>
  <c r="G139" i="13" s="1"/>
  <c r="F139" i="13" a="1"/>
  <c r="F139" i="13" s="1"/>
  <c r="E139" i="13" a="1"/>
  <c r="E139" i="13" s="1"/>
  <c r="D139" i="13" a="1"/>
  <c r="D139" i="13" s="1"/>
  <c r="C139" i="13" a="1"/>
  <c r="C139" i="13" s="1"/>
  <c r="AB138" i="13" a="1"/>
  <c r="AB138" i="13" s="1"/>
  <c r="AA138" i="13" a="1"/>
  <c r="AA138" i="13" s="1"/>
  <c r="Z138" i="13" a="1"/>
  <c r="Z138" i="13" s="1"/>
  <c r="Y138" i="13" a="1"/>
  <c r="Y138" i="13" s="1"/>
  <c r="X138" i="13" a="1"/>
  <c r="X138" i="13" s="1"/>
  <c r="W138" i="13" a="1"/>
  <c r="W138" i="13" s="1"/>
  <c r="V138" i="13" a="1"/>
  <c r="V138" i="13" s="1"/>
  <c r="U138" i="13" a="1"/>
  <c r="U138" i="13" s="1"/>
  <c r="T138" i="13" a="1"/>
  <c r="T138" i="13" s="1"/>
  <c r="S138" i="13" a="1"/>
  <c r="S138" i="13" s="1"/>
  <c r="R138" i="13" a="1"/>
  <c r="R138" i="13" s="1"/>
  <c r="Q138" i="13" a="1"/>
  <c r="Q138" i="13" s="1"/>
  <c r="P138" i="13" a="1"/>
  <c r="P138" i="13" s="1"/>
  <c r="O138" i="13" a="1"/>
  <c r="O138" i="13" s="1"/>
  <c r="N138" i="13" a="1"/>
  <c r="N138" i="13" s="1"/>
  <c r="M138" i="13" a="1"/>
  <c r="M138" i="13" s="1"/>
  <c r="L138" i="13" a="1"/>
  <c r="L138" i="13" s="1"/>
  <c r="K138" i="13" a="1"/>
  <c r="K138" i="13" s="1"/>
  <c r="J138" i="13" a="1"/>
  <c r="J138" i="13" s="1"/>
  <c r="I138" i="13" a="1"/>
  <c r="I138" i="13" s="1"/>
  <c r="H138" i="13" a="1"/>
  <c r="H138" i="13" s="1"/>
  <c r="G138" i="13" a="1"/>
  <c r="G138" i="13" s="1"/>
  <c r="F138" i="13" a="1"/>
  <c r="F138" i="13" s="1"/>
  <c r="E138" i="13" a="1"/>
  <c r="E138" i="13" s="1"/>
  <c r="D138" i="13" a="1"/>
  <c r="D138" i="13" s="1"/>
  <c r="C138" i="13" a="1"/>
  <c r="C138" i="13" s="1"/>
  <c r="AB137" i="13" a="1"/>
  <c r="AB137" i="13" s="1"/>
  <c r="AA137" i="13" a="1"/>
  <c r="AA137" i="13" s="1"/>
  <c r="Z137" i="13" a="1"/>
  <c r="Z137" i="13" s="1"/>
  <c r="Y137" i="13" a="1"/>
  <c r="Y137" i="13" s="1"/>
  <c r="X137" i="13" a="1"/>
  <c r="X137" i="13" s="1"/>
  <c r="W137" i="13" a="1"/>
  <c r="W137" i="13" s="1"/>
  <c r="V137" i="13" a="1"/>
  <c r="V137" i="13" s="1"/>
  <c r="U137" i="13" a="1"/>
  <c r="U137" i="13" s="1"/>
  <c r="T137" i="13" a="1"/>
  <c r="T137" i="13" s="1"/>
  <c r="S137" i="13" a="1"/>
  <c r="S137" i="13" s="1"/>
  <c r="R137" i="13" a="1"/>
  <c r="R137" i="13" s="1"/>
  <c r="Q137" i="13" a="1"/>
  <c r="Q137" i="13" s="1"/>
  <c r="P137" i="13" a="1"/>
  <c r="P137" i="13" s="1"/>
  <c r="O137" i="13" a="1"/>
  <c r="O137" i="13" s="1"/>
  <c r="N137" i="13" a="1"/>
  <c r="N137" i="13" s="1"/>
  <c r="M137" i="13" a="1"/>
  <c r="M137" i="13" s="1"/>
  <c r="L137" i="13" a="1"/>
  <c r="L137" i="13" s="1"/>
  <c r="K137" i="13" a="1"/>
  <c r="K137" i="13" s="1"/>
  <c r="J137" i="13" a="1"/>
  <c r="J137" i="13" s="1"/>
  <c r="I137" i="13" a="1"/>
  <c r="I137" i="13" s="1"/>
  <c r="H137" i="13" a="1"/>
  <c r="H137" i="13" s="1"/>
  <c r="G137" i="13" a="1"/>
  <c r="G137" i="13" s="1"/>
  <c r="F137" i="13" a="1"/>
  <c r="F137" i="13" s="1"/>
  <c r="E137" i="13" a="1"/>
  <c r="E137" i="13" s="1"/>
  <c r="D137" i="13" a="1"/>
  <c r="D137" i="13" s="1"/>
  <c r="C137" i="13" a="1"/>
  <c r="C137" i="13" s="1"/>
  <c r="AB136" i="13" a="1"/>
  <c r="AB136" i="13" s="1"/>
  <c r="AA136" i="13" a="1"/>
  <c r="AA136" i="13" s="1"/>
  <c r="Z136" i="13" a="1"/>
  <c r="Z136" i="13" s="1"/>
  <c r="Y136" i="13" a="1"/>
  <c r="Y136" i="13" s="1"/>
  <c r="X136" i="13" a="1"/>
  <c r="X136" i="13" s="1"/>
  <c r="W136" i="13" a="1"/>
  <c r="W136" i="13" s="1"/>
  <c r="V136" i="13" a="1"/>
  <c r="V136" i="13" s="1"/>
  <c r="U136" i="13" a="1"/>
  <c r="U136" i="13" s="1"/>
  <c r="T136" i="13" a="1"/>
  <c r="T136" i="13" s="1"/>
  <c r="S136" i="13" a="1"/>
  <c r="S136" i="13" s="1"/>
  <c r="R136" i="13" a="1"/>
  <c r="R136" i="13" s="1"/>
  <c r="Q136" i="13" a="1"/>
  <c r="Q136" i="13" s="1"/>
  <c r="P136" i="13" a="1"/>
  <c r="P136" i="13" s="1"/>
  <c r="O136" i="13" a="1"/>
  <c r="O136" i="13" s="1"/>
  <c r="N136" i="13" a="1"/>
  <c r="N136" i="13" s="1"/>
  <c r="M136" i="13" a="1"/>
  <c r="M136" i="13" s="1"/>
  <c r="L136" i="13" a="1"/>
  <c r="L136" i="13" s="1"/>
  <c r="K136" i="13" a="1"/>
  <c r="K136" i="13" s="1"/>
  <c r="J136" i="13" a="1"/>
  <c r="J136" i="13" s="1"/>
  <c r="I136" i="13" a="1"/>
  <c r="I136" i="13" s="1"/>
  <c r="H136" i="13" a="1"/>
  <c r="H136" i="13" s="1"/>
  <c r="G136" i="13" a="1"/>
  <c r="G136" i="13" s="1"/>
  <c r="F136" i="13" a="1"/>
  <c r="F136" i="13" s="1"/>
  <c r="E136" i="13" a="1"/>
  <c r="E136" i="13" s="1"/>
  <c r="D136" i="13" a="1"/>
  <c r="D136" i="13" s="1"/>
  <c r="C136" i="13" a="1"/>
  <c r="C136" i="13" s="1"/>
  <c r="AB135" i="13" a="1"/>
  <c r="AB135" i="13" s="1"/>
  <c r="AA135" i="13" a="1"/>
  <c r="AA135" i="13" s="1"/>
  <c r="Z135" i="13" a="1"/>
  <c r="Z135" i="13" s="1"/>
  <c r="Y135" i="13" a="1"/>
  <c r="Y135" i="13" s="1"/>
  <c r="X135" i="13" a="1"/>
  <c r="X135" i="13" s="1"/>
  <c r="W135" i="13" a="1"/>
  <c r="W135" i="13" s="1"/>
  <c r="V135" i="13" a="1"/>
  <c r="V135" i="13" s="1"/>
  <c r="U135" i="13" a="1"/>
  <c r="U135" i="13" s="1"/>
  <c r="T135" i="13" a="1"/>
  <c r="T135" i="13" s="1"/>
  <c r="S135" i="13" a="1"/>
  <c r="S135" i="13" s="1"/>
  <c r="R135" i="13" a="1"/>
  <c r="R135" i="13" s="1"/>
  <c r="Q135" i="13" a="1"/>
  <c r="Q135" i="13" s="1"/>
  <c r="P135" i="13" a="1"/>
  <c r="P135" i="13" s="1"/>
  <c r="O135" i="13" a="1"/>
  <c r="O135" i="13" s="1"/>
  <c r="N135" i="13" a="1"/>
  <c r="N135" i="13" s="1"/>
  <c r="M135" i="13" a="1"/>
  <c r="M135" i="13" s="1"/>
  <c r="L135" i="13" a="1"/>
  <c r="L135" i="13" s="1"/>
  <c r="K135" i="13" a="1"/>
  <c r="K135" i="13" s="1"/>
  <c r="J135" i="13" a="1"/>
  <c r="J135" i="13" s="1"/>
  <c r="I135" i="13" a="1"/>
  <c r="I135" i="13" s="1"/>
  <c r="H135" i="13" a="1"/>
  <c r="H135" i="13" s="1"/>
  <c r="G135" i="13" a="1"/>
  <c r="G135" i="13" s="1"/>
  <c r="F135" i="13" a="1"/>
  <c r="F135" i="13" s="1"/>
  <c r="E135" i="13" a="1"/>
  <c r="E135" i="13" s="1"/>
  <c r="D135" i="13" a="1"/>
  <c r="D135" i="13" s="1"/>
  <c r="C135" i="13" a="1"/>
  <c r="C135" i="13" s="1"/>
  <c r="B155" i="13" a="1"/>
  <c r="B155" i="13" s="1"/>
  <c r="B154" i="13" a="1"/>
  <c r="B154" i="13" s="1"/>
  <c r="B153" i="13" a="1"/>
  <c r="B153" i="13" s="1"/>
  <c r="B152" i="13" a="1"/>
  <c r="B152" i="13" s="1"/>
  <c r="B151" i="13" a="1"/>
  <c r="B151" i="13" s="1"/>
  <c r="B150" i="13" a="1"/>
  <c r="B150" i="13" s="1"/>
  <c r="B149" i="13" a="1"/>
  <c r="B149" i="13" s="1"/>
  <c r="B148" i="13" a="1"/>
  <c r="B148" i="13" s="1"/>
  <c r="B147" i="13" a="1"/>
  <c r="B147" i="13" s="1"/>
  <c r="B146" i="13" a="1"/>
  <c r="B146" i="13" s="1"/>
  <c r="B145" i="13" a="1"/>
  <c r="B145" i="13" s="1"/>
  <c r="B144" i="13" a="1"/>
  <c r="B144" i="13" s="1"/>
  <c r="B143" i="13" a="1"/>
  <c r="B143" i="13" s="1"/>
  <c r="B142" i="13" a="1"/>
  <c r="B142" i="13" s="1"/>
  <c r="B141" i="13" a="1"/>
  <c r="B141" i="13" s="1"/>
  <c r="B140" i="13" a="1"/>
  <c r="B140" i="13" s="1"/>
  <c r="B139" i="13" a="1"/>
  <c r="B139" i="13" s="1"/>
  <c r="B138" i="13" a="1"/>
  <c r="B138" i="13" s="1"/>
  <c r="B137" i="13" a="1"/>
  <c r="B137" i="13" s="1"/>
  <c r="B136" i="13" a="1"/>
  <c r="B136" i="13" s="1"/>
  <c r="AB60" i="13" a="1"/>
  <c r="AB60" i="13" s="1"/>
  <c r="AA60" i="13" a="1"/>
  <c r="AA60" i="13" s="1"/>
  <c r="Z60" i="13" a="1"/>
  <c r="Z60" i="13" s="1"/>
  <c r="Y60" i="13" a="1"/>
  <c r="Y60" i="13" s="1"/>
  <c r="X60" i="13" a="1"/>
  <c r="X60" i="13" s="1"/>
  <c r="W60" i="13" a="1"/>
  <c r="W60" i="13" s="1"/>
  <c r="V60" i="13" a="1"/>
  <c r="V60" i="13" s="1"/>
  <c r="U60" i="13" a="1"/>
  <c r="U60" i="13" s="1"/>
  <c r="T60" i="13" a="1"/>
  <c r="T60" i="13" s="1"/>
  <c r="S60" i="13" a="1"/>
  <c r="S60" i="13" s="1"/>
  <c r="R60" i="13" a="1"/>
  <c r="R60" i="13" s="1"/>
  <c r="Q60" i="13" a="1"/>
  <c r="Q60" i="13" s="1"/>
  <c r="P60" i="13" a="1"/>
  <c r="P60" i="13" s="1"/>
  <c r="AB59" i="13" a="1"/>
  <c r="AB59" i="13" s="1"/>
  <c r="AA59" i="13" a="1"/>
  <c r="AA59" i="13" s="1"/>
  <c r="Z59" i="13" a="1"/>
  <c r="Z59" i="13" s="1"/>
  <c r="Y59" i="13" a="1"/>
  <c r="Y59" i="13" s="1"/>
  <c r="X59" i="13" a="1"/>
  <c r="X59" i="13" s="1"/>
  <c r="W59" i="13" a="1"/>
  <c r="W59" i="13" s="1"/>
  <c r="V59" i="13" a="1"/>
  <c r="V59" i="13" s="1"/>
  <c r="U59" i="13" a="1"/>
  <c r="U59" i="13" s="1"/>
  <c r="T59" i="13" a="1"/>
  <c r="T59" i="13" s="1"/>
  <c r="S59" i="13" a="1"/>
  <c r="S59" i="13" s="1"/>
  <c r="R59" i="13" a="1"/>
  <c r="R59" i="13" s="1"/>
  <c r="Q59" i="13" a="1"/>
  <c r="Q59" i="13" s="1"/>
  <c r="P59" i="13" a="1"/>
  <c r="P59" i="13" s="1"/>
  <c r="AB58" i="13" a="1"/>
  <c r="AB58" i="13" s="1"/>
  <c r="AA58" i="13" a="1"/>
  <c r="AA58" i="13" s="1"/>
  <c r="Z58" i="13" a="1"/>
  <c r="Z58" i="13" s="1"/>
  <c r="Y58" i="13" a="1"/>
  <c r="Y58" i="13" s="1"/>
  <c r="X58" i="13" a="1"/>
  <c r="X58" i="13" s="1"/>
  <c r="W58" i="13" a="1"/>
  <c r="W58" i="13" s="1"/>
  <c r="V58" i="13" a="1"/>
  <c r="V58" i="13" s="1"/>
  <c r="U58" i="13" a="1"/>
  <c r="U58" i="13" s="1"/>
  <c r="T58" i="13" a="1"/>
  <c r="T58" i="13" s="1"/>
  <c r="S58" i="13" a="1"/>
  <c r="S58" i="13" s="1"/>
  <c r="R58" i="13" a="1"/>
  <c r="R58" i="13" s="1"/>
  <c r="Q58" i="13" a="1"/>
  <c r="Q58" i="13" s="1"/>
  <c r="P58" i="13" a="1"/>
  <c r="P58" i="13" s="1"/>
  <c r="AB57" i="13" a="1"/>
  <c r="AB57" i="13" s="1"/>
  <c r="AA57" i="13" a="1"/>
  <c r="AA57" i="13" s="1"/>
  <c r="Z57" i="13" a="1"/>
  <c r="Z57" i="13" s="1"/>
  <c r="Y57" i="13" a="1"/>
  <c r="Y57" i="13" s="1"/>
  <c r="X57" i="13" a="1"/>
  <c r="X57" i="13" s="1"/>
  <c r="W57" i="13" a="1"/>
  <c r="W57" i="13" s="1"/>
  <c r="V57" i="13" a="1"/>
  <c r="V57" i="13" s="1"/>
  <c r="U57" i="13" a="1"/>
  <c r="U57" i="13" s="1"/>
  <c r="T57" i="13" a="1"/>
  <c r="T57" i="13" s="1"/>
  <c r="S57" i="13" a="1"/>
  <c r="S57" i="13" s="1"/>
  <c r="R57" i="13" a="1"/>
  <c r="R57" i="13" s="1"/>
  <c r="Q57" i="13" a="1"/>
  <c r="Q57" i="13" s="1"/>
  <c r="P57" i="13" a="1"/>
  <c r="P57" i="13" s="1"/>
  <c r="AB56" i="13" a="1"/>
  <c r="AB56" i="13" s="1"/>
  <c r="AA56" i="13" a="1"/>
  <c r="AA56" i="13" s="1"/>
  <c r="Z56" i="13" a="1"/>
  <c r="Z56" i="13" s="1"/>
  <c r="Y56" i="13" a="1"/>
  <c r="Y56" i="13" s="1"/>
  <c r="X56" i="13" a="1"/>
  <c r="X56" i="13" s="1"/>
  <c r="W56" i="13" a="1"/>
  <c r="W56" i="13" s="1"/>
  <c r="V56" i="13" a="1"/>
  <c r="V56" i="13" s="1"/>
  <c r="U56" i="13" a="1"/>
  <c r="U56" i="13" s="1"/>
  <c r="T56" i="13" a="1"/>
  <c r="T56" i="13" s="1"/>
  <c r="S56" i="13" a="1"/>
  <c r="S56" i="13" s="1"/>
  <c r="R56" i="13" a="1"/>
  <c r="R56" i="13" s="1"/>
  <c r="Q56" i="13" a="1"/>
  <c r="Q56" i="13" s="1"/>
  <c r="P56" i="13" a="1"/>
  <c r="P56" i="13" s="1"/>
  <c r="AB55" i="13" a="1"/>
  <c r="AB55" i="13" s="1"/>
  <c r="AA55" i="13" a="1"/>
  <c r="AA55" i="13" s="1"/>
  <c r="Z55" i="13" a="1"/>
  <c r="Z55" i="13" s="1"/>
  <c r="Y55" i="13" a="1"/>
  <c r="Y55" i="13" s="1"/>
  <c r="X55" i="13" a="1"/>
  <c r="X55" i="13" s="1"/>
  <c r="W55" i="13" a="1"/>
  <c r="W55" i="13" s="1"/>
  <c r="V55" i="13" a="1"/>
  <c r="V55" i="13" s="1"/>
  <c r="U55" i="13" a="1"/>
  <c r="U55" i="13" s="1"/>
  <c r="T55" i="13" a="1"/>
  <c r="T55" i="13" s="1"/>
  <c r="S55" i="13" a="1"/>
  <c r="S55" i="13" s="1"/>
  <c r="R55" i="13" a="1"/>
  <c r="R55" i="13" s="1"/>
  <c r="Q55" i="13" a="1"/>
  <c r="Q55" i="13" s="1"/>
  <c r="P55" i="13" a="1"/>
  <c r="P55" i="13" s="1"/>
  <c r="AB54" i="13" a="1"/>
  <c r="AB54" i="13" s="1"/>
  <c r="AA54" i="13" a="1"/>
  <c r="AA54" i="13" s="1"/>
  <c r="Z54" i="13" a="1"/>
  <c r="Z54" i="13" s="1"/>
  <c r="Y54" i="13" a="1"/>
  <c r="Y54" i="13" s="1"/>
  <c r="X54" i="13" a="1"/>
  <c r="X54" i="13" s="1"/>
  <c r="W54" i="13" a="1"/>
  <c r="W54" i="13" s="1"/>
  <c r="V54" i="13" a="1"/>
  <c r="V54" i="13" s="1"/>
  <c r="U54" i="13" a="1"/>
  <c r="U54" i="13" s="1"/>
  <c r="T54" i="13" a="1"/>
  <c r="T54" i="13" s="1"/>
  <c r="S54" i="13" a="1"/>
  <c r="S54" i="13" s="1"/>
  <c r="R54" i="13" a="1"/>
  <c r="R54" i="13" s="1"/>
  <c r="Q54" i="13" a="1"/>
  <c r="Q54" i="13" s="1"/>
  <c r="P54" i="13" a="1"/>
  <c r="P54" i="13" s="1"/>
  <c r="AB53" i="13" a="1"/>
  <c r="AB53" i="13" s="1"/>
  <c r="AA53" i="13" a="1"/>
  <c r="AA53" i="13" s="1"/>
  <c r="Z53" i="13" a="1"/>
  <c r="Z53" i="13" s="1"/>
  <c r="Y53" i="13" a="1"/>
  <c r="Y53" i="13" s="1"/>
  <c r="X53" i="13" a="1"/>
  <c r="X53" i="13" s="1"/>
  <c r="W53" i="13" a="1"/>
  <c r="W53" i="13" s="1"/>
  <c r="V53" i="13" a="1"/>
  <c r="V53" i="13" s="1"/>
  <c r="U53" i="13" a="1"/>
  <c r="U53" i="13" s="1"/>
  <c r="T53" i="13" a="1"/>
  <c r="T53" i="13" s="1"/>
  <c r="S53" i="13" a="1"/>
  <c r="S53" i="13" s="1"/>
  <c r="R53" i="13" a="1"/>
  <c r="R53" i="13" s="1"/>
  <c r="Q53" i="13" a="1"/>
  <c r="Q53" i="13" s="1"/>
  <c r="P53" i="13" a="1"/>
  <c r="P53" i="13" s="1"/>
  <c r="AB52" i="13" a="1"/>
  <c r="AB52" i="13" s="1"/>
  <c r="AA52" i="13" a="1"/>
  <c r="AA52" i="13" s="1"/>
  <c r="Z52" i="13" a="1"/>
  <c r="Z52" i="13" s="1"/>
  <c r="Y52" i="13" a="1"/>
  <c r="Y52" i="13" s="1"/>
  <c r="X52" i="13" a="1"/>
  <c r="X52" i="13" s="1"/>
  <c r="W52" i="13" a="1"/>
  <c r="W52" i="13" s="1"/>
  <c r="V52" i="13" a="1"/>
  <c r="V52" i="13" s="1"/>
  <c r="U52" i="13" a="1"/>
  <c r="U52" i="13" s="1"/>
  <c r="T52" i="13" a="1"/>
  <c r="T52" i="13" s="1"/>
  <c r="S52" i="13" a="1"/>
  <c r="S52" i="13" s="1"/>
  <c r="R52" i="13" a="1"/>
  <c r="R52" i="13" s="1"/>
  <c r="Q52" i="13" a="1"/>
  <c r="Q52" i="13" s="1"/>
  <c r="P52" i="13" a="1"/>
  <c r="P52" i="13" s="1"/>
  <c r="AB51" i="13" a="1"/>
  <c r="AB51" i="13" s="1"/>
  <c r="AA51" i="13" a="1"/>
  <c r="AA51" i="13" s="1"/>
  <c r="Z51" i="13" a="1"/>
  <c r="Z51" i="13" s="1"/>
  <c r="Y51" i="13" a="1"/>
  <c r="Y51" i="13" s="1"/>
  <c r="X51" i="13" a="1"/>
  <c r="X51" i="13" s="1"/>
  <c r="W51" i="13" a="1"/>
  <c r="W51" i="13" s="1"/>
  <c r="V51" i="13" a="1"/>
  <c r="V51" i="13" s="1"/>
  <c r="U51" i="13" a="1"/>
  <c r="U51" i="13" s="1"/>
  <c r="T51" i="13" a="1"/>
  <c r="T51" i="13" s="1"/>
  <c r="S51" i="13" a="1"/>
  <c r="S51" i="13" s="1"/>
  <c r="R51" i="13" a="1"/>
  <c r="R51" i="13" s="1"/>
  <c r="Q51" i="13" a="1"/>
  <c r="Q51" i="13" s="1"/>
  <c r="P51" i="13" a="1"/>
  <c r="P51" i="13" s="1"/>
  <c r="AB50" i="13" a="1"/>
  <c r="AB50" i="13" s="1"/>
  <c r="AA50" i="13" a="1"/>
  <c r="AA50" i="13" s="1"/>
  <c r="Z50" i="13" a="1"/>
  <c r="Z50" i="13" s="1"/>
  <c r="Y50" i="13" a="1"/>
  <c r="Y50" i="13" s="1"/>
  <c r="X50" i="13" a="1"/>
  <c r="X50" i="13" s="1"/>
  <c r="W50" i="13" a="1"/>
  <c r="W50" i="13" s="1"/>
  <c r="V50" i="13" a="1"/>
  <c r="V50" i="13" s="1"/>
  <c r="U50" i="13" a="1"/>
  <c r="U50" i="13" s="1"/>
  <c r="T50" i="13" a="1"/>
  <c r="T50" i="13" s="1"/>
  <c r="S50" i="13" a="1"/>
  <c r="S50" i="13" s="1"/>
  <c r="R50" i="13" a="1"/>
  <c r="R50" i="13" s="1"/>
  <c r="Q50" i="13" a="1"/>
  <c r="Q50" i="13" s="1"/>
  <c r="AB49" i="13" a="1"/>
  <c r="AB49" i="13" s="1"/>
  <c r="AA49" i="13" a="1"/>
  <c r="AA49" i="13" s="1"/>
  <c r="Z49" i="13" a="1"/>
  <c r="Z49" i="13" s="1"/>
  <c r="Y49" i="13" a="1"/>
  <c r="Y49" i="13" s="1"/>
  <c r="X49" i="13" a="1"/>
  <c r="X49" i="13" s="1"/>
  <c r="W49" i="13" a="1"/>
  <c r="W49" i="13" s="1"/>
  <c r="V49" i="13" a="1"/>
  <c r="V49" i="13" s="1"/>
  <c r="U49" i="13" a="1"/>
  <c r="U49" i="13" s="1"/>
  <c r="T49" i="13" a="1"/>
  <c r="T49" i="13" s="1"/>
  <c r="S49" i="13" a="1"/>
  <c r="S49" i="13" s="1"/>
  <c r="R49" i="13" a="1"/>
  <c r="R49" i="13" s="1"/>
  <c r="Q49" i="13" a="1"/>
  <c r="Q49" i="13" s="1"/>
  <c r="AB48" i="13" a="1"/>
  <c r="AB48" i="13" s="1"/>
  <c r="AA48" i="13" a="1"/>
  <c r="AA48" i="13" s="1"/>
  <c r="Z48" i="13" a="1"/>
  <c r="Z48" i="13" s="1"/>
  <c r="Y48" i="13" a="1"/>
  <c r="Y48" i="13" s="1"/>
  <c r="X48" i="13" a="1"/>
  <c r="X48" i="13" s="1"/>
  <c r="W48" i="13" a="1"/>
  <c r="W48" i="13" s="1"/>
  <c r="V48" i="13" a="1"/>
  <c r="V48" i="13" s="1"/>
  <c r="U48" i="13" a="1"/>
  <c r="U48" i="13" s="1"/>
  <c r="T48" i="13" a="1"/>
  <c r="T48" i="13" s="1"/>
  <c r="S48" i="13" a="1"/>
  <c r="S48" i="13" s="1"/>
  <c r="R48" i="13" a="1"/>
  <c r="R48" i="13" s="1"/>
  <c r="Q48" i="13" a="1"/>
  <c r="Q48" i="13" s="1"/>
  <c r="AB47" i="13" a="1"/>
  <c r="AB47" i="13" s="1"/>
  <c r="AA47" i="13" a="1"/>
  <c r="AA47" i="13" s="1"/>
  <c r="Z47" i="13" a="1"/>
  <c r="Z47" i="13" s="1"/>
  <c r="Y47" i="13" a="1"/>
  <c r="Y47" i="13" s="1"/>
  <c r="X47" i="13" a="1"/>
  <c r="X47" i="13" s="1"/>
  <c r="W47" i="13" a="1"/>
  <c r="W47" i="13" s="1"/>
  <c r="V47" i="13" a="1"/>
  <c r="V47" i="13" s="1"/>
  <c r="U47" i="13" a="1"/>
  <c r="U47" i="13" s="1"/>
  <c r="T47" i="13" a="1"/>
  <c r="T47" i="13" s="1"/>
  <c r="S47" i="13" a="1"/>
  <c r="S47" i="13" s="1"/>
  <c r="R47" i="13" a="1"/>
  <c r="R47" i="13" s="1"/>
  <c r="Q47" i="13" a="1"/>
  <c r="Q47" i="13" s="1"/>
  <c r="AB46" i="13" a="1"/>
  <c r="AB46" i="13" s="1"/>
  <c r="AA46" i="13" a="1"/>
  <c r="AA46" i="13" s="1"/>
  <c r="Z46" i="13" a="1"/>
  <c r="Z46" i="13" s="1"/>
  <c r="Y46" i="13" a="1"/>
  <c r="Y46" i="13" s="1"/>
  <c r="X46" i="13" a="1"/>
  <c r="X46" i="13" s="1"/>
  <c r="W46" i="13" a="1"/>
  <c r="W46" i="13" s="1"/>
  <c r="V46" i="13" a="1"/>
  <c r="V46" i="13" s="1"/>
  <c r="U46" i="13" a="1"/>
  <c r="U46" i="13" s="1"/>
  <c r="T46" i="13" a="1"/>
  <c r="T46" i="13" s="1"/>
  <c r="S46" i="13" a="1"/>
  <c r="S46" i="13" s="1"/>
  <c r="R46" i="13" a="1"/>
  <c r="R46" i="13" s="1"/>
  <c r="Q46" i="13" a="1"/>
  <c r="Q46" i="13" s="1"/>
  <c r="AB45" i="13" a="1"/>
  <c r="AB45" i="13" s="1"/>
  <c r="AA45" i="13" a="1"/>
  <c r="AA45" i="13" s="1"/>
  <c r="Z45" i="13" a="1"/>
  <c r="Z45" i="13" s="1"/>
  <c r="Y45" i="13" a="1"/>
  <c r="Y45" i="13" s="1"/>
  <c r="X45" i="13" a="1"/>
  <c r="X45" i="13" s="1"/>
  <c r="W45" i="13" a="1"/>
  <c r="W45" i="13" s="1"/>
  <c r="V45" i="13" a="1"/>
  <c r="V45" i="13" s="1"/>
  <c r="U45" i="13" a="1"/>
  <c r="U45" i="13" s="1"/>
  <c r="T45" i="13" a="1"/>
  <c r="T45" i="13" s="1"/>
  <c r="S45" i="13" a="1"/>
  <c r="S45" i="13" s="1"/>
  <c r="R45" i="13" a="1"/>
  <c r="R45" i="13" s="1"/>
  <c r="Q45" i="13" a="1"/>
  <c r="Q45" i="13" s="1"/>
  <c r="AB44" i="13" a="1"/>
  <c r="AB44" i="13" s="1"/>
  <c r="AA44" i="13" a="1"/>
  <c r="AA44" i="13" s="1"/>
  <c r="Z44" i="13" a="1"/>
  <c r="Z44" i="13" s="1"/>
  <c r="Y44" i="13" a="1"/>
  <c r="Y44" i="13" s="1"/>
  <c r="X44" i="13" a="1"/>
  <c r="X44" i="13" s="1"/>
  <c r="W44" i="13" a="1"/>
  <c r="W44" i="13" s="1"/>
  <c r="V44" i="13" a="1"/>
  <c r="V44" i="13" s="1"/>
  <c r="U44" i="13" a="1"/>
  <c r="U44" i="13" s="1"/>
  <c r="T44" i="13" a="1"/>
  <c r="T44" i="13" s="1"/>
  <c r="S44" i="13" a="1"/>
  <c r="S44" i="13" s="1"/>
  <c r="R44" i="13" a="1"/>
  <c r="R44" i="13" s="1"/>
  <c r="Q44" i="13" a="1"/>
  <c r="Q44" i="13" s="1"/>
  <c r="AB43" i="13" a="1"/>
  <c r="AB43" i="13" s="1"/>
  <c r="AA43" i="13" a="1"/>
  <c r="AA43" i="13" s="1"/>
  <c r="Z43" i="13" a="1"/>
  <c r="Z43" i="13" s="1"/>
  <c r="Y43" i="13" a="1"/>
  <c r="Y43" i="13" s="1"/>
  <c r="X43" i="13" a="1"/>
  <c r="X43" i="13" s="1"/>
  <c r="W43" i="13" a="1"/>
  <c r="W43" i="13" s="1"/>
  <c r="V43" i="13" a="1"/>
  <c r="V43" i="13" s="1"/>
  <c r="U43" i="13" a="1"/>
  <c r="U43" i="13" s="1"/>
  <c r="T43" i="13" a="1"/>
  <c r="T43" i="13" s="1"/>
  <c r="S43" i="13" a="1"/>
  <c r="S43" i="13" s="1"/>
  <c r="R43" i="13" a="1"/>
  <c r="R43" i="13" s="1"/>
  <c r="Q43" i="13" a="1"/>
  <c r="Q43" i="13" s="1"/>
  <c r="AB42" i="13" a="1"/>
  <c r="AB42" i="13" s="1"/>
  <c r="AA42" i="13" a="1"/>
  <c r="AA42" i="13" s="1"/>
  <c r="Z42" i="13" a="1"/>
  <c r="Z42" i="13" s="1"/>
  <c r="Y42" i="13" a="1"/>
  <c r="Y42" i="13" s="1"/>
  <c r="X42" i="13" a="1"/>
  <c r="X42" i="13" s="1"/>
  <c r="W42" i="13" a="1"/>
  <c r="W42" i="13" s="1"/>
  <c r="V42" i="13" a="1"/>
  <c r="V42" i="13" s="1"/>
  <c r="U42" i="13" a="1"/>
  <c r="U42" i="13" s="1"/>
  <c r="T42" i="13" a="1"/>
  <c r="T42" i="13" s="1"/>
  <c r="S42" i="13" a="1"/>
  <c r="S42" i="13" s="1"/>
  <c r="R42" i="13" a="1"/>
  <c r="R42" i="13" s="1"/>
  <c r="Q42" i="13" a="1"/>
  <c r="Q42" i="13" s="1"/>
  <c r="AB41" i="13" a="1"/>
  <c r="AB41" i="13" s="1"/>
  <c r="AA41" i="13" a="1"/>
  <c r="AA41" i="13" s="1"/>
  <c r="Z41" i="13" a="1"/>
  <c r="Z41" i="13" s="1"/>
  <c r="Y41" i="13" a="1"/>
  <c r="Y41" i="13" s="1"/>
  <c r="X41" i="13" a="1"/>
  <c r="X41" i="13" s="1"/>
  <c r="W41" i="13" a="1"/>
  <c r="W41" i="13" s="1"/>
  <c r="V41" i="13" a="1"/>
  <c r="V41" i="13" s="1"/>
  <c r="U41" i="13" a="1"/>
  <c r="U41" i="13" s="1"/>
  <c r="T41" i="13" a="1"/>
  <c r="T41" i="13" s="1"/>
  <c r="S41" i="13" a="1"/>
  <c r="S41" i="13" s="1"/>
  <c r="R41" i="13" a="1"/>
  <c r="R41" i="13" s="1"/>
  <c r="Q41" i="13" a="1"/>
  <c r="Q41" i="13" s="1"/>
  <c r="AB40" i="13" a="1"/>
  <c r="AB40" i="13" s="1"/>
  <c r="AA40" i="13" a="1"/>
  <c r="AA40" i="13" s="1"/>
  <c r="Z40" i="13" a="1"/>
  <c r="Z40" i="13" s="1"/>
  <c r="Y40" i="13" a="1"/>
  <c r="Y40" i="13" s="1"/>
  <c r="X40" i="13" a="1"/>
  <c r="X40" i="13" s="1"/>
  <c r="W40" i="13" a="1"/>
  <c r="W40" i="13" s="1"/>
  <c r="V40" i="13" a="1"/>
  <c r="V40" i="13" s="1"/>
  <c r="U40" i="13" a="1"/>
  <c r="U40" i="13" s="1"/>
  <c r="T40" i="13" a="1"/>
  <c r="T40" i="13" s="1"/>
  <c r="S40" i="13" a="1"/>
  <c r="S40" i="13" s="1"/>
  <c r="R40" i="13" a="1"/>
  <c r="R40" i="13" s="1"/>
  <c r="Q40" i="13" a="1"/>
  <c r="Q40" i="13" s="1"/>
  <c r="AB39" i="13" a="1"/>
  <c r="AB39" i="13" s="1"/>
  <c r="AA39" i="13" a="1"/>
  <c r="AA39" i="13" s="1"/>
  <c r="Z39" i="13" a="1"/>
  <c r="Z39" i="13" s="1"/>
  <c r="Y39" i="13" a="1"/>
  <c r="Y39" i="13" s="1"/>
  <c r="X39" i="13" a="1"/>
  <c r="X39" i="13" s="1"/>
  <c r="W39" i="13" a="1"/>
  <c r="W39" i="13" s="1"/>
  <c r="V39" i="13" a="1"/>
  <c r="V39" i="13" s="1"/>
  <c r="U39" i="13" a="1"/>
  <c r="U39" i="13" s="1"/>
  <c r="T39" i="13" a="1"/>
  <c r="T39" i="13" s="1"/>
  <c r="S39" i="13" a="1"/>
  <c r="S39" i="13" s="1"/>
  <c r="R39" i="13" a="1"/>
  <c r="R39" i="13" s="1"/>
  <c r="Q39" i="13" a="1"/>
  <c r="Q39" i="13" s="1"/>
  <c r="AB38" i="13" a="1"/>
  <c r="AB38" i="13" s="1"/>
  <c r="AA38" i="13" a="1"/>
  <c r="AA38" i="13" s="1"/>
  <c r="Z38" i="13" a="1"/>
  <c r="Z38" i="13" s="1"/>
  <c r="Y38" i="13" a="1"/>
  <c r="Y38" i="13" s="1"/>
  <c r="X38" i="13" a="1"/>
  <c r="X38" i="13" s="1"/>
  <c r="W38" i="13" a="1"/>
  <c r="W38" i="13" s="1"/>
  <c r="V38" i="13" a="1"/>
  <c r="V38" i="13" s="1"/>
  <c r="U38" i="13" a="1"/>
  <c r="U38" i="13" s="1"/>
  <c r="T38" i="13" a="1"/>
  <c r="T38" i="13" s="1"/>
  <c r="S38" i="13" a="1"/>
  <c r="S38" i="13" s="1"/>
  <c r="R38" i="13" a="1"/>
  <c r="R38" i="13" s="1"/>
  <c r="Q38" i="13" a="1"/>
  <c r="Q38" i="13" s="1"/>
  <c r="P50" i="13" a="1"/>
  <c r="P50" i="13" s="1"/>
  <c r="P49" i="13" a="1"/>
  <c r="P49" i="13" s="1"/>
  <c r="P48" i="13" a="1"/>
  <c r="P48" i="13" s="1"/>
  <c r="P47" i="13" a="1"/>
  <c r="P47" i="13" s="1"/>
  <c r="P46" i="13" a="1"/>
  <c r="P46" i="13" s="1"/>
  <c r="P45" i="13" a="1"/>
  <c r="P45" i="13" s="1"/>
  <c r="P44" i="13" a="1"/>
  <c r="P44" i="13" s="1"/>
  <c r="P43" i="13" a="1"/>
  <c r="P43" i="13" s="1"/>
  <c r="P42" i="13" a="1"/>
  <c r="P42" i="13" s="1"/>
  <c r="P41" i="13" a="1"/>
  <c r="P41" i="13" s="1"/>
  <c r="P40" i="13" a="1"/>
  <c r="P40" i="13" s="1"/>
  <c r="P39" i="13" a="1"/>
  <c r="P39" i="13" s="1"/>
  <c r="AB134" i="13" a="1"/>
  <c r="AB134" i="13" s="1"/>
  <c r="AA134" i="13" a="1"/>
  <c r="AA134" i="13" s="1"/>
  <c r="Z134" i="13" a="1"/>
  <c r="Z134" i="13" s="1"/>
  <c r="Y134" i="13" a="1"/>
  <c r="Y134" i="13" s="1"/>
  <c r="X134" i="13" a="1"/>
  <c r="X134" i="13" s="1"/>
  <c r="W134" i="13" a="1"/>
  <c r="W134" i="13" s="1"/>
  <c r="V134" i="13" a="1"/>
  <c r="V134" i="13" s="1"/>
  <c r="U134" i="13" a="1"/>
  <c r="U134" i="13" s="1"/>
  <c r="T134" i="13" a="1"/>
  <c r="T134" i="13" s="1"/>
  <c r="S134" i="13" a="1"/>
  <c r="S134" i="13" s="1"/>
  <c r="R134" i="13" a="1"/>
  <c r="R134" i="13" s="1"/>
  <c r="P134" i="13" a="1"/>
  <c r="P134" i="13" s="1"/>
  <c r="O134" i="13" a="1"/>
  <c r="O134" i="13" s="1"/>
  <c r="N134" i="13" a="1"/>
  <c r="N134" i="13" s="1"/>
  <c r="M134" i="13" a="1"/>
  <c r="M134" i="13" s="1"/>
  <c r="L134" i="13" a="1"/>
  <c r="L134" i="13" s="1"/>
  <c r="K134" i="13" a="1"/>
  <c r="K134" i="13" s="1"/>
  <c r="J134" i="13" a="1"/>
  <c r="J134" i="13" s="1"/>
  <c r="I134" i="13" a="1"/>
  <c r="I134" i="13" s="1"/>
  <c r="H134" i="13" a="1"/>
  <c r="H134" i="13" s="1"/>
  <c r="G134" i="13" a="1"/>
  <c r="G134" i="13" s="1"/>
  <c r="F134" i="13" a="1"/>
  <c r="F134" i="13" s="1"/>
  <c r="E134" i="13" a="1"/>
  <c r="E134" i="13" s="1"/>
  <c r="D134" i="13" a="1"/>
  <c r="D134" i="13" s="1"/>
  <c r="C134" i="13" a="1"/>
  <c r="C134" i="13" s="1"/>
  <c r="AB133" i="13" a="1"/>
  <c r="AB133" i="13" s="1"/>
  <c r="AA133" i="13" a="1"/>
  <c r="AA133" i="13" s="1"/>
  <c r="Z133" i="13" a="1"/>
  <c r="Z133" i="13" s="1"/>
  <c r="Y133" i="13" a="1"/>
  <c r="Y133" i="13" s="1"/>
  <c r="X133" i="13" a="1"/>
  <c r="X133" i="13" s="1"/>
  <c r="W133" i="13" a="1"/>
  <c r="W133" i="13" s="1"/>
  <c r="V133" i="13" a="1"/>
  <c r="V133" i="13" s="1"/>
  <c r="U133" i="13" a="1"/>
  <c r="U133" i="13" s="1"/>
  <c r="T133" i="13" a="1"/>
  <c r="T133" i="13" s="1"/>
  <c r="S133" i="13" a="1"/>
  <c r="S133" i="13" s="1"/>
  <c r="R133" i="13" a="1"/>
  <c r="R133" i="13" s="1"/>
  <c r="P133" i="13" a="1"/>
  <c r="P133" i="13" s="1"/>
  <c r="O133" i="13" a="1"/>
  <c r="O133" i="13" s="1"/>
  <c r="N133" i="13" a="1"/>
  <c r="N133" i="13" s="1"/>
  <c r="M133" i="13" a="1"/>
  <c r="M133" i="13" s="1"/>
  <c r="L133" i="13" a="1"/>
  <c r="L133" i="13" s="1"/>
  <c r="K133" i="13" a="1"/>
  <c r="K133" i="13" s="1"/>
  <c r="J133" i="13" a="1"/>
  <c r="J133" i="13" s="1"/>
  <c r="I133" i="13" a="1"/>
  <c r="I133" i="13" s="1"/>
  <c r="H133" i="13" a="1"/>
  <c r="H133" i="13" s="1"/>
  <c r="G133" i="13" a="1"/>
  <c r="G133" i="13" s="1"/>
  <c r="F133" i="13" a="1"/>
  <c r="F133" i="13" s="1"/>
  <c r="E133" i="13" a="1"/>
  <c r="E133" i="13" s="1"/>
  <c r="D133" i="13" a="1"/>
  <c r="D133" i="13" s="1"/>
  <c r="C133" i="13" a="1"/>
  <c r="C133" i="13" s="1"/>
  <c r="AB132" i="13" a="1"/>
  <c r="AB132" i="13" s="1"/>
  <c r="AA132" i="13" a="1"/>
  <c r="AA132" i="13" s="1"/>
  <c r="Z132" i="13" a="1"/>
  <c r="Z132" i="13" s="1"/>
  <c r="Y132" i="13" a="1"/>
  <c r="Y132" i="13" s="1"/>
  <c r="X132" i="13" a="1"/>
  <c r="X132" i="13" s="1"/>
  <c r="W132" i="13" a="1"/>
  <c r="W132" i="13" s="1"/>
  <c r="V132" i="13" a="1"/>
  <c r="V132" i="13" s="1"/>
  <c r="U132" i="13" a="1"/>
  <c r="U132" i="13" s="1"/>
  <c r="T132" i="13" a="1"/>
  <c r="T132" i="13" s="1"/>
  <c r="S132" i="13" a="1"/>
  <c r="S132" i="13" s="1"/>
  <c r="R132" i="13" a="1"/>
  <c r="R132" i="13" s="1"/>
  <c r="P132" i="13" a="1"/>
  <c r="P132" i="13" s="1"/>
  <c r="O132" i="13" a="1"/>
  <c r="O132" i="13" s="1"/>
  <c r="N132" i="13" a="1"/>
  <c r="N132" i="13" s="1"/>
  <c r="M132" i="13" a="1"/>
  <c r="M132" i="13" s="1"/>
  <c r="L132" i="13" a="1"/>
  <c r="L132" i="13" s="1"/>
  <c r="K132" i="13" a="1"/>
  <c r="K132" i="13" s="1"/>
  <c r="J132" i="13" a="1"/>
  <c r="J132" i="13" s="1"/>
  <c r="I132" i="13" a="1"/>
  <c r="I132" i="13" s="1"/>
  <c r="H132" i="13" a="1"/>
  <c r="H132" i="13" s="1"/>
  <c r="G132" i="13" a="1"/>
  <c r="G132" i="13" s="1"/>
  <c r="F132" i="13" a="1"/>
  <c r="F132" i="13" s="1"/>
  <c r="E132" i="13" a="1"/>
  <c r="E132" i="13" s="1"/>
  <c r="D132" i="13" a="1"/>
  <c r="D132" i="13" s="1"/>
  <c r="C132" i="13" a="1"/>
  <c r="C132" i="13" s="1"/>
  <c r="AB131" i="13" a="1"/>
  <c r="AB131" i="13" s="1"/>
  <c r="AA131" i="13" a="1"/>
  <c r="AA131" i="13" s="1"/>
  <c r="Z131" i="13" a="1"/>
  <c r="Z131" i="13" s="1"/>
  <c r="Y131" i="13" a="1"/>
  <c r="Y131" i="13" s="1"/>
  <c r="X131" i="13" a="1"/>
  <c r="X131" i="13" s="1"/>
  <c r="W131" i="13" a="1"/>
  <c r="W131" i="13" s="1"/>
  <c r="V131" i="13" a="1"/>
  <c r="V131" i="13" s="1"/>
  <c r="U131" i="13" a="1"/>
  <c r="U131" i="13" s="1"/>
  <c r="T131" i="13" a="1"/>
  <c r="T131" i="13" s="1"/>
  <c r="S131" i="13" a="1"/>
  <c r="S131" i="13" s="1"/>
  <c r="R131" i="13" a="1"/>
  <c r="R131" i="13" s="1"/>
  <c r="P131" i="13" a="1"/>
  <c r="P131" i="13" s="1"/>
  <c r="O131" i="13" a="1"/>
  <c r="O131" i="13" s="1"/>
  <c r="N131" i="13" a="1"/>
  <c r="N131" i="13" s="1"/>
  <c r="M131" i="13" a="1"/>
  <c r="M131" i="13" s="1"/>
  <c r="L131" i="13" a="1"/>
  <c r="L131" i="13" s="1"/>
  <c r="K131" i="13" a="1"/>
  <c r="K131" i="13" s="1"/>
  <c r="J131" i="13" a="1"/>
  <c r="J131" i="13" s="1"/>
  <c r="I131" i="13" a="1"/>
  <c r="I131" i="13" s="1"/>
  <c r="H131" i="13" a="1"/>
  <c r="H131" i="13" s="1"/>
  <c r="G131" i="13" a="1"/>
  <c r="G131" i="13" s="1"/>
  <c r="F131" i="13" a="1"/>
  <c r="F131" i="13" s="1"/>
  <c r="E131" i="13" a="1"/>
  <c r="E131" i="13" s="1"/>
  <c r="D131" i="13" a="1"/>
  <c r="D131" i="13" s="1"/>
  <c r="C131" i="13" a="1"/>
  <c r="C131" i="13" s="1"/>
  <c r="AB130" i="13" a="1"/>
  <c r="AB130" i="13" s="1"/>
  <c r="AA130" i="13" a="1"/>
  <c r="AA130" i="13" s="1"/>
  <c r="Z130" i="13" a="1"/>
  <c r="Z130" i="13" s="1"/>
  <c r="Y130" i="13" a="1"/>
  <c r="Y130" i="13" s="1"/>
  <c r="X130" i="13" a="1"/>
  <c r="X130" i="13" s="1"/>
  <c r="W130" i="13" a="1"/>
  <c r="W130" i="13" s="1"/>
  <c r="V130" i="13" a="1"/>
  <c r="V130" i="13" s="1"/>
  <c r="U130" i="13" a="1"/>
  <c r="U130" i="13" s="1"/>
  <c r="T130" i="13" a="1"/>
  <c r="T130" i="13" s="1"/>
  <c r="S130" i="13" a="1"/>
  <c r="S130" i="13" s="1"/>
  <c r="R130" i="13" a="1"/>
  <c r="R130" i="13" s="1"/>
  <c r="P130" i="13" a="1"/>
  <c r="P130" i="13" s="1"/>
  <c r="O130" i="13" a="1"/>
  <c r="O130" i="13" s="1"/>
  <c r="N130" i="13" a="1"/>
  <c r="N130" i="13" s="1"/>
  <c r="M130" i="13" a="1"/>
  <c r="M130" i="13" s="1"/>
  <c r="L130" i="13" a="1"/>
  <c r="L130" i="13" s="1"/>
  <c r="K130" i="13" a="1"/>
  <c r="K130" i="13" s="1"/>
  <c r="J130" i="13" a="1"/>
  <c r="J130" i="13" s="1"/>
  <c r="I130" i="13" a="1"/>
  <c r="I130" i="13" s="1"/>
  <c r="H130" i="13" a="1"/>
  <c r="H130" i="13" s="1"/>
  <c r="G130" i="13" a="1"/>
  <c r="G130" i="13" s="1"/>
  <c r="F130" i="13" a="1"/>
  <c r="F130" i="13" s="1"/>
  <c r="E130" i="13" a="1"/>
  <c r="E130" i="13" s="1"/>
  <c r="D130" i="13" a="1"/>
  <c r="D130" i="13" s="1"/>
  <c r="C130" i="13" a="1"/>
  <c r="C130" i="13" s="1"/>
  <c r="AB129" i="13" a="1"/>
  <c r="AB129" i="13" s="1"/>
  <c r="AA129" i="13" a="1"/>
  <c r="AA129" i="13" s="1"/>
  <c r="Z129" i="13" a="1"/>
  <c r="Z129" i="13" s="1"/>
  <c r="Y129" i="13" a="1"/>
  <c r="Y129" i="13" s="1"/>
  <c r="X129" i="13" a="1"/>
  <c r="X129" i="13" s="1"/>
  <c r="W129" i="13" a="1"/>
  <c r="W129" i="13" s="1"/>
  <c r="V129" i="13" a="1"/>
  <c r="V129" i="13" s="1"/>
  <c r="U129" i="13" a="1"/>
  <c r="U129" i="13" s="1"/>
  <c r="T129" i="13" a="1"/>
  <c r="T129" i="13" s="1"/>
  <c r="S129" i="13" a="1"/>
  <c r="S129" i="13" s="1"/>
  <c r="R129" i="13" a="1"/>
  <c r="R129" i="13" s="1"/>
  <c r="P129" i="13" a="1"/>
  <c r="P129" i="13" s="1"/>
  <c r="O129" i="13" a="1"/>
  <c r="O129" i="13" s="1"/>
  <c r="N129" i="13" a="1"/>
  <c r="N129" i="13" s="1"/>
  <c r="M129" i="13" a="1"/>
  <c r="M129" i="13" s="1"/>
  <c r="L129" i="13" a="1"/>
  <c r="L129" i="13" s="1"/>
  <c r="K129" i="13" a="1"/>
  <c r="K129" i="13" s="1"/>
  <c r="J129" i="13" a="1"/>
  <c r="J129" i="13" s="1"/>
  <c r="I129" i="13" a="1"/>
  <c r="I129" i="13" s="1"/>
  <c r="H129" i="13" a="1"/>
  <c r="H129" i="13" s="1"/>
  <c r="G129" i="13" a="1"/>
  <c r="G129" i="13" s="1"/>
  <c r="F129" i="13" a="1"/>
  <c r="F129" i="13" s="1"/>
  <c r="E129" i="13" a="1"/>
  <c r="E129" i="13" s="1"/>
  <c r="D129" i="13" a="1"/>
  <c r="D129" i="13" s="1"/>
  <c r="C129" i="13" a="1"/>
  <c r="C129" i="13" s="1"/>
  <c r="AB128" i="13" a="1"/>
  <c r="AB128" i="13" s="1"/>
  <c r="AA128" i="13" a="1"/>
  <c r="AA128" i="13" s="1"/>
  <c r="Z128" i="13" a="1"/>
  <c r="Z128" i="13" s="1"/>
  <c r="Y128" i="13" a="1"/>
  <c r="Y128" i="13" s="1"/>
  <c r="X128" i="13" a="1"/>
  <c r="X128" i="13" s="1"/>
  <c r="W128" i="13" a="1"/>
  <c r="W128" i="13" s="1"/>
  <c r="V128" i="13" a="1"/>
  <c r="V128" i="13" s="1"/>
  <c r="U128" i="13" a="1"/>
  <c r="U128" i="13" s="1"/>
  <c r="T128" i="13" a="1"/>
  <c r="T128" i="13" s="1"/>
  <c r="S128" i="13" a="1"/>
  <c r="S128" i="13" s="1"/>
  <c r="R128" i="13" a="1"/>
  <c r="R128" i="13" s="1"/>
  <c r="P128" i="13" a="1"/>
  <c r="P128" i="13" s="1"/>
  <c r="O128" i="13" a="1"/>
  <c r="O128" i="13" s="1"/>
  <c r="N128" i="13" a="1"/>
  <c r="N128" i="13" s="1"/>
  <c r="M128" i="13" a="1"/>
  <c r="M128" i="13" s="1"/>
  <c r="L128" i="13" a="1"/>
  <c r="L128" i="13" s="1"/>
  <c r="K128" i="13" a="1"/>
  <c r="K128" i="13" s="1"/>
  <c r="J128" i="13" a="1"/>
  <c r="J128" i="13" s="1"/>
  <c r="I128" i="13" a="1"/>
  <c r="I128" i="13" s="1"/>
  <c r="H128" i="13" a="1"/>
  <c r="H128" i="13" s="1"/>
  <c r="G128" i="13" a="1"/>
  <c r="G128" i="13" s="1"/>
  <c r="F128" i="13" a="1"/>
  <c r="F128" i="13" s="1"/>
  <c r="E128" i="13" a="1"/>
  <c r="E128" i="13" s="1"/>
  <c r="D128" i="13" a="1"/>
  <c r="D128" i="13" s="1"/>
  <c r="C128" i="13" a="1"/>
  <c r="C128" i="13" s="1"/>
  <c r="AB127" i="13" a="1"/>
  <c r="AB127" i="13" s="1"/>
  <c r="AA127" i="13" a="1"/>
  <c r="AA127" i="13" s="1"/>
  <c r="Z127" i="13" a="1"/>
  <c r="Z127" i="13" s="1"/>
  <c r="Y127" i="13" a="1"/>
  <c r="Y127" i="13" s="1"/>
  <c r="X127" i="13" a="1"/>
  <c r="X127" i="13" s="1"/>
  <c r="W127" i="13" a="1"/>
  <c r="W127" i="13" s="1"/>
  <c r="V127" i="13" a="1"/>
  <c r="V127" i="13" s="1"/>
  <c r="U127" i="13" a="1"/>
  <c r="U127" i="13" s="1"/>
  <c r="T127" i="13" a="1"/>
  <c r="T127" i="13" s="1"/>
  <c r="S127" i="13" a="1"/>
  <c r="S127" i="13" s="1"/>
  <c r="R127" i="13" a="1"/>
  <c r="R127" i="13" s="1"/>
  <c r="P127" i="13" a="1"/>
  <c r="P127" i="13" s="1"/>
  <c r="O127" i="13" a="1"/>
  <c r="O127" i="13" s="1"/>
  <c r="N127" i="13" a="1"/>
  <c r="N127" i="13" s="1"/>
  <c r="M127" i="13" a="1"/>
  <c r="M127" i="13" s="1"/>
  <c r="L127" i="13" a="1"/>
  <c r="L127" i="13" s="1"/>
  <c r="K127" i="13" a="1"/>
  <c r="K127" i="13" s="1"/>
  <c r="J127" i="13" a="1"/>
  <c r="J127" i="13" s="1"/>
  <c r="I127" i="13" a="1"/>
  <c r="I127" i="13" s="1"/>
  <c r="H127" i="13" a="1"/>
  <c r="H127" i="13" s="1"/>
  <c r="G127" i="13" a="1"/>
  <c r="G127" i="13" s="1"/>
  <c r="F127" i="13" a="1"/>
  <c r="F127" i="13" s="1"/>
  <c r="E127" i="13" a="1"/>
  <c r="E127" i="13" s="1"/>
  <c r="D127" i="13" a="1"/>
  <c r="D127" i="13" s="1"/>
  <c r="C127" i="13" a="1"/>
  <c r="C127" i="13" s="1"/>
  <c r="AB126" i="13" a="1"/>
  <c r="AB126" i="13" s="1"/>
  <c r="AA126" i="13" a="1"/>
  <c r="AA126" i="13" s="1"/>
  <c r="Z126" i="13" a="1"/>
  <c r="Z126" i="13" s="1"/>
  <c r="Y126" i="13" a="1"/>
  <c r="Y126" i="13" s="1"/>
  <c r="X126" i="13" a="1"/>
  <c r="X126" i="13" s="1"/>
  <c r="W126" i="13" a="1"/>
  <c r="W126" i="13" s="1"/>
  <c r="V126" i="13" a="1"/>
  <c r="V126" i="13" s="1"/>
  <c r="U126" i="13" a="1"/>
  <c r="U126" i="13" s="1"/>
  <c r="T126" i="13" a="1"/>
  <c r="T126" i="13" s="1"/>
  <c r="S126" i="13" a="1"/>
  <c r="S126" i="13" s="1"/>
  <c r="R126" i="13" a="1"/>
  <c r="R126" i="13" s="1"/>
  <c r="P126" i="13" a="1"/>
  <c r="P126" i="13" s="1"/>
  <c r="O126" i="13" a="1"/>
  <c r="O126" i="13" s="1"/>
  <c r="N126" i="13" a="1"/>
  <c r="N126" i="13" s="1"/>
  <c r="M126" i="13" a="1"/>
  <c r="M126" i="13" s="1"/>
  <c r="L126" i="13" a="1"/>
  <c r="L126" i="13" s="1"/>
  <c r="K126" i="13" a="1"/>
  <c r="K126" i="13" s="1"/>
  <c r="J126" i="13" a="1"/>
  <c r="J126" i="13" s="1"/>
  <c r="I126" i="13" a="1"/>
  <c r="I126" i="13" s="1"/>
  <c r="H126" i="13" a="1"/>
  <c r="H126" i="13" s="1"/>
  <c r="G126" i="13" a="1"/>
  <c r="G126" i="13" s="1"/>
  <c r="F126" i="13" a="1"/>
  <c r="F126" i="13" s="1"/>
  <c r="E126" i="13" a="1"/>
  <c r="E126" i="13" s="1"/>
  <c r="D126" i="13" a="1"/>
  <c r="D126" i="13" s="1"/>
  <c r="C126" i="13" a="1"/>
  <c r="C126" i="13" s="1"/>
  <c r="AB125" i="13" a="1"/>
  <c r="AB125" i="13" s="1"/>
  <c r="AA125" i="13" a="1"/>
  <c r="AA125" i="13" s="1"/>
  <c r="Z125" i="13" a="1"/>
  <c r="Z125" i="13" s="1"/>
  <c r="Y125" i="13" a="1"/>
  <c r="Y125" i="13" s="1"/>
  <c r="X125" i="13" a="1"/>
  <c r="X125" i="13" s="1"/>
  <c r="W125" i="13" a="1"/>
  <c r="W125" i="13" s="1"/>
  <c r="V125" i="13" a="1"/>
  <c r="V125" i="13" s="1"/>
  <c r="U125" i="13" a="1"/>
  <c r="U125" i="13" s="1"/>
  <c r="T125" i="13" a="1"/>
  <c r="T125" i="13" s="1"/>
  <c r="S125" i="13" a="1"/>
  <c r="S125" i="13" s="1"/>
  <c r="R125" i="13" a="1"/>
  <c r="R125" i="13" s="1"/>
  <c r="P125" i="13" a="1"/>
  <c r="P125" i="13" s="1"/>
  <c r="O125" i="13" a="1"/>
  <c r="O125" i="13" s="1"/>
  <c r="N125" i="13" a="1"/>
  <c r="N125" i="13" s="1"/>
  <c r="M125" i="13" a="1"/>
  <c r="M125" i="13" s="1"/>
  <c r="L125" i="13" a="1"/>
  <c r="L125" i="13" s="1"/>
  <c r="K125" i="13" a="1"/>
  <c r="K125" i="13" s="1"/>
  <c r="J125" i="13" a="1"/>
  <c r="J125" i="13" s="1"/>
  <c r="I125" i="13" a="1"/>
  <c r="I125" i="13" s="1"/>
  <c r="H125" i="13" a="1"/>
  <c r="H125" i="13" s="1"/>
  <c r="G125" i="13" a="1"/>
  <c r="G125" i="13" s="1"/>
  <c r="F125" i="13" a="1"/>
  <c r="F125" i="13" s="1"/>
  <c r="E125" i="13" a="1"/>
  <c r="E125" i="13" s="1"/>
  <c r="D125" i="13" a="1"/>
  <c r="D125" i="13" s="1"/>
  <c r="C125" i="13" a="1"/>
  <c r="C125" i="13" s="1"/>
  <c r="AB124" i="13" a="1"/>
  <c r="AB124" i="13" s="1"/>
  <c r="AA124" i="13" a="1"/>
  <c r="AA124" i="13" s="1"/>
  <c r="Z124" i="13" a="1"/>
  <c r="Z124" i="13" s="1"/>
  <c r="Y124" i="13" a="1"/>
  <c r="Y124" i="13" s="1"/>
  <c r="X124" i="13" a="1"/>
  <c r="X124" i="13" s="1"/>
  <c r="W124" i="13" a="1"/>
  <c r="W124" i="13" s="1"/>
  <c r="V124" i="13" a="1"/>
  <c r="V124" i="13" s="1"/>
  <c r="U124" i="13" a="1"/>
  <c r="U124" i="13" s="1"/>
  <c r="T124" i="13" a="1"/>
  <c r="T124" i="13" s="1"/>
  <c r="S124" i="13" a="1"/>
  <c r="S124" i="13" s="1"/>
  <c r="R124" i="13" a="1"/>
  <c r="R124" i="13" s="1"/>
  <c r="P124" i="13" a="1"/>
  <c r="P124" i="13" s="1"/>
  <c r="O124" i="13" a="1"/>
  <c r="O124" i="13" s="1"/>
  <c r="N124" i="13" a="1"/>
  <c r="N124" i="13" s="1"/>
  <c r="M124" i="13" a="1"/>
  <c r="M124" i="13" s="1"/>
  <c r="L124" i="13" a="1"/>
  <c r="L124" i="13" s="1"/>
  <c r="K124" i="13" a="1"/>
  <c r="K124" i="13" s="1"/>
  <c r="J124" i="13" a="1"/>
  <c r="J124" i="13" s="1"/>
  <c r="I124" i="13" a="1"/>
  <c r="I124" i="13" s="1"/>
  <c r="H124" i="13" a="1"/>
  <c r="H124" i="13" s="1"/>
  <c r="G124" i="13" a="1"/>
  <c r="G124" i="13" s="1"/>
  <c r="F124" i="13" a="1"/>
  <c r="F124" i="13" s="1"/>
  <c r="E124" i="13" a="1"/>
  <c r="E124" i="13" s="1"/>
  <c r="D124" i="13" a="1"/>
  <c r="D124" i="13" s="1"/>
  <c r="C124" i="13" a="1"/>
  <c r="C124" i="13" s="1"/>
  <c r="AB123" i="13" a="1"/>
  <c r="AB123" i="13" s="1"/>
  <c r="AA123" i="13" a="1"/>
  <c r="AA123" i="13" s="1"/>
  <c r="Z123" i="13" a="1"/>
  <c r="Z123" i="13" s="1"/>
  <c r="Y123" i="13" a="1"/>
  <c r="Y123" i="13" s="1"/>
  <c r="X123" i="13" a="1"/>
  <c r="X123" i="13" s="1"/>
  <c r="W123" i="13" a="1"/>
  <c r="W123" i="13" s="1"/>
  <c r="V123" i="13" a="1"/>
  <c r="V123" i="13" s="1"/>
  <c r="U123" i="13" a="1"/>
  <c r="U123" i="13" s="1"/>
  <c r="T123" i="13" a="1"/>
  <c r="T123" i="13" s="1"/>
  <c r="S123" i="13" a="1"/>
  <c r="S123" i="13" s="1"/>
  <c r="R123" i="13" a="1"/>
  <c r="R123" i="13" s="1"/>
  <c r="P123" i="13" a="1"/>
  <c r="P123" i="13" s="1"/>
  <c r="O123" i="13" a="1"/>
  <c r="O123" i="13" s="1"/>
  <c r="N123" i="13" a="1"/>
  <c r="N123" i="13" s="1"/>
  <c r="M123" i="13" a="1"/>
  <c r="M123" i="13" s="1"/>
  <c r="L123" i="13" a="1"/>
  <c r="L123" i="13" s="1"/>
  <c r="K123" i="13" a="1"/>
  <c r="K123" i="13" s="1"/>
  <c r="J123" i="13" a="1"/>
  <c r="J123" i="13" s="1"/>
  <c r="I123" i="13" a="1"/>
  <c r="I123" i="13" s="1"/>
  <c r="H123" i="13" a="1"/>
  <c r="H123" i="13" s="1"/>
  <c r="G123" i="13" a="1"/>
  <c r="G123" i="13" s="1"/>
  <c r="F123" i="13" a="1"/>
  <c r="F123" i="13" s="1"/>
  <c r="E123" i="13" a="1"/>
  <c r="E123" i="13" s="1"/>
  <c r="D123" i="13" a="1"/>
  <c r="D123" i="13" s="1"/>
  <c r="C123" i="13" a="1"/>
  <c r="C123" i="13" s="1"/>
  <c r="AB122" i="13" a="1"/>
  <c r="AB122" i="13" s="1"/>
  <c r="AA122" i="13" a="1"/>
  <c r="AA122" i="13" s="1"/>
  <c r="Z122" i="13" a="1"/>
  <c r="Z122" i="13" s="1"/>
  <c r="Y122" i="13" a="1"/>
  <c r="Y122" i="13" s="1"/>
  <c r="X122" i="13" a="1"/>
  <c r="X122" i="13" s="1"/>
  <c r="W122" i="13" a="1"/>
  <c r="W122" i="13" s="1"/>
  <c r="V122" i="13" a="1"/>
  <c r="V122" i="13" s="1"/>
  <c r="U122" i="13" a="1"/>
  <c r="U122" i="13" s="1"/>
  <c r="T122" i="13" a="1"/>
  <c r="T122" i="13" s="1"/>
  <c r="S122" i="13" a="1"/>
  <c r="S122" i="13" s="1"/>
  <c r="R122" i="13" a="1"/>
  <c r="R122" i="13" s="1"/>
  <c r="P122" i="13" a="1"/>
  <c r="P122" i="13" s="1"/>
  <c r="O122" i="13" a="1"/>
  <c r="O122" i="13" s="1"/>
  <c r="N122" i="13" a="1"/>
  <c r="N122" i="13" s="1"/>
  <c r="M122" i="13" a="1"/>
  <c r="M122" i="13" s="1"/>
  <c r="L122" i="13" a="1"/>
  <c r="L122" i="13" s="1"/>
  <c r="K122" i="13" a="1"/>
  <c r="K122" i="13" s="1"/>
  <c r="J122" i="13" a="1"/>
  <c r="J122" i="13" s="1"/>
  <c r="I122" i="13" a="1"/>
  <c r="I122" i="13" s="1"/>
  <c r="H122" i="13" a="1"/>
  <c r="H122" i="13" s="1"/>
  <c r="G122" i="13" a="1"/>
  <c r="G122" i="13" s="1"/>
  <c r="F122" i="13" a="1"/>
  <c r="F122" i="13" s="1"/>
  <c r="E122" i="13" a="1"/>
  <c r="E122" i="13" s="1"/>
  <c r="D122" i="13" a="1"/>
  <c r="D122" i="13" s="1"/>
  <c r="C122" i="13" a="1"/>
  <c r="C122" i="13" s="1"/>
  <c r="AB121" i="13" a="1"/>
  <c r="AB121" i="13" s="1"/>
  <c r="AA121" i="13" a="1"/>
  <c r="AA121" i="13" s="1"/>
  <c r="Z121" i="13" a="1"/>
  <c r="Z121" i="13" s="1"/>
  <c r="Y121" i="13" a="1"/>
  <c r="Y121" i="13" s="1"/>
  <c r="X121" i="13" a="1"/>
  <c r="X121" i="13" s="1"/>
  <c r="W121" i="13" a="1"/>
  <c r="W121" i="13" s="1"/>
  <c r="V121" i="13" a="1"/>
  <c r="V121" i="13" s="1"/>
  <c r="U121" i="13" a="1"/>
  <c r="U121" i="13" s="1"/>
  <c r="T121" i="13" a="1"/>
  <c r="T121" i="13" s="1"/>
  <c r="S121" i="13" a="1"/>
  <c r="S121" i="13" s="1"/>
  <c r="R121" i="13" a="1"/>
  <c r="R121" i="13" s="1"/>
  <c r="P121" i="13" a="1"/>
  <c r="P121" i="13" s="1"/>
  <c r="O121" i="13" a="1"/>
  <c r="O121" i="13" s="1"/>
  <c r="N121" i="13" a="1"/>
  <c r="N121" i="13" s="1"/>
  <c r="M121" i="13" a="1"/>
  <c r="M121" i="13" s="1"/>
  <c r="L121" i="13" a="1"/>
  <c r="L121" i="13" s="1"/>
  <c r="K121" i="13" a="1"/>
  <c r="K121" i="13" s="1"/>
  <c r="J121" i="13" a="1"/>
  <c r="J121" i="13" s="1"/>
  <c r="I121" i="13" a="1"/>
  <c r="I121" i="13" s="1"/>
  <c r="H121" i="13" a="1"/>
  <c r="H121" i="13" s="1"/>
  <c r="G121" i="13" a="1"/>
  <c r="G121" i="13" s="1"/>
  <c r="F121" i="13" a="1"/>
  <c r="F121" i="13" s="1"/>
  <c r="E121" i="13" a="1"/>
  <c r="E121" i="13" s="1"/>
  <c r="D121" i="13" a="1"/>
  <c r="D121" i="13" s="1"/>
  <c r="C121" i="13" a="1"/>
  <c r="C121" i="13" s="1"/>
  <c r="AB120" i="13" a="1"/>
  <c r="AB120" i="13" s="1"/>
  <c r="AA120" i="13" a="1"/>
  <c r="AA120" i="13" s="1"/>
  <c r="Z120" i="13" a="1"/>
  <c r="Z120" i="13" s="1"/>
  <c r="Y120" i="13" a="1"/>
  <c r="Y120" i="13" s="1"/>
  <c r="X120" i="13" a="1"/>
  <c r="X120" i="13" s="1"/>
  <c r="W120" i="13" a="1"/>
  <c r="W120" i="13" s="1"/>
  <c r="V120" i="13" a="1"/>
  <c r="V120" i="13" s="1"/>
  <c r="U120" i="13" a="1"/>
  <c r="U120" i="13" s="1"/>
  <c r="T120" i="13" a="1"/>
  <c r="T120" i="13" s="1"/>
  <c r="S120" i="13" a="1"/>
  <c r="S120" i="13" s="1"/>
  <c r="R120" i="13" a="1"/>
  <c r="R120" i="13" s="1"/>
  <c r="P120" i="13" a="1"/>
  <c r="P120" i="13" s="1"/>
  <c r="O120" i="13" a="1"/>
  <c r="O120" i="13" s="1"/>
  <c r="N120" i="13" a="1"/>
  <c r="N120" i="13" s="1"/>
  <c r="M120" i="13" a="1"/>
  <c r="M120" i="13" s="1"/>
  <c r="L120" i="13" a="1"/>
  <c r="L120" i="13" s="1"/>
  <c r="K120" i="13" a="1"/>
  <c r="K120" i="13" s="1"/>
  <c r="J120" i="13" a="1"/>
  <c r="J120" i="13" s="1"/>
  <c r="I120" i="13" a="1"/>
  <c r="I120" i="13" s="1"/>
  <c r="H120" i="13" a="1"/>
  <c r="H120" i="13" s="1"/>
  <c r="G120" i="13" a="1"/>
  <c r="G120" i="13" s="1"/>
  <c r="F120" i="13" a="1"/>
  <c r="F120" i="13" s="1"/>
  <c r="E120" i="13" a="1"/>
  <c r="E120" i="13" s="1"/>
  <c r="D120" i="13" a="1"/>
  <c r="D120" i="13" s="1"/>
  <c r="C120" i="13" a="1"/>
  <c r="C120" i="13" s="1"/>
  <c r="AB119" i="13" a="1"/>
  <c r="AB119" i="13" s="1"/>
  <c r="AA119" i="13" a="1"/>
  <c r="AA119" i="13" s="1"/>
  <c r="Z119" i="13" a="1"/>
  <c r="Z119" i="13" s="1"/>
  <c r="Y119" i="13" a="1"/>
  <c r="Y119" i="13" s="1"/>
  <c r="X119" i="13" a="1"/>
  <c r="X119" i="13" s="1"/>
  <c r="W119" i="13" a="1"/>
  <c r="W119" i="13" s="1"/>
  <c r="V119" i="13" a="1"/>
  <c r="V119" i="13" s="1"/>
  <c r="U119" i="13" a="1"/>
  <c r="U119" i="13" s="1"/>
  <c r="T119" i="13" a="1"/>
  <c r="T119" i="13" s="1"/>
  <c r="S119" i="13" a="1"/>
  <c r="S119" i="13" s="1"/>
  <c r="R119" i="13" a="1"/>
  <c r="R119" i="13" s="1"/>
  <c r="P119" i="13" a="1"/>
  <c r="P119" i="13" s="1"/>
  <c r="O119" i="13" a="1"/>
  <c r="O119" i="13" s="1"/>
  <c r="N119" i="13" a="1"/>
  <c r="N119" i="13" s="1"/>
  <c r="M119" i="13" a="1"/>
  <c r="M119" i="13" s="1"/>
  <c r="L119" i="13" a="1"/>
  <c r="L119" i="13" s="1"/>
  <c r="K119" i="13" a="1"/>
  <c r="K119" i="13" s="1"/>
  <c r="J119" i="13" a="1"/>
  <c r="J119" i="13" s="1"/>
  <c r="I119" i="13" a="1"/>
  <c r="I119" i="13" s="1"/>
  <c r="H119" i="13" a="1"/>
  <c r="H119" i="13" s="1"/>
  <c r="G119" i="13" a="1"/>
  <c r="G119" i="13" s="1"/>
  <c r="F119" i="13" a="1"/>
  <c r="F119" i="13" s="1"/>
  <c r="E119" i="13" a="1"/>
  <c r="E119" i="13" s="1"/>
  <c r="D119" i="13" a="1"/>
  <c r="D119" i="13" s="1"/>
  <c r="C119" i="13" a="1"/>
  <c r="C119" i="13" s="1"/>
  <c r="AB118" i="13" a="1"/>
  <c r="AB118" i="13" s="1"/>
  <c r="AA118" i="13" a="1"/>
  <c r="AA118" i="13" s="1"/>
  <c r="Z118" i="13" a="1"/>
  <c r="Z118" i="13" s="1"/>
  <c r="Y118" i="13" a="1"/>
  <c r="Y118" i="13" s="1"/>
  <c r="X118" i="13" a="1"/>
  <c r="X118" i="13" s="1"/>
  <c r="W118" i="13" a="1"/>
  <c r="W118" i="13" s="1"/>
  <c r="V118" i="13" a="1"/>
  <c r="V118" i="13" s="1"/>
  <c r="U118" i="13" a="1"/>
  <c r="U118" i="13" s="1"/>
  <c r="T118" i="13" a="1"/>
  <c r="T118" i="13" s="1"/>
  <c r="S118" i="13" a="1"/>
  <c r="S118" i="13" s="1"/>
  <c r="R118" i="13" a="1"/>
  <c r="R118" i="13" s="1"/>
  <c r="P118" i="13" a="1"/>
  <c r="P118" i="13" s="1"/>
  <c r="O118" i="13" a="1"/>
  <c r="O118" i="13" s="1"/>
  <c r="N118" i="13" a="1"/>
  <c r="N118" i="13" s="1"/>
  <c r="M118" i="13" a="1"/>
  <c r="M118" i="13" s="1"/>
  <c r="L118" i="13" a="1"/>
  <c r="L118" i="13" s="1"/>
  <c r="K118" i="13" a="1"/>
  <c r="K118" i="13" s="1"/>
  <c r="J118" i="13" a="1"/>
  <c r="J118" i="13" s="1"/>
  <c r="I118" i="13" a="1"/>
  <c r="I118" i="13" s="1"/>
  <c r="H118" i="13" a="1"/>
  <c r="H118" i="13" s="1"/>
  <c r="G118" i="13" a="1"/>
  <c r="G118" i="13" s="1"/>
  <c r="F118" i="13" a="1"/>
  <c r="F118" i="13" s="1"/>
  <c r="E118" i="13" a="1"/>
  <c r="E118" i="13" s="1"/>
  <c r="D118" i="13" a="1"/>
  <c r="D118" i="13" s="1"/>
  <c r="C118" i="13" a="1"/>
  <c r="C118" i="13" s="1"/>
  <c r="AB117" i="13" a="1"/>
  <c r="AB117" i="13" s="1"/>
  <c r="AA117" i="13" a="1"/>
  <c r="AA117" i="13" s="1"/>
  <c r="Z117" i="13" a="1"/>
  <c r="Z117" i="13" s="1"/>
  <c r="Y117" i="13" a="1"/>
  <c r="Y117" i="13" s="1"/>
  <c r="X117" i="13" a="1"/>
  <c r="X117" i="13" s="1"/>
  <c r="W117" i="13" a="1"/>
  <c r="W117" i="13" s="1"/>
  <c r="V117" i="13" a="1"/>
  <c r="V117" i="13" s="1"/>
  <c r="U117" i="13" a="1"/>
  <c r="U117" i="13" s="1"/>
  <c r="T117" i="13" a="1"/>
  <c r="T117" i="13" s="1"/>
  <c r="S117" i="13" a="1"/>
  <c r="S117" i="13" s="1"/>
  <c r="R117" i="13" a="1"/>
  <c r="R117" i="13" s="1"/>
  <c r="P117" i="13" a="1"/>
  <c r="P117" i="13" s="1"/>
  <c r="O117" i="13" a="1"/>
  <c r="O117" i="13" s="1"/>
  <c r="N117" i="13" a="1"/>
  <c r="N117" i="13" s="1"/>
  <c r="M117" i="13" a="1"/>
  <c r="M117" i="13" s="1"/>
  <c r="L117" i="13" a="1"/>
  <c r="L117" i="13" s="1"/>
  <c r="K117" i="13" a="1"/>
  <c r="K117" i="13" s="1"/>
  <c r="J117" i="13" a="1"/>
  <c r="J117" i="13" s="1"/>
  <c r="I117" i="13" a="1"/>
  <c r="I117" i="13" s="1"/>
  <c r="H117" i="13" a="1"/>
  <c r="H117" i="13" s="1"/>
  <c r="G117" i="13" a="1"/>
  <c r="G117" i="13" s="1"/>
  <c r="F117" i="13" a="1"/>
  <c r="F117" i="13" s="1"/>
  <c r="E117" i="13" a="1"/>
  <c r="E117" i="13" s="1"/>
  <c r="D117" i="13" a="1"/>
  <c r="D117" i="13" s="1"/>
  <c r="C117" i="13" a="1"/>
  <c r="C117" i="13" s="1"/>
  <c r="AB116" i="13" a="1"/>
  <c r="AB116" i="13" s="1"/>
  <c r="AA116" i="13" a="1"/>
  <c r="AA116" i="13" s="1"/>
  <c r="Z116" i="13" a="1"/>
  <c r="Z116" i="13" s="1"/>
  <c r="Y116" i="13" a="1"/>
  <c r="Y116" i="13" s="1"/>
  <c r="X116" i="13" a="1"/>
  <c r="X116" i="13" s="1"/>
  <c r="W116" i="13" a="1"/>
  <c r="W116" i="13" s="1"/>
  <c r="V116" i="13" a="1"/>
  <c r="V116" i="13" s="1"/>
  <c r="U116" i="13" a="1"/>
  <c r="U116" i="13" s="1"/>
  <c r="T116" i="13" a="1"/>
  <c r="T116" i="13" s="1"/>
  <c r="S116" i="13" a="1"/>
  <c r="S116" i="13" s="1"/>
  <c r="R116" i="13" a="1"/>
  <c r="R116" i="13" s="1"/>
  <c r="P116" i="13" a="1"/>
  <c r="P116" i="13" s="1"/>
  <c r="O116" i="13" a="1"/>
  <c r="O116" i="13" s="1"/>
  <c r="N116" i="13" a="1"/>
  <c r="N116" i="13" s="1"/>
  <c r="M116" i="13" a="1"/>
  <c r="M116" i="13" s="1"/>
  <c r="L116" i="13" a="1"/>
  <c r="L116" i="13" s="1"/>
  <c r="K116" i="13" a="1"/>
  <c r="K116" i="13" s="1"/>
  <c r="J116" i="13" a="1"/>
  <c r="J116" i="13" s="1"/>
  <c r="I116" i="13" a="1"/>
  <c r="I116" i="13" s="1"/>
  <c r="H116" i="13" a="1"/>
  <c r="H116" i="13" s="1"/>
  <c r="G116" i="13" a="1"/>
  <c r="G116" i="13" s="1"/>
  <c r="F116" i="13" a="1"/>
  <c r="F116" i="13" s="1"/>
  <c r="E116" i="13" a="1"/>
  <c r="E116" i="13" s="1"/>
  <c r="D116" i="13" a="1"/>
  <c r="D116" i="13" s="1"/>
  <c r="C116" i="13" a="1"/>
  <c r="C116" i="13" s="1"/>
  <c r="AB115" i="13" a="1"/>
  <c r="AB115" i="13" s="1"/>
  <c r="AA115" i="13" a="1"/>
  <c r="AA115" i="13" s="1"/>
  <c r="Z115" i="13" a="1"/>
  <c r="Z115" i="13" s="1"/>
  <c r="Y115" i="13" a="1"/>
  <c r="Y115" i="13" s="1"/>
  <c r="X115" i="13" a="1"/>
  <c r="X115" i="13" s="1"/>
  <c r="W115" i="13" a="1"/>
  <c r="W115" i="13" s="1"/>
  <c r="V115" i="13" a="1"/>
  <c r="V115" i="13" s="1"/>
  <c r="U115" i="13" a="1"/>
  <c r="U115" i="13" s="1"/>
  <c r="T115" i="13" a="1"/>
  <c r="T115" i="13" s="1"/>
  <c r="S115" i="13" a="1"/>
  <c r="S115" i="13" s="1"/>
  <c r="R115" i="13" a="1"/>
  <c r="R115" i="13" s="1"/>
  <c r="P115" i="13" a="1"/>
  <c r="P115" i="13" s="1"/>
  <c r="O115" i="13" a="1"/>
  <c r="O115" i="13" s="1"/>
  <c r="N115" i="13" a="1"/>
  <c r="N115" i="13" s="1"/>
  <c r="M115" i="13" a="1"/>
  <c r="M115" i="13" s="1"/>
  <c r="L115" i="13" a="1"/>
  <c r="L115" i="13" s="1"/>
  <c r="K115" i="13" a="1"/>
  <c r="K115" i="13" s="1"/>
  <c r="J115" i="13" a="1"/>
  <c r="J115" i="13" s="1"/>
  <c r="I115" i="13" a="1"/>
  <c r="I115" i="13" s="1"/>
  <c r="H115" i="13" a="1"/>
  <c r="H115" i="13" s="1"/>
  <c r="G115" i="13" a="1"/>
  <c r="G115" i="13" s="1"/>
  <c r="F115" i="13" a="1"/>
  <c r="F115" i="13" s="1"/>
  <c r="E115" i="13" a="1"/>
  <c r="E115" i="13" s="1"/>
  <c r="D115" i="13" a="1"/>
  <c r="D115" i="13" s="1"/>
  <c r="C115" i="13" a="1"/>
  <c r="C115" i="13" s="1"/>
  <c r="AB104" i="13" a="1"/>
  <c r="AB104" i="13" s="1"/>
  <c r="AA104" i="13" a="1"/>
  <c r="AA104" i="13" s="1"/>
  <c r="Z104" i="13" a="1"/>
  <c r="Z104" i="13" s="1"/>
  <c r="Y104" i="13" a="1"/>
  <c r="Y104" i="13" s="1"/>
  <c r="X104" i="13" a="1"/>
  <c r="X104" i="13" s="1"/>
  <c r="W104" i="13" a="1"/>
  <c r="W104" i="13" s="1"/>
  <c r="V104" i="13" a="1"/>
  <c r="V104" i="13" s="1"/>
  <c r="U104" i="13" a="1"/>
  <c r="U104" i="13" s="1"/>
  <c r="T104" i="13" a="1"/>
  <c r="T104" i="13" s="1"/>
  <c r="S104" i="13" a="1"/>
  <c r="S104" i="13" s="1"/>
  <c r="R104" i="13" a="1"/>
  <c r="R104" i="13" s="1"/>
  <c r="P104" i="13" a="1"/>
  <c r="P104" i="13" s="1"/>
  <c r="O104" i="13" a="1"/>
  <c r="O104" i="13" s="1"/>
  <c r="N104" i="13" a="1"/>
  <c r="N104" i="13" s="1"/>
  <c r="M104" i="13" a="1"/>
  <c r="M104" i="13" s="1"/>
  <c r="L104" i="13" a="1"/>
  <c r="L104" i="13" s="1"/>
  <c r="K104" i="13" a="1"/>
  <c r="K104" i="13" s="1"/>
  <c r="J104" i="13" a="1"/>
  <c r="J104" i="13" s="1"/>
  <c r="I104" i="13" a="1"/>
  <c r="I104" i="13" s="1"/>
  <c r="H104" i="13" a="1"/>
  <c r="H104" i="13" s="1"/>
  <c r="G104" i="13" a="1"/>
  <c r="G104" i="13" s="1"/>
  <c r="F104" i="13" a="1"/>
  <c r="F104" i="13" s="1"/>
  <c r="E104" i="13" a="1"/>
  <c r="E104" i="13" s="1"/>
  <c r="D104" i="13" a="1"/>
  <c r="D104" i="13" s="1"/>
  <c r="G20" i="13" a="1"/>
  <c r="B21" i="13" a="1"/>
  <c r="F20" i="13" a="1"/>
  <c r="P38" i="13" a="1"/>
  <c r="Q104" i="13" a="1"/>
  <c r="C104" i="13" a="1"/>
  <c r="B104" i="13" a="1"/>
  <c r="Q133" i="13" a="1"/>
  <c r="Q125" i="13" a="1"/>
  <c r="Q121" i="13" a="1"/>
  <c r="Q116" i="13" a="1"/>
  <c r="Q117" i="13" a="1"/>
  <c r="Q124" i="13" a="1"/>
  <c r="Q132" i="13" a="1"/>
  <c r="Q130" i="13" a="1"/>
  <c r="Q122" i="13" a="1"/>
  <c r="Q129" i="13" a="1"/>
  <c r="Q119" i="13" a="1"/>
  <c r="Q127" i="13" a="1"/>
  <c r="Q134" i="13" a="1"/>
  <c r="Q118" i="13" a="1"/>
  <c r="Q131" i="13" a="1"/>
  <c r="Q120" i="13" a="1"/>
  <c r="Q128" i="13" a="1"/>
  <c r="Q126" i="13" a="1"/>
  <c r="Q115" i="13" a="1"/>
  <c r="Q123" i="13" a="1"/>
  <c r="B130" i="13" a="1"/>
  <c r="B125" i="13" a="1"/>
  <c r="B131" i="13" a="1"/>
  <c r="B123" i="13" a="1"/>
  <c r="B132" i="13" a="1"/>
  <c r="B121" i="13" a="1"/>
  <c r="B122" i="13" a="1"/>
  <c r="B134" i="13" a="1"/>
  <c r="B135" i="13" a="1"/>
  <c r="B115" i="13" a="1"/>
  <c r="B120" i="13" a="1"/>
  <c r="B126" i="13" a="1"/>
  <c r="B129" i="13" a="1"/>
  <c r="B116" i="13" a="1"/>
  <c r="B119" i="13" a="1"/>
  <c r="B124" i="13" a="1"/>
  <c r="B128" i="13" a="1"/>
  <c r="B117" i="13" a="1"/>
  <c r="B127" i="13" a="1"/>
  <c r="B133" i="13" a="1"/>
  <c r="B118" i="13" a="1"/>
  <c r="E32" i="13" a="1"/>
  <c r="C32" i="13" a="1"/>
  <c r="B7" i="13" a="1"/>
  <c r="B8" i="13" a="1"/>
  <c r="P37" i="13" a="1"/>
  <c r="E32" i="13" l="1"/>
  <c r="C32" i="13"/>
  <c r="B7" i="13"/>
  <c r="B8" i="13"/>
  <c r="S37" i="13"/>
  <c r="R37" i="13"/>
  <c r="U37" i="13"/>
  <c r="V37" i="13"/>
  <c r="Q37" i="13"/>
  <c r="T37" i="13"/>
  <c r="X37" i="13"/>
  <c r="Y37" i="13"/>
  <c r="W37" i="13"/>
  <c r="Z37" i="13"/>
  <c r="AA37" i="13"/>
  <c r="G20" i="13"/>
  <c r="B21" i="13"/>
  <c r="F20" i="13"/>
  <c r="P38" i="13"/>
  <c r="B130" i="13"/>
  <c r="B125" i="13"/>
  <c r="B131" i="13"/>
  <c r="B123" i="13"/>
  <c r="B132" i="13"/>
  <c r="B121" i="13"/>
  <c r="B122" i="13"/>
  <c r="B134" i="13"/>
  <c r="B135" i="13"/>
  <c r="B115" i="13"/>
  <c r="B120" i="13"/>
  <c r="B126" i="13"/>
  <c r="B129" i="13"/>
  <c r="B116" i="13"/>
  <c r="B119" i="13"/>
  <c r="B124" i="13"/>
  <c r="B128" i="13"/>
  <c r="B117" i="13"/>
  <c r="B127" i="13"/>
  <c r="B133" i="13"/>
  <c r="B118" i="13"/>
  <c r="Q133" i="13"/>
  <c r="Q125" i="13"/>
  <c r="Q121" i="13"/>
  <c r="Q116" i="13"/>
  <c r="Q117" i="13"/>
  <c r="Q124" i="13"/>
  <c r="Q132" i="13"/>
  <c r="Q130" i="13"/>
  <c r="Q122" i="13"/>
  <c r="Q129" i="13"/>
  <c r="Q119" i="13"/>
  <c r="Q127" i="13"/>
  <c r="Q134" i="13"/>
  <c r="Q118" i="13"/>
  <c r="Q131" i="13"/>
  <c r="Q120" i="13"/>
  <c r="Q128" i="13"/>
  <c r="Q126" i="13"/>
  <c r="Q115" i="13"/>
  <c r="Q123" i="13"/>
  <c r="Q104" i="13"/>
  <c r="C104" i="13"/>
  <c r="B104" i="13"/>
  <c r="P37" i="13"/>
  <c r="C9" i="13" a="1"/>
  <c r="C9" i="13" l="1"/>
  <c r="C8" i="13"/>
  <c r="AC60" i="13" a="1"/>
  <c r="AC47" i="13" a="1"/>
  <c r="AC53" i="13" a="1"/>
  <c r="AC40" i="13" a="1"/>
  <c r="AC42" i="13" a="1"/>
  <c r="AC45" i="13" a="1"/>
  <c r="AC54" i="13" a="1"/>
  <c r="AC59" i="13" a="1"/>
  <c r="AC41" i="13" a="1"/>
  <c r="AC43" i="13" a="1"/>
  <c r="AC50" i="13" a="1"/>
  <c r="AC37" i="13" a="1"/>
  <c r="AC46" i="13" a="1"/>
  <c r="AC48" i="13" a="1"/>
  <c r="AC49" i="13" a="1"/>
  <c r="AC55" i="13" a="1"/>
  <c r="AC56" i="13" a="1"/>
  <c r="AC58" i="13" a="1"/>
  <c r="AC39" i="13" a="1"/>
  <c r="AC52" i="13" a="1"/>
  <c r="AC51" i="13" a="1"/>
  <c r="AC44" i="13" a="1"/>
  <c r="AC38" i="13" a="1"/>
  <c r="AC57" i="13" a="1"/>
  <c r="AC58" i="13" l="1"/>
  <c r="AC60" i="13"/>
  <c r="AC44" i="13"/>
  <c r="AC59" i="13"/>
  <c r="AC42" i="13"/>
  <c r="AC41" i="13"/>
  <c r="AC56" i="13"/>
  <c r="AC52" i="13"/>
  <c r="AC43" i="13"/>
  <c r="AC57" i="13"/>
  <c r="AC40" i="13"/>
  <c r="AC54" i="13"/>
  <c r="AC38" i="13"/>
  <c r="AC55" i="13"/>
  <c r="AC39" i="13"/>
  <c r="AC53" i="13"/>
  <c r="AC51" i="13"/>
  <c r="AC50" i="13"/>
  <c r="AC49" i="13"/>
  <c r="AC48" i="13"/>
  <c r="AC47" i="13"/>
  <c r="AC46" i="13"/>
  <c r="AC45" i="13"/>
  <c r="AC37" i="13"/>
  <c r="C7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<sst xmlns="http://schemas.openxmlformats.org/spreadsheetml/2006/main" count="128" uniqueCount="104">
  <si>
    <t>Shooting Angle(deg)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</si>
  <si>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</si>
  <si>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</si>
  <si>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</si>
  <si>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</si>
  <si>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</si>
  <si>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</si>
  <si>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</si>
  <si>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</si>
  <si>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</si>
  <si>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</si>
  <si>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</si>
  <si>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</si>
  <si>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</si>
  <si>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</si>
  <si>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</si>
  <si>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</si>
  <si>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</si>
  <si>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Energy(J)</t>
  </si>
  <si>
    <t>Measured Elevation Angle (scope units)</t>
  </si>
  <si>
    <t>Calculated Trajectory(cm)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</si>
  <si>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</si>
  <si>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</si>
  <si>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</si>
  <si>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</si>
  <si>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</si>
  <si>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</si>
  <si>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</si>
  <si>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</si>
  <si>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</si>
  <si>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</si>
  <si>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</si>
  <si>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</si>
  <si>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</si>
  <si>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</si>
  <si>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</si>
  <si>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Rifle Precision(MOA)</t>
  </si>
  <si>
    <t>Rifle Precision(MILS), Error(MILS)</t>
  </si>
  <si>
    <t>HunterSense POI Diameter</t>
  </si>
  <si>
    <t>SU</t>
  </si>
  <si>
    <t>Error(SU)</t>
  </si>
  <si>
    <t>MILS</t>
  </si>
  <si>
    <t>Error(MILS)</t>
  </si>
  <si>
    <t>Probable Error</t>
  </si>
  <si>
    <t>Bullet Weight(gr),(g)</t>
  </si>
  <si>
    <t>Caliber(in),(mm)</t>
  </si>
  <si>
    <t>Muzzle Energy(flb),(J)</t>
  </si>
  <si>
    <t>Muzzle Velocity(fps),(m/s)</t>
  </si>
  <si>
    <t>Measured Wind Drift</t>
  </si>
  <si>
    <t>(scope units)</t>
  </si>
  <si>
    <t>Calculated Wind Drift</t>
  </si>
  <si>
    <t>In-Game Data</t>
  </si>
  <si>
    <t>Bullet Name</t>
  </si>
  <si>
    <t>Bullet Type</t>
  </si>
  <si>
    <t>Manufacturer</t>
  </si>
  <si>
    <t>Ammunition Information</t>
  </si>
  <si>
    <t>Manufacturer's Data Sheet Specs</t>
  </si>
  <si>
    <t>Measured Muzzle Energy(J),(flb)</t>
  </si>
  <si>
    <t>Computed Muzzle Velocity(m/s),(ft/s)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</si>
  <si>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</si>
  <si>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</si>
  <si>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</si>
  <si>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</si>
  <si>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</si>
  <si>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</si>
  <si>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</si>
  <si>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</si>
  <si>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</si>
  <si>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</si>
  <si>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</si>
  <si>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</si>
  <si>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</si>
  <si>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R^2</t>
  </si>
  <si>
    <t>Energy(J)</t>
  </si>
  <si>
    <t>Scope Height(in),(cm)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</si>
  <si>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</si>
  <si>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</si>
  <si>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</si>
  <si>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</si>
  <si>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</si>
  <si>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</si>
  <si>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</si>
  <si>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</si>
  <si>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Federal</t>
  </si>
  <si>
    <t>Hornady</t>
  </si>
  <si>
    <t>Federal 50m Zero</t>
  </si>
  <si>
    <t>Hornady 50m Zero</t>
  </si>
  <si>
    <t>2 sigma spread (MOA)</t>
  </si>
  <si>
    <t>2 sigma spread (MILS)</t>
  </si>
  <si>
    <t>Wind (m/s),(km/hr)</t>
  </si>
  <si>
    <t>Average</t>
  </si>
  <si>
    <t>Std Dev</t>
  </si>
  <si>
    <t>Scope Resolution(SU)</t>
  </si>
  <si>
    <t>Scope SU to MILS Scale Factor</t>
  </si>
  <si>
    <t>Scaled Diameter</t>
  </si>
  <si>
    <t>Inner Circle(scope units)</t>
  </si>
  <si>
    <t>Outer Circle(scope units)</t>
  </si>
  <si>
    <t>300 Win Mag</t>
  </si>
  <si>
    <t>Terminal Ascent</t>
  </si>
  <si>
    <t>PHP</t>
  </si>
  <si>
    <t>Rifle Data</t>
  </si>
  <si>
    <t>Steyr SM12</t>
  </si>
  <si>
    <t>25" barrel</t>
  </si>
  <si>
    <t>Bushnell Elite Tactical 3.5-21x50 FFP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</si>
</sst>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E+00"/>
    <numFmt numFmtId="166" formatCode="0.0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3" tint="0.74996185186315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2" fillId="6" borderId="5" applyNumberFormat="0" applyAlignment="0" applyProtection="0"/>
  </cellStyleXfs>
  <cellXfs count="6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0" fontId="1" fillId="5" borderId="0" xfId="0" applyFont="1" applyFill="1"/>
    <xf numFmtId="164" fontId="1" fillId="5" borderId="0" xfId="0" applyNumberFormat="1" applyFont="1" applyFill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2" xfId="0" applyNumberFormat="1" applyFill="1" applyBorder="1"/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49" fontId="1" fillId="0" borderId="0" xfId="0" applyNumberFormat="1" applyFont="1" applyAlignment="1">
      <alignment horizontal="right"/>
    </xf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0" fontId="1" fillId="0" borderId="0" xfId="0" applyFont="1" applyAlignment="1">
      <alignment horizontal="right" wrapText="1"/>
    </xf>
    <xf numFmtId="1" fontId="0" fillId="3" borderId="1" xfId="0" applyNumberFormat="1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0" fillId="7" borderId="9" xfId="0" applyNumberFormat="1" applyFill="1" applyBorder="1" applyAlignment="1">
      <alignment horizontal="right"/>
    </xf>
    <xf numFmtId="49" fontId="1" fillId="7" borderId="0" xfId="0" applyNumberFormat="1" applyFont="1" applyFill="1" applyAlignment="1">
      <alignment horizontal="center"/>
    </xf>
    <xf numFmtId="2" fontId="0" fillId="0" borderId="9" xfId="0" applyNumberFormat="1" applyBorder="1"/>
    <xf numFmtId="2" fontId="0" fillId="0" borderId="0" xfId="0" applyNumberFormat="1" applyAlignment="1">
      <alignment horizontal="right"/>
    </xf>
    <xf numFmtId="164" fontId="0" fillId="0" borderId="10" xfId="0" applyNumberFormat="1" applyBorder="1"/>
    <xf numFmtId="0" fontId="0" fillId="0" borderId="10" xfId="0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2" xfId="0" applyBorder="1"/>
    <xf numFmtId="2" fontId="0" fillId="0" borderId="12" xfId="0" applyNumberFormat="1" applyBorder="1"/>
    <xf numFmtId="2" fontId="0" fillId="0" borderId="13" xfId="0" applyNumberFormat="1" applyBorder="1"/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center" wrapText="1"/>
    </xf>
    <xf numFmtId="164" fontId="0" fillId="3" borderId="0" xfId="0" applyNumberFormat="1" applyFill="1"/>
    <xf numFmtId="164" fontId="2" fillId="6" borderId="5" xfId="1" applyNumberFormat="1"/>
    <xf numFmtId="164" fontId="0" fillId="3" borderId="5" xfId="0" applyNumberFormat="1" applyFill="1" applyBorder="1"/>
    <xf numFmtId="164" fontId="2" fillId="6" borderId="1" xfId="1" applyNumberFormat="1" applyBorder="1"/>
    <xf numFmtId="164" fontId="1" fillId="3" borderId="1" xfId="0" applyNumberFormat="1" applyFont="1" applyFill="1" applyBorder="1"/>
    <xf numFmtId="166" fontId="0" fillId="3" borderId="1" xfId="0" applyNumberFormat="1" applyFill="1" applyBorder="1" applyAlignment="1">
      <alignment horizontal="right"/>
    </xf>
    <xf numFmtId="166" fontId="0" fillId="3" borderId="1" xfId="0" applyNumberFormat="1" applyFill="1" applyBorder="1"/>
    <xf numFmtId="49" fontId="1" fillId="5" borderId="0" xfId="0" applyNumberFormat="1" applyFont="1" applyFill="1" applyAlignment="1">
      <alignment horizontal="right"/>
    </xf>
    <xf numFmtId="49" fontId="1" fillId="7" borderId="0" xfId="0" applyNumberFormat="1" applyFont="1" applyFill="1" applyAlignment="1">
      <alignment horizontal="center"/>
    </xf>
    <xf numFmtId="49" fontId="1" fillId="7" borderId="1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2" fillId="6" borderId="5" xfId="1" applyNumberFormat="1" applyAlignment="1">
      <alignment horizontal="left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696738461755413E-2"/>
          <c:y val="0.13171460936233578"/>
          <c:w val="0.79843048497379732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'SteyrSM12-TerminalAscentPHP'!$A$37:$A$50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'SteyrSM12-TerminalAscentPHP'!$B$37:$B$50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'SteyrSM12-TerminalAscentPHP'!$A$167:$C$167</c:f>
              <c:strCache>
                <c:ptCount val="1"/>
                <c:pt idx="0">
                  <c:v>Federal 50m Zero BC: G1 0.000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'SteyrSM12-TerminalAscentPHP'!$A$169:$A$209</c:f>
              <c:numCache>
                <c:formatCode>0.00</c:formatCode>
                <c:ptCount val="41"/>
              </c:numCache>
            </c:numRef>
          </c:xVal>
          <c:yVal>
            <c:numRef>
              <c:f>'SteyrSM12-TerminalAscentPHP'!$I$169:$I$209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D-447C-950E-7FCDE81341EB}"/>
            </c:ext>
          </c:extLst>
        </c:ser>
        <c:ser>
          <c:idx val="2"/>
          <c:order val="2"/>
          <c:tx>
            <c:strRef>
              <c:f>'SteyrSM12-TerminalAscentPHP'!$A$213:$C$213</c:f>
              <c:strCache>
                <c:ptCount val="1"/>
                <c:pt idx="0">
                  <c:v>Hornady 50m Zero BC: G1 0.000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'SteyrSM12-TerminalAscentPHP'!$A$215:$A$255</c:f>
              <c:numCache>
                <c:formatCode>0.00</c:formatCode>
                <c:ptCount val="41"/>
              </c:numCache>
            </c:numRef>
          </c:xVal>
          <c:yVal>
            <c:numRef>
              <c:f>'SteyrSM12-TerminalAscentPHP'!$C$215:$C$255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6A-4313-836E-2D2AF665E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100"/>
        <c:minorUnit val="50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'SteyrSM12-TerminalAscentPHP'!$Q$36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'SteyrSM12-TerminalAscentPHP'!$A$37:$A$50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'SteyrSM12-TerminalAscentPHP'!$Q$37:$Q$50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'SteyrSM12-TerminalAscentPHP'!$R$36</c15:sqref>
                        </c15:formulaRef>
                      </c:ext>
                    </c:extLst>
                    <c:strCache>
                      <c:ptCount val="1"/>
                      <c:pt idx="0">
                        <c:v>100m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5737087044509687"/>
                        <c:y val="5.244559374727605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'SteyrSM12-TerminalAscentPHP'!$A$37:$A$50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'SteyrSM12-TerminalAscentPHP'!$R$37:$R$50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B63-4C6F-8DD4-A492692A9A2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'SteyrSM12-TerminalAscentPHP'!$S$36</c15:sqref>
                        </c15:formulaRef>
                      </c:ext>
                    </c:extLst>
                    <c:strCache>
                      <c:ptCount val="1"/>
                      <c:pt idx="0">
                        <c:v>150m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3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753195865819113"/>
                        <c:y val="1.0701300713794539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'SteyrSM12-TerminalAscentPHP'!$A$37:$A$50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'SteyrSM12-TerminalAscentPHP'!$S$37:$S$50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B63-4C6F-8DD4-A492692A9A2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'SteyrSM12-TerminalAscentPHP'!$T$36</c15:sqref>
                        </c15:formulaRef>
                      </c:ext>
                    </c:extLst>
                    <c:strCache>
                      <c:ptCount val="1"/>
                      <c:pt idx="0">
                        <c:v>200m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4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4839651237668974"/>
                        <c:y val="-1.570870984300394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'SteyrSM12-TerminalAscentPHP'!$A$37:$A$50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'SteyrSM12-TerminalAscentPHP'!$T$37:$T$50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3-4C6F-8DD4-A492692A9A2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'SteyrSM12-TerminalAscentPHP'!$U$36</c15:sqref>
                        </c15:formulaRef>
                      </c:ext>
                    </c:extLst>
                    <c:strCache>
                      <c:ptCount val="1"/>
                      <c:pt idx="0">
                        <c:v>300m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5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9.4550363966246317E-2"/>
                        <c:y val="-8.06479356132144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'SteyrSM12-TerminalAscentPHP'!$A$37:$A$50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'SteyrSM12-TerminalAscentPHP'!$U$37:$U$50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B63-4C6F-8DD4-A492692A9A2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'SteyrSM12-TerminalAscentPHP'!$V$36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'SteyrSM12-TerminalAscentPHP'!$A$37:$A$50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'SteyrSM12-TerminalAscentPHP'!$V$37:$V$50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'SteyrSM12-TerminalAscentPHP'!$AB$36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'SteyrSM12-TerminalAscentPHP'!$A$37:$A$50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'SteyrSM12-TerminalAscentPHP'!$AB$37:$AB$50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  <c:minorUnit val="25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'SteyrSM12-TerminalAscentPHP'!$D$36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'SteyrSM12-TerminalAscentPHP'!$A$38:$A$50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'SteyrSM12-TerminalAscentPHP'!$D$38:$D$47</c:f>
              <c:numCache>
                <c:formatCode>0.000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'SteyrSM12-TerminalAscentPHP'!$E$36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'SteyrSM12-TerminalAscentPHP'!$A$38:$A$50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'SteyrSM12-TerminalAscentPHP'!$E$38:$E$50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'SteyrSM12-TerminalAscentPHP'!$F$36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'SteyrSM12-TerminalAscentPHP'!$A$38:$A$50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'SteyrSM12-TerminalAscentPHP'!$F$38:$F$50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'SteyrSM12-TerminalAscentPHP'!$G$36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'SteyrSM12-TerminalAscentPHP'!$A$38:$A$50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'SteyrSM12-TerminalAscentPHP'!$G$38:$G$50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'SteyrSM12-TerminalAscentPHP'!$H$36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'SteyrSM12-TerminalAscentPHP'!$A$38:$A$50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'SteyrSM12-TerminalAscentPHP'!$H$38:$H$50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'SteyrSM12-TerminalAscentPHP'!$I$36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'SteyrSM12-TerminalAscentPHP'!$A$38:$A$50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'SteyrSM12-TerminalAscentPHP'!$I$38:$I$50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'SteyrSM12-TerminalAscentPHP'!$J$36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'SteyrSM12-TerminalAscentPHP'!$A$38:$A$50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'SteyrSM12-TerminalAscentPHP'!$J$38:$J$50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  <c:minorUnit val="25"/>
      </c:valAx>
      <c:valAx>
        <c:axId val="1264912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Derived Trajectory vs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'SteyrSM12-TerminalAscentPHP'!$Q$36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59574215348320825"/>
                  <c:y val="-0.7186511876847899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'SteyrSM12-TerminalAscentPHP'!$A$37:$A$50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'SteyrSM12-TerminalAscentPHP'!$Q$37:$Q$50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'SteyrSM12-TerminalAscentPHP'!$A$167:$C$167</c:f>
              <c:strCache>
                <c:ptCount val="1"/>
                <c:pt idx="0">
                  <c:v>Federal 50m Zero BC: G1 0.000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'SteyrSM12-TerminalAscentPHP'!$A$169:$A$209</c:f>
              <c:numCache>
                <c:formatCode>0.00</c:formatCode>
                <c:ptCount val="41"/>
              </c:numCache>
            </c:numRef>
          </c:xVal>
          <c:yVal>
            <c:numRef>
              <c:f>'SteyrSM12-TerminalAscentPHP'!$B$169:$B$209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E-42FD-81A1-8D973D292D11}"/>
            </c:ext>
          </c:extLst>
        </c:ser>
        <c:ser>
          <c:idx val="2"/>
          <c:order val="2"/>
          <c:tx>
            <c:strRef>
              <c:f>'SteyrSM12-TerminalAscentPHP'!$A$213:$C$213</c:f>
              <c:strCache>
                <c:ptCount val="1"/>
                <c:pt idx="0">
                  <c:v>Hornady 50m Zero BC: G1 0.000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'SteyrSM12-TerminalAscentPHP'!$A$215:$A$255</c:f>
              <c:numCache>
                <c:formatCode>0.00</c:formatCode>
                <c:ptCount val="41"/>
              </c:numCache>
            </c:numRef>
          </c:xVal>
          <c:yVal>
            <c:numRef>
              <c:f>'SteyrSM12-TerminalAscentPHP'!$D$215:$D$255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F-4FA2-A516-20623E9F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'SteyrSM12-TerminalAscentPHP'!$A$167:$C$167</c:f>
              <c:strCache>
                <c:ptCount val="1"/>
                <c:pt idx="0">
                  <c:v>Federal 50m Zero BC: G1 0.000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'SteyrSM12-TerminalAscentPHP'!$A$169:$A$209</c:f>
              <c:numCache>
                <c:formatCode>0.00</c:formatCode>
                <c:ptCount val="41"/>
              </c:numCache>
            </c:numRef>
          </c:xVal>
          <c:yVal>
            <c:numRef>
              <c:f>'SteyrSM12-TerminalAscentPHP'!$E$169:$E$209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'SteyrSM12-TerminalAscentPHP'!$P$35</c15:sqref>
                        </c15:formulaRef>
                      </c:ext>
                    </c:extLst>
                    <c:strCache>
                      <c:ptCount val="1"/>
                      <c:pt idx="0">
                        <c:v>Calculated Wind Drift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intercept val="0"/>
                  <c:dispRSqr val="1"/>
                  <c:dispEq val="1"/>
                  <c:trendlineLbl>
                    <c:layout>
                      <c:manualLayout>
                        <c:x val="0.19035499218762028"/>
                        <c:y val="-6.5930810846954934E-3"/>
                      </c:manualLayout>
                    </c:layout>
                    <c:numFmt formatCode="0.000000E+00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errBars>
                  <c:errDir val="x"/>
                  <c:errBarType val="both"/>
                  <c:errValType val="fixedVal"/>
                  <c:noEndCap val="0"/>
                  <c:val val="0.1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errBars>
                  <c:errDir val="y"/>
                  <c:errBarType val="both"/>
                  <c:errValType val="percentage"/>
                  <c:noEndCap val="0"/>
                  <c:val val="5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'SteyrSM12-TerminalAscentPHP'!$A$37:$A$50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'SteyrSM12-TerminalAscentPHP'!$P$37:$P$50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97C-4C30-9526-CF0AB949A2CB}"/>
                  </c:ext>
                </c:extLst>
              </c15:ser>
            </c15:filteredScatterSeries>
          </c:ext>
        </c:extLst>
      </c:scatterChart>
      <c:valAx>
        <c:axId val="1135719375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  <c:minorUnit val="25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60</xdr:row>
      <xdr:rowOff>152400</xdr:rowOff>
    </xdr:from>
    <xdr:to>
      <xdr:col>10</xdr:col>
      <xdr:colOff>1085850</xdr:colOff>
      <xdr:row>99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400049</xdr:colOff>
      <xdr:row>60</xdr:row>
      <xdr:rowOff>190499</xdr:rowOff>
    </xdr:from>
    <xdr:to>
      <xdr:col>36</xdr:col>
      <xdr:colOff>76200</xdr:colOff>
      <xdr:row>99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361950</xdr:colOff>
      <xdr:row>60</xdr:row>
      <xdr:rowOff>133350</xdr:rowOff>
    </xdr:from>
    <xdr:to>
      <xdr:col>22</xdr:col>
      <xdr:colOff>61913</xdr:colOff>
      <xdr:row>99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80962</xdr:colOff>
      <xdr:row>199</xdr:row>
      <xdr:rowOff>38098</xdr:rowOff>
    </xdr:from>
    <xdr:to>
      <xdr:col>23</xdr:col>
      <xdr:colOff>809625</xdr:colOff>
      <xdr:row>239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266700</xdr:colOff>
      <xdr:row>60</xdr:row>
      <xdr:rowOff>161924</xdr:rowOff>
    </xdr:from>
    <xdr:to>
      <xdr:col>54</xdr:col>
      <xdr:colOff>204788</xdr:colOff>
      <xdr:row>98</xdr:row>
      <xdr:rowOff>171449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eet3"/>
  <dimension ref="A1:AE327"/>
  <sheetViews>
    <sheetView tabSelected="1" topLeftCell="A21" workbookViewId="0">
      <selection activeCell="AC37" sqref="AC37"/>
    </sheetView>
  </sheetViews>
  <sheetFormatPr defaultRowHeight="15" x14ac:dyDescent="0.25"/>
  <cols>
    <col min="1" max="1" width="43.5703125" customWidth="1"/>
    <col min="2" max="2" width="22.5703125" customWidth="1"/>
    <col min="3" max="3" width="22" customWidth="1"/>
    <col min="4" max="4" width="16.42578125" customWidth="1"/>
    <col min="5" max="5" width="20.42578125" customWidth="1"/>
    <col min="6" max="6" width="20.5703125" customWidth="1"/>
    <col min="7" max="7" width="15.28515625" customWidth="1"/>
    <col min="8" max="8" width="17.42578125" customWidth="1"/>
    <col min="9" max="9" width="19.140625" customWidth="1"/>
    <col min="10" max="10" width="16.5703125" customWidth="1"/>
    <col min="11" max="11" width="16.85546875" customWidth="1"/>
    <col min="12" max="12" width="16.28515625" customWidth="1"/>
    <col min="13" max="13" width="15.5703125" customWidth="1"/>
    <col min="14" max="14" width="13.7109375" customWidth="1"/>
    <col min="15" max="15" width="16" customWidth="1"/>
    <col min="16" max="16" width="14.85546875" customWidth="1"/>
    <col min="17" max="17" width="14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9.140625" customWidth="1"/>
    <col min="31" max="31" width="15.140625" customWidth="1"/>
    <col min="32" max="32" width="17" customWidth="1"/>
  </cols>
  <sheetData>
    <row r="1" spans="1:15" x14ac:dyDescent="0.25">
      <c r="A1" s="23" t="s">
        <v>51</v>
      </c>
      <c r="B1" s="23" t="s">
        <v>16</v>
      </c>
      <c r="C1" s="23" t="s">
        <v>54</v>
      </c>
      <c r="D1" s="23" t="s">
        <v>52</v>
      </c>
      <c r="E1" s="23" t="s">
        <v>53</v>
      </c>
      <c r="F1" s="63" t="s">
        <v>56</v>
      </c>
      <c r="G1" s="63"/>
      <c r="H1" s="63"/>
    </row>
    <row r="2" spans="1:15" x14ac:dyDescent="0.25">
      <c r="A2" t="s">
        <v>55</v>
      </c>
      <c r="B2" s="16" t="s">
        <v>97</v>
      </c>
      <c r="C2" s="16" t="s">
        <v>83</v>
      </c>
      <c r="D2" s="16" t="s">
        <v>98</v>
      </c>
      <c r="E2" s="16" t="s">
        <v>99</v>
      </c>
    </row>
    <row r="3" spans="1:15" x14ac:dyDescent="0.25">
      <c r="B3" s="16"/>
      <c r="C3" s="16"/>
      <c r="D3" s="16"/>
      <c r="E3" s="16"/>
    </row>
    <row r="4" spans="1:15" x14ac:dyDescent="0.25">
      <c r="A4" t="s">
        <v>100</v>
      </c>
      <c r="B4" s="16" t="s">
        <v>101</v>
      </c>
      <c r="C4" s="16" t="s">
        <v>102</v>
      </c>
      <c r="D4" s="16"/>
      <c r="E4" s="16"/>
    </row>
    <row r="5" spans="1:15" x14ac:dyDescent="0.25">
      <c r="A5" s="26" t="s">
        <v>36</v>
      </c>
      <c r="B5" s="53">
        <v>0.5</v>
      </c>
      <c r="C5" s="54"/>
    </row>
    <row r="6" spans="1:15" x14ac:dyDescent="0.25">
      <c r="A6" s="26" t="s">
        <v>87</v>
      </c>
      <c r="B6" s="53">
        <f>IF(ISBLANK($B$5),"",2*$B$5)</f>
        <v>1</v>
      </c>
      <c r="C6" s="54"/>
    </row>
    <row r="7" spans="1:15" x14ac:dyDescent="0.25">
      <c r="A7" s="26" t="s">
        <v>37</v>
      </c>
      <c r="B7" s="53" cm="1">
        <f t="array" ref="B7">IF(ISBLANK($B$5),"",MOAToMRAD($B$5))</f>
        <v>0.14544410433286079</v>
      </c>
      <c r="C7" s="54">
        <f>IF(ISBLANK($B$5), "",$B$7/2)</f>
        <v>7.2722052166430393E-2</v>
      </c>
    </row>
    <row r="8" spans="1:15" x14ac:dyDescent="0.25">
      <c r="A8" s="26" t="s">
        <v>88</v>
      </c>
      <c r="B8" s="53" cm="1">
        <f t="array" ref="B8">IF(ISBLANK($B$5),"",MOAToMRAD($B$6))</f>
        <v>0.29088820866572157</v>
      </c>
      <c r="C8" s="54">
        <f>IF(ISBLANK($B$5), "",$B$8/2)</f>
        <v>0.14544410433286079</v>
      </c>
    </row>
    <row r="9" spans="1:15" x14ac:dyDescent="0.25">
      <c r="A9" s="26" t="s">
        <v>43</v>
      </c>
      <c r="B9" s="52"/>
      <c r="C9" s="52" cm="1">
        <f t="array" ref="C9">IF(ISBLANK($B$5),"",ProbableAngularPOIError(B7,B8,1,0.68))</f>
        <v>2.4633272332828113E-2</v>
      </c>
    </row>
    <row r="10" spans="1:15" x14ac:dyDescent="0.25">
      <c r="A10" s="26"/>
      <c r="B10" s="52"/>
      <c r="C10" s="52"/>
    </row>
    <row r="11" spans="1:15" x14ac:dyDescent="0.25">
      <c r="A11" s="26" t="s">
        <v>74</v>
      </c>
      <c r="B11" s="53">
        <v>1.5</v>
      </c>
      <c r="C11" s="54">
        <f>IF(ISBLANK($B$11),"",CONVERT($B$11, "in","cm"))</f>
        <v>3.81</v>
      </c>
      <c r="D11" s="2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 x14ac:dyDescent="0.25">
      <c r="A12" s="26" t="s">
        <v>3</v>
      </c>
      <c r="B12" s="64" t="s">
        <v>103</v>
      </c>
      <c r="C12" s="64"/>
      <c r="D12" s="64"/>
      <c r="E12" s="64"/>
    </row>
    <row r="13" spans="1:15" x14ac:dyDescent="0.25">
      <c r="A13" s="26" t="s">
        <v>92</v>
      </c>
      <c r="B13" s="53">
        <v>0.125</v>
      </c>
    </row>
    <row r="14" spans="1:15" x14ac:dyDescent="0.25">
      <c r="A14" s="26" t="s">
        <v>93</v>
      </c>
      <c r="B14" s="53">
        <v>4</v>
      </c>
    </row>
    <row r="16" spans="1:15" ht="30" x14ac:dyDescent="0.25">
      <c r="A16" s="24" t="s">
        <v>44</v>
      </c>
      <c r="B16" s="53"/>
      <c r="C16" s="52" t="str">
        <f>IF(ISBLANK($B$16), "", CONVERT($B$16,"grain","g"))</f>
        <v/>
      </c>
      <c r="E16" s="34" t="s">
        <v>44</v>
      </c>
      <c r="F16" s="53"/>
      <c r="G16" s="52" t="str">
        <f>IF(ISBLANK($F$16), "",CONVERT($F$16,"grain","g"))</f>
        <v/>
      </c>
    </row>
    <row r="17" spans="1:30" x14ac:dyDescent="0.25">
      <c r="A17" s="24" t="s">
        <v>45</v>
      </c>
      <c r="B17" s="53"/>
      <c r="C17" s="54" t="str">
        <f>IF(ISBLANK($B$17),"",CONVERT($B$17,"in","mm"))</f>
        <v/>
      </c>
      <c r="E17" s="34" t="s">
        <v>45</v>
      </c>
      <c r="F17" s="53"/>
      <c r="G17" s="52" t="str">
        <f>IF(ISBLANK($F$17),"",CONVERT($F$17,"in","mm"))</f>
        <v/>
      </c>
    </row>
    <row r="18" spans="1:30" x14ac:dyDescent="0.25">
      <c r="A18" s="24" t="s">
        <v>9</v>
      </c>
      <c r="B18" s="53"/>
      <c r="C18" s="54"/>
      <c r="E18" s="34" t="s">
        <v>9</v>
      </c>
      <c r="F18" s="53"/>
      <c r="G18" s="2"/>
    </row>
    <row r="19" spans="1:30" x14ac:dyDescent="0.25">
      <c r="A19" s="24" t="s">
        <v>17</v>
      </c>
      <c r="B19" s="53"/>
      <c r="C19" s="54"/>
      <c r="E19" s="34" t="s">
        <v>17</v>
      </c>
      <c r="F19" s="53"/>
      <c r="G19" s="2"/>
    </row>
    <row r="20" spans="1:30" ht="30" x14ac:dyDescent="0.25">
      <c r="A20" s="24" t="s">
        <v>57</v>
      </c>
      <c r="B20" s="53"/>
      <c r="C20" s="54" t="str">
        <f>IF(ISBLANK($B$20), "",CONVERT($B$20,"J","flb"))</f>
        <v/>
      </c>
      <c r="E20" s="34" t="s">
        <v>46</v>
      </c>
      <c r="F20" s="52" t="str" cm="1">
        <f t="array" ref="F20">IF(OR(ISBLANK(F21),ISBLANK(F16)), "", MuzzleVelocityToMuzzleEnergyFtLb(F21,F16))</f>
        <v/>
      </c>
      <c r="G20" s="52" t="str" cm="1">
        <f t="array" ref="G20">IF(OR(ISBLANK(F16),ISBLANK(F21)), "", MuzzleVelocityToMuzzleEnergyJoules(G21,G16))</f>
        <v/>
      </c>
    </row>
    <row r="21" spans="1:30" ht="45" x14ac:dyDescent="0.25">
      <c r="A21" s="24" t="s">
        <v>58</v>
      </c>
      <c r="B21" s="53" t="str" cm="1">
        <f t="array" ref="B21">IF(OR(ISBLANK(B20),ISBLANK(B16)),"",MuzzleEnergyToMuzzleVelocityMPS(B20,C16))</f>
        <v/>
      </c>
      <c r="C21" s="54" t="str" cm="1">
        <f t="array" ref="C21">IF(OR(ISBLANK(B20),ISBLANK(B16)), "", MuzzleEnergyToMuzzleVelocityFPS(C20,B16))</f>
        <v/>
      </c>
      <c r="E21" s="34" t="s">
        <v>47</v>
      </c>
      <c r="F21" s="53"/>
      <c r="G21" s="52" t="str">
        <f>IF(ISBLANK($F$21), "", CONVERT($F$21,"ft","m"))</f>
        <v/>
      </c>
    </row>
    <row r="23" spans="1:30" x14ac:dyDescent="0.25">
      <c r="A23" s="24" t="s">
        <v>0</v>
      </c>
      <c r="B23" s="53"/>
      <c r="C23" s="54"/>
    </row>
    <row r="24" spans="1:30" x14ac:dyDescent="0.25">
      <c r="A24" s="24" t="s">
        <v>89</v>
      </c>
      <c r="B24" s="53"/>
      <c r="C24" s="54" t="str">
        <f>IF(ISBLANK($B$24),"",CONVERT($B$24,"m/sec","km/hr"))</f>
        <v/>
      </c>
    </row>
    <row r="25" spans="1:30" x14ac:dyDescent="0.25">
      <c r="A25" s="24" t="s">
        <v>1</v>
      </c>
      <c r="B25" s="53"/>
      <c r="C25" s="54"/>
    </row>
    <row r="28" spans="1:30" x14ac:dyDescent="0.25">
      <c r="A28" s="26"/>
      <c r="D28" s="63" t="s">
        <v>94</v>
      </c>
      <c r="E28" s="63"/>
    </row>
    <row r="29" spans="1:30" x14ac:dyDescent="0.25">
      <c r="A29" s="25" t="s">
        <v>38</v>
      </c>
      <c r="B29" s="23" t="s">
        <v>39</v>
      </c>
      <c r="C29" s="23" t="s">
        <v>40</v>
      </c>
      <c r="D29" s="23" t="s">
        <v>41</v>
      </c>
      <c r="E29" s="23" t="s">
        <v>42</v>
      </c>
    </row>
    <row r="30" spans="1:30" x14ac:dyDescent="0.25">
      <c r="A30" s="26" t="s">
        <v>95</v>
      </c>
      <c r="B30" s="55">
        <v>0.25</v>
      </c>
      <c r="C30" s="32">
        <f>IF(ISBLANK($B30),"",$B30/2)</f>
        <v>0.125</v>
      </c>
      <c r="D30" s="7">
        <f>IF(OR(ISBLANK($B30),ISBLANK($B$14)),"", $B30 * $B$14)</f>
        <v>1</v>
      </c>
      <c r="E30" s="57">
        <f>IF(OR(ISBLANK($B30),ISBLANK($B$14)),"", $C30 * $B$14)</f>
        <v>0.5</v>
      </c>
    </row>
    <row r="31" spans="1:30" x14ac:dyDescent="0.25">
      <c r="A31" s="26" t="s">
        <v>96</v>
      </c>
      <c r="B31" s="55">
        <v>0.5</v>
      </c>
      <c r="C31" s="32">
        <f>IF(ISBLANK($B31),"",$B31/2)</f>
        <v>0.25</v>
      </c>
      <c r="D31" s="7">
        <f>IF(OR(ISBLANK($B31),ISBLANK($B$14)),"", $B31 * $B$14)</f>
        <v>2</v>
      </c>
      <c r="E31" s="57">
        <f>IF(OR(ISBLANK($B31),ISBLANK($B$14)),"", $C31 * $B$14)</f>
        <v>1</v>
      </c>
      <c r="P31" s="63" t="s">
        <v>59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23" t="s">
        <v>90</v>
      </c>
      <c r="AD31" s="23" t="s">
        <v>91</v>
      </c>
    </row>
    <row r="32" spans="1:30" x14ac:dyDescent="0.25">
      <c r="A32" s="59" t="s">
        <v>43</v>
      </c>
      <c r="B32" s="56"/>
      <c r="C32" s="7" cm="1">
        <f t="array" ref="C32">IF(ISBLANK($B$14),"",ProbableAngularPOIError(B30,B31,B13,0.68))</f>
        <v>0.24918257949682657</v>
      </c>
      <c r="D32" s="7"/>
      <c r="E32" s="58" cm="1">
        <f t="array" ref="E32">IF(OR(ISBLANK($B$5),ISBLANK($B30),ISBLANK($B31)),"",ProbableAngularPOIError(D30,D31,C7,0.68))</f>
        <v>1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">
        <v>1</v>
      </c>
      <c r="AB32" s="2">
        <v>1</v>
      </c>
      <c r="AC32" s="52">
        <f>AVERAGE(Q32:AB32)</f>
        <v>1</v>
      </c>
      <c r="AD32" s="52">
        <f>_xlfn.STDEV.S(Q32:AB32)</f>
        <v>0</v>
      </c>
    </row>
    <row r="33" spans="1:29" x14ac:dyDescent="0.25"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9" x14ac:dyDescent="0.25">
      <c r="A34" s="17"/>
      <c r="B34" s="18"/>
      <c r="C34" s="2"/>
      <c r="D34" s="2"/>
      <c r="E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</row>
    <row r="35" spans="1:29" ht="30" x14ac:dyDescent="0.25">
      <c r="C35" s="51" t="s">
        <v>48</v>
      </c>
      <c r="D35" s="28" t="s">
        <v>19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50" t="s">
        <v>50</v>
      </c>
      <c r="Q35" s="62" t="s">
        <v>20</v>
      </c>
      <c r="R35" s="62"/>
      <c r="S35" s="62"/>
      <c r="T35" s="62"/>
      <c r="U35" s="62"/>
      <c r="V35" s="28"/>
      <c r="W35" s="28"/>
      <c r="X35" s="28"/>
      <c r="Y35" s="28"/>
      <c r="Z35" s="28"/>
      <c r="AA35" s="28"/>
      <c r="AB35" s="28"/>
      <c r="AC35" s="29" t="s">
        <v>21</v>
      </c>
    </row>
    <row r="36" spans="1:29" x14ac:dyDescent="0.25">
      <c r="A36" s="23" t="s">
        <v>2</v>
      </c>
      <c r="B36" s="23" t="s">
        <v>18</v>
      </c>
      <c r="C36" s="27" t="s">
        <v>49</v>
      </c>
      <c r="D36" s="27" t="s">
        <v>4</v>
      </c>
      <c r="E36" s="27" t="s">
        <v>5</v>
      </c>
      <c r="F36" s="27" t="s">
        <v>6</v>
      </c>
      <c r="G36" s="27" t="s">
        <v>7</v>
      </c>
      <c r="H36" s="27" t="s">
        <v>8</v>
      </c>
      <c r="I36" s="27" t="s">
        <v>23</v>
      </c>
      <c r="J36" s="27" t="s">
        <v>24</v>
      </c>
      <c r="K36" s="27" t="s">
        <v>62</v>
      </c>
      <c r="L36" s="27" t="s">
        <v>63</v>
      </c>
      <c r="M36" s="27" t="s">
        <v>64</v>
      </c>
      <c r="N36" s="27" t="s">
        <v>65</v>
      </c>
      <c r="O36" s="27" t="s">
        <v>66</v>
      </c>
      <c r="P36" s="31" t="s">
        <v>22</v>
      </c>
      <c r="Q36" s="30" t="s">
        <v>4</v>
      </c>
      <c r="R36" s="30" t="s">
        <v>5</v>
      </c>
      <c r="S36" s="30" t="s">
        <v>6</v>
      </c>
      <c r="T36" s="30" t="s">
        <v>7</v>
      </c>
      <c r="U36" s="30" t="s">
        <v>8</v>
      </c>
      <c r="V36" s="30" t="s">
        <v>23</v>
      </c>
      <c r="W36" s="31" t="s">
        <v>67</v>
      </c>
      <c r="X36" s="31" t="s">
        <v>62</v>
      </c>
      <c r="Y36" s="31" t="s">
        <v>63</v>
      </c>
      <c r="Z36" s="31" t="s">
        <v>64</v>
      </c>
      <c r="AA36" s="31" t="s">
        <v>65</v>
      </c>
      <c r="AB36" s="31" t="s">
        <v>66</v>
      </c>
      <c r="AC36" s="29" t="s">
        <v>22</v>
      </c>
    </row>
    <row r="37" spans="1:29" x14ac:dyDescent="0.25">
      <c r="A37" s="1">
        <v>0</v>
      </c>
      <c r="B37" s="1"/>
      <c r="C37" s="12">
        <v>0</v>
      </c>
      <c r="D37" s="3"/>
      <c r="E37" s="4"/>
      <c r="F37" s="4"/>
      <c r="G37" s="4"/>
      <c r="H37" s="5"/>
      <c r="I37" s="5"/>
      <c r="J37" s="4"/>
      <c r="K37" s="4"/>
      <c r="L37" s="4"/>
      <c r="M37" s="4"/>
      <c r="N37" s="4"/>
      <c r="O37" s="4"/>
      <c r="P37" s="22" cm="1">
        <f t="array" ref="P37">TrajectoryInCM(C37,$A37,P$32)</f>
        <v>0</v>
      </c>
      <c r="Q37" s="8">
        <f>$C$11*(-1)</f>
        <v>-3.81</v>
      </c>
      <c r="R37" s="8">
        <f>$C$11*(-1)</f>
        <v>-3.81</v>
      </c>
      <c r="S37" s="8">
        <f>$C$11*(-1)</f>
        <v>-3.81</v>
      </c>
      <c r="T37" s="8">
        <f>$C$11*(-1)</f>
        <v>-3.81</v>
      </c>
      <c r="U37" s="8">
        <f>$C$11*(-1)</f>
        <v>-3.81</v>
      </c>
      <c r="V37" s="8">
        <f>$C$11*(-1)</f>
        <v>-3.81</v>
      </c>
      <c r="W37" s="19">
        <f>$C$11*(-1)</f>
        <v>-3.81</v>
      </c>
      <c r="X37" s="19">
        <f>$C$11*(-1)</f>
        <v>-3.81</v>
      </c>
      <c r="Y37" s="19">
        <f>$C$11*(-1)</f>
        <v>-3.81</v>
      </c>
      <c r="Z37" s="19">
        <f>$C$11*(-1)</f>
        <v>-3.81</v>
      </c>
      <c r="AA37" s="19">
        <f>$C$11*(-1)</f>
        <v>-3.81</v>
      </c>
      <c r="AB37" s="19">
        <f>$C$11*(-1)</f>
        <v>-3.81</v>
      </c>
      <c r="AC37" s="20" cm="1">
        <f t="array" ref="AC37">IF(ISBLANK($B$5),"",TrajectoryErrorCM($C$9,1,$A37))</f>
        <v>0</v>
      </c>
    </row>
    <row r="38" spans="1:29" x14ac:dyDescent="0.25">
      <c r="A38" s="1">
        <v>25</v>
      </c>
      <c r="B38" s="1"/>
      <c r="C38" s="10"/>
      <c r="D38" s="6"/>
      <c r="E38" s="6"/>
      <c r="F38" s="6"/>
      <c r="G38" s="6"/>
      <c r="H38" s="6"/>
      <c r="I38" s="6"/>
      <c r="J38" s="10"/>
      <c r="K38" s="10"/>
      <c r="L38" s="10"/>
      <c r="M38" s="10"/>
      <c r="N38" s="10"/>
      <c r="O38" s="10"/>
      <c r="P38" s="21" t="str" cm="1">
        <f t="array" ref="P38">IF(OR(ISBLANK($A38),ISBLANK(C38)), "", TrajectoryInCM(C38,$A38,P$32))</f>
        <v/>
      </c>
      <c r="Q38" s="9" t="str" cm="1">
        <f t="array" ref="Q38">IF(OR(ISBLANK($A38),ISBLANK(D38)), "", TrajectoryInCM(D38,$A38,Q$32))</f>
        <v/>
      </c>
      <c r="R38" s="9" t="str" cm="1">
        <f t="array" ref="R38">IF(OR(ISBLANK($A38),ISBLANK(E38)), "", TrajectoryInCM(E38,$A38,R$32))</f>
        <v/>
      </c>
      <c r="S38" s="9" t="str" cm="1">
        <f t="array" ref="S38">IF(OR(ISBLANK($A38),ISBLANK(F38)), "", TrajectoryInCM(F38,$A38,S$32))</f>
        <v/>
      </c>
      <c r="T38" s="9" t="str" cm="1">
        <f t="array" ref="T38">IF(OR(ISBLANK($A38),ISBLANK(G38)), "", TrajectoryInCM(G38,$A38,T$32))</f>
        <v/>
      </c>
      <c r="U38" s="9" t="str" cm="1">
        <f t="array" ref="U38">IF(OR(ISBLANK($A38),ISBLANK(H38)), "", TrajectoryInCM(H38,$A38,U$32))</f>
        <v/>
      </c>
      <c r="V38" s="9" t="str" cm="1">
        <f t="array" ref="V38">IF(OR(ISBLANK($A38),ISBLANK(I38)), "", TrajectoryInCM(I38,$A38,V$32))</f>
        <v/>
      </c>
      <c r="W38" s="21" t="str" cm="1">
        <f t="array" ref="W38">IF(OR(ISBLANK($A38),ISBLANK(J38)), "", TrajectoryInCM(J38,$A38,W$32))</f>
        <v/>
      </c>
      <c r="X38" s="21" t="str" cm="1">
        <f t="array" ref="X38">IF(OR(ISBLANK($A38),ISBLANK(K38)), "", TrajectoryInCM(K38,$A38,X$32))</f>
        <v/>
      </c>
      <c r="Y38" s="21" t="str" cm="1">
        <f t="array" ref="Y38">IF(OR(ISBLANK($A38),ISBLANK(L38)), "", TrajectoryInCM(L38,$A38,Y$32))</f>
        <v/>
      </c>
      <c r="Z38" s="21" t="str" cm="1">
        <f t="array" ref="Z38">IF(OR(ISBLANK($A38),ISBLANK(M38)), "", TrajectoryInCM(M38,$A38,Z$32))</f>
        <v/>
      </c>
      <c r="AA38" s="21" t="str" cm="1">
        <f t="array" ref="AA38">IF(OR(ISBLANK($A38),ISBLANK(N38)), "", TrajectoryInCM(N38,$A38,AA$32))</f>
        <v/>
      </c>
      <c r="AB38" s="21" t="str" cm="1">
        <f t="array" ref="AB38">IF(OR(ISBLANK($A38),ISBLANK(O38)), "", TrajectoryInCM(O38,$A38,AB$32))</f>
        <v/>
      </c>
      <c r="AC38" s="20" cm="1">
        <f t="array" ref="AC38">IF(ISBLANK($B$5),"",TrajectoryErrorCM($C$9,1,$A38))</f>
        <v>6.1583180832070282E-2</v>
      </c>
    </row>
    <row r="39" spans="1:29" x14ac:dyDescent="0.25">
      <c r="A39" s="1">
        <v>50</v>
      </c>
      <c r="B39" s="1"/>
      <c r="C39" s="10"/>
      <c r="D39" s="7"/>
      <c r="E39" s="6"/>
      <c r="F39" s="6"/>
      <c r="G39" s="6"/>
      <c r="H39" s="6"/>
      <c r="I39" s="6"/>
      <c r="J39" s="10"/>
      <c r="K39" s="10"/>
      <c r="L39" s="10"/>
      <c r="M39" s="10"/>
      <c r="N39" s="10"/>
      <c r="O39" s="10"/>
      <c r="P39" s="21" t="str" cm="1">
        <f t="array" ref="P39">IF(OR(ISBLANK($A39),ISBLANK(C39)), "", TrajectoryInCM(C39,$A39,P$32))</f>
        <v/>
      </c>
      <c r="Q39" s="7" t="str" cm="1">
        <f t="array" ref="Q39">IF(OR(ISBLANK($A39),ISBLANK(D39)), "", TrajectoryInCM(D39,$A39,Q$32))</f>
        <v/>
      </c>
      <c r="R39" s="6" t="str" cm="1">
        <f t="array" ref="R39">IF(OR(ISBLANK($A39),ISBLANK(E39)), "", TrajectoryInCM(E39,$A39,R$32))</f>
        <v/>
      </c>
      <c r="S39" s="6" t="str" cm="1">
        <f t="array" ref="S39">IF(OR(ISBLANK($A39),ISBLANK(F39)), "", TrajectoryInCM(F39,$A39,S$32))</f>
        <v/>
      </c>
      <c r="T39" s="6" t="str" cm="1">
        <f t="array" ref="T39">IF(OR(ISBLANK($A39),ISBLANK(G39)), "", TrajectoryInCM(G39,$A39,T$32))</f>
        <v/>
      </c>
      <c r="U39" s="6" t="str" cm="1">
        <f t="array" ref="U39">IF(OR(ISBLANK($A39),ISBLANK(H39)), "", TrajectoryInCM(H39,$A39,U$32))</f>
        <v/>
      </c>
      <c r="V39" s="6" t="str" cm="1">
        <f t="array" ref="V39">IF(OR(ISBLANK($A39),ISBLANK(I39)), "", TrajectoryInCM(I39,$A39,V$32))</f>
        <v/>
      </c>
      <c r="W39" s="10" t="str" cm="1">
        <f t="array" ref="W39">IF(OR(ISBLANK($A39),ISBLANK(J39)), "", TrajectoryInCM(J39,$A39,W$32))</f>
        <v/>
      </c>
      <c r="X39" s="10" t="str" cm="1">
        <f t="array" ref="X39">IF(OR(ISBLANK($A39),ISBLANK(K39)), "", TrajectoryInCM(K39,$A39,X$32))</f>
        <v/>
      </c>
      <c r="Y39" s="10" t="str" cm="1">
        <f t="array" ref="Y39">IF(OR(ISBLANK($A39),ISBLANK(L39)), "", TrajectoryInCM(L39,$A39,Y$32))</f>
        <v/>
      </c>
      <c r="Z39" s="10" t="str" cm="1">
        <f t="array" ref="Z39">IF(OR(ISBLANK($A39),ISBLANK(M39)), "", TrajectoryInCM(M39,$A39,Z$32))</f>
        <v/>
      </c>
      <c r="AA39" s="10" t="str" cm="1">
        <f t="array" ref="AA39">IF(OR(ISBLANK($A39),ISBLANK(N39)), "", TrajectoryInCM(N39,$A39,AA$32))</f>
        <v/>
      </c>
      <c r="AB39" s="10" t="str" cm="1">
        <f t="array" ref="AB39">IF(OR(ISBLANK($A39),ISBLANK(O39)), "", TrajectoryInCM(O39,$A39,AB$32))</f>
        <v/>
      </c>
      <c r="AC39" s="20" cm="1">
        <f t="array" ref="AC39">IF(ISBLANK($B$5),"",TrajectoryErrorCM($C$9,1,$A39))</f>
        <v>0.12316636166414056</v>
      </c>
    </row>
    <row r="40" spans="1:29" x14ac:dyDescent="0.25">
      <c r="A40" s="1">
        <v>75</v>
      </c>
      <c r="B40" s="1"/>
      <c r="C40" s="10"/>
      <c r="D40" s="6"/>
      <c r="E40" s="6"/>
      <c r="F40" s="6"/>
      <c r="G40" s="6"/>
      <c r="H40" s="6"/>
      <c r="I40" s="6"/>
      <c r="J40" s="10"/>
      <c r="K40" s="10"/>
      <c r="L40" s="10"/>
      <c r="M40" s="10"/>
      <c r="N40" s="10"/>
      <c r="O40" s="10"/>
      <c r="P40" s="21" t="str" cm="1">
        <f t="array" ref="P40">IF(OR(ISBLANK($A40),ISBLANK(C40)), "", TrajectoryInCM(C40,$A40,P$32))</f>
        <v/>
      </c>
      <c r="Q40" s="6" t="str" cm="1">
        <f t="array" ref="Q40">IF(OR(ISBLANK($A40),ISBLANK(D40)), "", TrajectoryInCM(D40,$A40,Q$32))</f>
        <v/>
      </c>
      <c r="R40" s="6" t="str" cm="1">
        <f t="array" ref="R40">IF(OR(ISBLANK($A40),ISBLANK(E40)), "", TrajectoryInCM(E40,$A40,R$32))</f>
        <v/>
      </c>
      <c r="S40" s="6" t="str" cm="1">
        <f t="array" ref="S40">IF(OR(ISBLANK($A40),ISBLANK(F40)), "", TrajectoryInCM(F40,$A40,S$32))</f>
        <v/>
      </c>
      <c r="T40" s="6" t="str" cm="1">
        <f t="array" ref="T40">IF(OR(ISBLANK($A40),ISBLANK(G40)), "", TrajectoryInCM(G40,$A40,T$32))</f>
        <v/>
      </c>
      <c r="U40" s="6" t="str" cm="1">
        <f t="array" ref="U40">IF(OR(ISBLANK($A40),ISBLANK(H40)), "", TrajectoryInCM(H40,$A40,U$32))</f>
        <v/>
      </c>
      <c r="V40" s="6" t="str" cm="1">
        <f t="array" ref="V40">IF(OR(ISBLANK($A40),ISBLANK(I40)), "", TrajectoryInCM(I40,$A40,V$32))</f>
        <v/>
      </c>
      <c r="W40" s="10" t="str" cm="1">
        <f t="array" ref="W40">IF(OR(ISBLANK($A40),ISBLANK(J40)), "", TrajectoryInCM(J40,$A40,W$32))</f>
        <v/>
      </c>
      <c r="X40" s="10" t="str" cm="1">
        <f t="array" ref="X40">IF(OR(ISBLANK($A40),ISBLANK(K40)), "", TrajectoryInCM(K40,$A40,X$32))</f>
        <v/>
      </c>
      <c r="Y40" s="10" t="str" cm="1">
        <f t="array" ref="Y40">IF(OR(ISBLANK($A40),ISBLANK(L40)), "", TrajectoryInCM(L40,$A40,Y$32))</f>
        <v/>
      </c>
      <c r="Z40" s="10" t="str" cm="1">
        <f t="array" ref="Z40">IF(OR(ISBLANK($A40),ISBLANK(M40)), "", TrajectoryInCM(M40,$A40,Z$32))</f>
        <v/>
      </c>
      <c r="AA40" s="10" t="str" cm="1">
        <f t="array" ref="AA40">IF(OR(ISBLANK($A40),ISBLANK(N40)), "", TrajectoryInCM(N40,$A40,AA$32))</f>
        <v/>
      </c>
      <c r="AB40" s="10" t="str" cm="1">
        <f t="array" ref="AB40">IF(OR(ISBLANK($A40),ISBLANK(O40)), "", TrajectoryInCM(O40,$A40,AB$32))</f>
        <v/>
      </c>
      <c r="AC40" s="20" cm="1">
        <f t="array" ref="AC40">IF(ISBLANK($B$5),"",TrajectoryErrorCM($C$9,1,$A40))</f>
        <v>0.18474954249621084</v>
      </c>
    </row>
    <row r="41" spans="1:29" x14ac:dyDescent="0.25">
      <c r="A41" s="1">
        <v>100</v>
      </c>
      <c r="B41" s="1"/>
      <c r="C41" s="10"/>
      <c r="D41" s="6"/>
      <c r="E41" s="7"/>
      <c r="F41" s="6"/>
      <c r="G41" s="6"/>
      <c r="H41" s="6"/>
      <c r="I41" s="6"/>
      <c r="J41" s="10"/>
      <c r="K41" s="10"/>
      <c r="L41" s="10"/>
      <c r="M41" s="10"/>
      <c r="N41" s="10"/>
      <c r="O41" s="10"/>
      <c r="P41" s="21" t="str" cm="1">
        <f t="array" ref="P41">IF(OR(ISBLANK($A41),ISBLANK(C41)), "", TrajectoryInCM(C41,$A41,P$32))</f>
        <v/>
      </c>
      <c r="Q41" s="6" t="str" cm="1">
        <f t="array" ref="Q41">IF(OR(ISBLANK($A41),ISBLANK(D41)), "", TrajectoryInCM(D41,$A41,Q$32))</f>
        <v/>
      </c>
      <c r="R41" s="7" t="str" cm="1">
        <f t="array" ref="R41">IF(OR(ISBLANK($A41),ISBLANK(E41)), "", TrajectoryInCM(E41,$A41,R$32))</f>
        <v/>
      </c>
      <c r="S41" s="6" t="str" cm="1">
        <f t="array" ref="S41">IF(OR(ISBLANK($A41),ISBLANK(F41)), "", TrajectoryInCM(F41,$A41,S$32))</f>
        <v/>
      </c>
      <c r="T41" s="6" t="str" cm="1">
        <f t="array" ref="T41">IF(OR(ISBLANK($A41),ISBLANK(G41)), "", TrajectoryInCM(G41,$A41,T$32))</f>
        <v/>
      </c>
      <c r="U41" s="6" t="str" cm="1">
        <f t="array" ref="U41">IF(OR(ISBLANK($A41),ISBLANK(H41)), "", TrajectoryInCM(H41,$A41,U$32))</f>
        <v/>
      </c>
      <c r="V41" s="6" t="str" cm="1">
        <f t="array" ref="V41">IF(OR(ISBLANK($A41),ISBLANK(I41)), "", TrajectoryInCM(I41,$A41,V$32))</f>
        <v/>
      </c>
      <c r="W41" s="10" t="str" cm="1">
        <f t="array" ref="W41">IF(OR(ISBLANK($A41),ISBLANK(J41)), "", TrajectoryInCM(J41,$A41,W$32))</f>
        <v/>
      </c>
      <c r="X41" s="10" t="str" cm="1">
        <f t="array" ref="X41">IF(OR(ISBLANK($A41),ISBLANK(K41)), "", TrajectoryInCM(K41,$A41,X$32))</f>
        <v/>
      </c>
      <c r="Y41" s="10" t="str" cm="1">
        <f t="array" ref="Y41">IF(OR(ISBLANK($A41),ISBLANK(L41)), "", TrajectoryInCM(L41,$A41,Y$32))</f>
        <v/>
      </c>
      <c r="Z41" s="10" t="str" cm="1">
        <f t="array" ref="Z41">IF(OR(ISBLANK($A41),ISBLANK(M41)), "", TrajectoryInCM(M41,$A41,Z$32))</f>
        <v/>
      </c>
      <c r="AA41" s="10" t="str" cm="1">
        <f t="array" ref="AA41">IF(OR(ISBLANK($A41),ISBLANK(N41)), "", TrajectoryInCM(N41,$A41,AA$32))</f>
        <v/>
      </c>
      <c r="AB41" s="10" t="str" cm="1">
        <f t="array" ref="AB41">IF(OR(ISBLANK($A41),ISBLANK(O41)), "", TrajectoryInCM(O41,$A41,AB$32))</f>
        <v/>
      </c>
      <c r="AC41" s="20" cm="1">
        <f t="array" ref="AC41">IF(ISBLANK($B$5),"",TrajectoryErrorCM($C$9,1,$A41))</f>
        <v>0.24633272332828113</v>
      </c>
    </row>
    <row r="42" spans="1:29" x14ac:dyDescent="0.25">
      <c r="A42" s="1">
        <v>125</v>
      </c>
      <c r="B42" s="1"/>
      <c r="C42" s="10"/>
      <c r="D42" s="6"/>
      <c r="E42" s="6"/>
      <c r="F42" s="6"/>
      <c r="G42" s="6"/>
      <c r="H42" s="6"/>
      <c r="I42" s="6"/>
      <c r="J42" s="10"/>
      <c r="K42" s="10"/>
      <c r="L42" s="10"/>
      <c r="M42" s="10"/>
      <c r="N42" s="10"/>
      <c r="O42" s="10"/>
      <c r="P42" s="21" t="str" cm="1">
        <f t="array" ref="P42">IF(OR(ISBLANK($A42),ISBLANK(C42)), "", TrajectoryInCM(C42,$A42,P$32))</f>
        <v/>
      </c>
      <c r="Q42" s="6" t="str" cm="1">
        <f t="array" ref="Q42">IF(OR(ISBLANK($A42),ISBLANK(D42)), "", TrajectoryInCM(D42,$A42,Q$32))</f>
        <v/>
      </c>
      <c r="R42" s="6" t="str" cm="1">
        <f t="array" ref="R42">IF(OR(ISBLANK($A42),ISBLANK(E42)), "", TrajectoryInCM(E42,$A42,R$32))</f>
        <v/>
      </c>
      <c r="S42" s="6" t="str" cm="1">
        <f t="array" ref="S42">IF(OR(ISBLANK($A42),ISBLANK(F42)), "", TrajectoryInCM(F42,$A42,S$32))</f>
        <v/>
      </c>
      <c r="T42" s="6" t="str" cm="1">
        <f t="array" ref="T42">IF(OR(ISBLANK($A42),ISBLANK(G42)), "", TrajectoryInCM(G42,$A42,T$32))</f>
        <v/>
      </c>
      <c r="U42" s="6" t="str" cm="1">
        <f t="array" ref="U42">IF(OR(ISBLANK($A42),ISBLANK(H42)), "", TrajectoryInCM(H42,$A42,U$32))</f>
        <v/>
      </c>
      <c r="V42" s="6" t="str" cm="1">
        <f t="array" ref="V42">IF(OR(ISBLANK($A42),ISBLANK(I42)), "", TrajectoryInCM(I42,$A42,V$32))</f>
        <v/>
      </c>
      <c r="W42" s="10" t="str" cm="1">
        <f t="array" ref="W42">IF(OR(ISBLANK($A42),ISBLANK(J42)), "", TrajectoryInCM(J42,$A42,W$32))</f>
        <v/>
      </c>
      <c r="X42" s="10" t="str" cm="1">
        <f t="array" ref="X42">IF(OR(ISBLANK($A42),ISBLANK(K42)), "", TrajectoryInCM(K42,$A42,X$32))</f>
        <v/>
      </c>
      <c r="Y42" s="10" t="str" cm="1">
        <f t="array" ref="Y42">IF(OR(ISBLANK($A42),ISBLANK(L42)), "", TrajectoryInCM(L42,$A42,Y$32))</f>
        <v/>
      </c>
      <c r="Z42" s="10" t="str" cm="1">
        <f t="array" ref="Z42">IF(OR(ISBLANK($A42),ISBLANK(M42)), "", TrajectoryInCM(M42,$A42,Z$32))</f>
        <v/>
      </c>
      <c r="AA42" s="10" t="str" cm="1">
        <f t="array" ref="AA42">IF(OR(ISBLANK($A42),ISBLANK(N42)), "", TrajectoryInCM(N42,$A42,AA$32))</f>
        <v/>
      </c>
      <c r="AB42" s="10" t="str" cm="1">
        <f t="array" ref="AB42">IF(OR(ISBLANK($A42),ISBLANK(O42)), "", TrajectoryInCM(O42,$A42,AB$32))</f>
        <v/>
      </c>
      <c r="AC42" s="20" cm="1">
        <f t="array" ref="AC42">IF(ISBLANK($B$5),"",TrajectoryErrorCM($C$9,1,$A42))</f>
        <v>0.30791590416035142</v>
      </c>
    </row>
    <row r="43" spans="1:29" x14ac:dyDescent="0.25">
      <c r="A43" s="1">
        <v>150</v>
      </c>
      <c r="B43" s="1"/>
      <c r="C43" s="10"/>
      <c r="D43" s="6"/>
      <c r="E43" s="6"/>
      <c r="F43" s="7"/>
      <c r="G43" s="6"/>
      <c r="H43" s="6"/>
      <c r="I43" s="6"/>
      <c r="J43" s="10"/>
      <c r="K43" s="10"/>
      <c r="L43" s="10"/>
      <c r="M43" s="10"/>
      <c r="N43" s="10"/>
      <c r="O43" s="10"/>
      <c r="P43" s="21" t="str" cm="1">
        <f t="array" ref="P43">IF(OR(ISBLANK($A43),ISBLANK(C43)), "", TrajectoryInCM(C43,$A43,P$32))</f>
        <v/>
      </c>
      <c r="Q43" s="6" t="str" cm="1">
        <f t="array" ref="Q43">IF(OR(ISBLANK($A43),ISBLANK(D43)), "", TrajectoryInCM(D43,$A43,Q$32))</f>
        <v/>
      </c>
      <c r="R43" s="6" t="str" cm="1">
        <f t="array" ref="R43">IF(OR(ISBLANK($A43),ISBLANK(E43)), "", TrajectoryInCM(E43,$A43,R$32))</f>
        <v/>
      </c>
      <c r="S43" s="7" t="str" cm="1">
        <f t="array" ref="S43">IF(OR(ISBLANK($A43),ISBLANK(F43)), "", TrajectoryInCM(F43,$A43,S$32))</f>
        <v/>
      </c>
      <c r="T43" s="6" t="str" cm="1">
        <f t="array" ref="T43">IF(OR(ISBLANK($A43),ISBLANK(G43)), "", TrajectoryInCM(G43,$A43,T$32))</f>
        <v/>
      </c>
      <c r="U43" s="6" t="str" cm="1">
        <f t="array" ref="U43">IF(OR(ISBLANK($A43),ISBLANK(H43)), "", TrajectoryInCM(H43,$A43,U$32))</f>
        <v/>
      </c>
      <c r="V43" s="6" t="str" cm="1">
        <f t="array" ref="V43">IF(OR(ISBLANK($A43),ISBLANK(I43)), "", TrajectoryInCM(I43,$A43,V$32))</f>
        <v/>
      </c>
      <c r="W43" s="10" t="str" cm="1">
        <f t="array" ref="W43">IF(OR(ISBLANK($A43),ISBLANK(J43)), "", TrajectoryInCM(J43,$A43,W$32))</f>
        <v/>
      </c>
      <c r="X43" s="10" t="str" cm="1">
        <f t="array" ref="X43">IF(OR(ISBLANK($A43),ISBLANK(K43)), "", TrajectoryInCM(K43,$A43,X$32))</f>
        <v/>
      </c>
      <c r="Y43" s="10" t="str" cm="1">
        <f t="array" ref="Y43">IF(OR(ISBLANK($A43),ISBLANK(L43)), "", TrajectoryInCM(L43,$A43,Y$32))</f>
        <v/>
      </c>
      <c r="Z43" s="10" t="str" cm="1">
        <f t="array" ref="Z43">IF(OR(ISBLANK($A43),ISBLANK(M43)), "", TrajectoryInCM(M43,$A43,Z$32))</f>
        <v/>
      </c>
      <c r="AA43" s="10" t="str" cm="1">
        <f t="array" ref="AA43">IF(OR(ISBLANK($A43),ISBLANK(N43)), "", TrajectoryInCM(N43,$A43,AA$32))</f>
        <v/>
      </c>
      <c r="AB43" s="10" t="str" cm="1">
        <f t="array" ref="AB43">IF(OR(ISBLANK($A43),ISBLANK(O43)), "", TrajectoryInCM(O43,$A43,AB$32))</f>
        <v/>
      </c>
      <c r="AC43" s="20" cm="1">
        <f t="array" ref="AC43">IF(ISBLANK($B$5),"",TrajectoryErrorCM($C$9,1,$A43))</f>
        <v>0.36949908499242168</v>
      </c>
    </row>
    <row r="44" spans="1:29" x14ac:dyDescent="0.25">
      <c r="A44" s="1">
        <v>200</v>
      </c>
      <c r="B44" s="1"/>
      <c r="C44" s="10"/>
      <c r="D44" s="6"/>
      <c r="E44" s="6"/>
      <c r="F44" s="6"/>
      <c r="G44" s="7"/>
      <c r="H44" s="6"/>
      <c r="I44" s="6"/>
      <c r="J44" s="10"/>
      <c r="K44" s="10"/>
      <c r="L44" s="10"/>
      <c r="M44" s="10"/>
      <c r="N44" s="10"/>
      <c r="O44" s="10"/>
      <c r="P44" s="21" t="str" cm="1">
        <f t="array" ref="P44">IF(OR(ISBLANK($A44),ISBLANK(C44)), "", TrajectoryInCM(C44,$A44,P$32))</f>
        <v/>
      </c>
      <c r="Q44" s="6" t="str" cm="1">
        <f t="array" ref="Q44">IF(OR(ISBLANK($A44),ISBLANK(D44)), "", TrajectoryInCM(D44,$A44,Q$32))</f>
        <v/>
      </c>
      <c r="R44" s="6" t="str" cm="1">
        <f t="array" ref="R44">IF(OR(ISBLANK($A44),ISBLANK(E44)), "", TrajectoryInCM(E44,$A44,R$32))</f>
        <v/>
      </c>
      <c r="S44" s="6" t="str" cm="1">
        <f t="array" ref="S44">IF(OR(ISBLANK($A44),ISBLANK(F44)), "", TrajectoryInCM(F44,$A44,S$32))</f>
        <v/>
      </c>
      <c r="T44" s="7" t="str" cm="1">
        <f t="array" ref="T44">IF(OR(ISBLANK($A44),ISBLANK(G44)), "", TrajectoryInCM(G44,$A44,T$32))</f>
        <v/>
      </c>
      <c r="U44" s="6" t="str" cm="1">
        <f t="array" ref="U44">IF(OR(ISBLANK($A44),ISBLANK(H44)), "", TrajectoryInCM(H44,$A44,U$32))</f>
        <v/>
      </c>
      <c r="V44" s="6" t="str" cm="1">
        <f t="array" ref="V44">IF(OR(ISBLANK($A44),ISBLANK(I44)), "", TrajectoryInCM(I44,$A44,V$32))</f>
        <v/>
      </c>
      <c r="W44" s="10" t="str" cm="1">
        <f t="array" ref="W44">IF(OR(ISBLANK($A44),ISBLANK(J44)), "", TrajectoryInCM(J44,$A44,W$32))</f>
        <v/>
      </c>
      <c r="X44" s="10" t="str" cm="1">
        <f t="array" ref="X44">IF(OR(ISBLANK($A44),ISBLANK(K44)), "", TrajectoryInCM(K44,$A44,X$32))</f>
        <v/>
      </c>
      <c r="Y44" s="10" t="str" cm="1">
        <f t="array" ref="Y44">IF(OR(ISBLANK($A44),ISBLANK(L44)), "", TrajectoryInCM(L44,$A44,Y$32))</f>
        <v/>
      </c>
      <c r="Z44" s="10" t="str" cm="1">
        <f t="array" ref="Z44">IF(OR(ISBLANK($A44),ISBLANK(M44)), "", TrajectoryInCM(M44,$A44,Z$32))</f>
        <v/>
      </c>
      <c r="AA44" s="10" t="str" cm="1">
        <f t="array" ref="AA44">IF(OR(ISBLANK($A44),ISBLANK(N44)), "", TrajectoryInCM(N44,$A44,AA$32))</f>
        <v/>
      </c>
      <c r="AB44" s="10" t="str" cm="1">
        <f t="array" ref="AB44">IF(OR(ISBLANK($A44),ISBLANK(O44)), "", TrajectoryInCM(O44,$A44,AB$32))</f>
        <v/>
      </c>
      <c r="AC44" s="20" cm="1">
        <f t="array" ref="AC44">IF(ISBLANK($B$5),"",TrajectoryErrorCM($C$9,1,$A44))</f>
        <v>0.49266544665656226</v>
      </c>
    </row>
    <row r="45" spans="1:29" x14ac:dyDescent="0.25">
      <c r="A45" s="1">
        <v>250</v>
      </c>
      <c r="B45" s="1"/>
      <c r="C45" s="10"/>
      <c r="D45" s="6"/>
      <c r="E45" s="6"/>
      <c r="F45" s="6"/>
      <c r="G45" s="6"/>
      <c r="H45" s="6"/>
      <c r="I45" s="6"/>
      <c r="J45" s="10"/>
      <c r="K45" s="10"/>
      <c r="L45" s="10"/>
      <c r="M45" s="10"/>
      <c r="N45" s="10"/>
      <c r="O45" s="10"/>
      <c r="P45" s="21" t="str" cm="1">
        <f t="array" ref="P45">IF(OR(ISBLANK($A45),ISBLANK(C45)), "", TrajectoryInCM(C45,$A45,P$32))</f>
        <v/>
      </c>
      <c r="Q45" s="6" t="str" cm="1">
        <f t="array" ref="Q45">IF(OR(ISBLANK($A45),ISBLANK(D45)), "", TrajectoryInCM(D45,$A45,Q$32))</f>
        <v/>
      </c>
      <c r="R45" s="6" t="str" cm="1">
        <f t="array" ref="R45">IF(OR(ISBLANK($A45),ISBLANK(E45)), "", TrajectoryInCM(E45,$A45,R$32))</f>
        <v/>
      </c>
      <c r="S45" s="6" t="str" cm="1">
        <f t="array" ref="S45">IF(OR(ISBLANK($A45),ISBLANK(F45)), "", TrajectoryInCM(F45,$A45,S$32))</f>
        <v/>
      </c>
      <c r="T45" s="6" t="str" cm="1">
        <f t="array" ref="T45">IF(OR(ISBLANK($A45),ISBLANK(G45)), "", TrajectoryInCM(G45,$A45,T$32))</f>
        <v/>
      </c>
      <c r="U45" s="6" t="str" cm="1">
        <f t="array" ref="U45">IF(OR(ISBLANK($A45),ISBLANK(H45)), "", TrajectoryInCM(H45,$A45,U$32))</f>
        <v/>
      </c>
      <c r="V45" s="6" t="str" cm="1">
        <f t="array" ref="V45">IF(OR(ISBLANK($A45),ISBLANK(I45)), "", TrajectoryInCM(I45,$A45,V$32))</f>
        <v/>
      </c>
      <c r="W45" s="10" t="str" cm="1">
        <f t="array" ref="W45">IF(OR(ISBLANK($A45),ISBLANK(J45)), "", TrajectoryInCM(J45,$A45,W$32))</f>
        <v/>
      </c>
      <c r="X45" s="10" t="str" cm="1">
        <f t="array" ref="X45">IF(OR(ISBLANK($A45),ISBLANK(K45)), "", TrajectoryInCM(K45,$A45,X$32))</f>
        <v/>
      </c>
      <c r="Y45" s="10" t="str" cm="1">
        <f t="array" ref="Y45">IF(OR(ISBLANK($A45),ISBLANK(L45)), "", TrajectoryInCM(L45,$A45,Y$32))</f>
        <v/>
      </c>
      <c r="Z45" s="10" t="str" cm="1">
        <f t="array" ref="Z45">IF(OR(ISBLANK($A45),ISBLANK(M45)), "", TrajectoryInCM(M45,$A45,Z$32))</f>
        <v/>
      </c>
      <c r="AA45" s="10" t="str" cm="1">
        <f t="array" ref="AA45">IF(OR(ISBLANK($A45),ISBLANK(N45)), "", TrajectoryInCM(N45,$A45,AA$32))</f>
        <v/>
      </c>
      <c r="AB45" s="10" t="str" cm="1">
        <f t="array" ref="AB45">IF(OR(ISBLANK($A45),ISBLANK(O45)), "", TrajectoryInCM(O45,$A45,AB$32))</f>
        <v/>
      </c>
      <c r="AC45" s="20" cm="1">
        <f t="array" ref="AC45">IF(ISBLANK($B$5),"",TrajectoryErrorCM($C$9,1,$A45))</f>
        <v>0.61583180832070283</v>
      </c>
    </row>
    <row r="46" spans="1:29" x14ac:dyDescent="0.25">
      <c r="A46" s="1">
        <v>300</v>
      </c>
      <c r="B46" s="1"/>
      <c r="C46" s="13"/>
      <c r="D46" s="6"/>
      <c r="E46" s="6"/>
      <c r="F46" s="6"/>
      <c r="G46" s="6"/>
      <c r="H46" s="7"/>
      <c r="I46" s="12"/>
      <c r="J46" s="13"/>
      <c r="K46" s="13"/>
      <c r="L46" s="13"/>
      <c r="M46" s="13"/>
      <c r="N46" s="13"/>
      <c r="O46" s="13"/>
      <c r="P46" s="21" t="str" cm="1">
        <f t="array" ref="P46">IF(OR(ISBLANK($A46),ISBLANK(C46)), "", TrajectoryInCM(C46,$A46,P$32))</f>
        <v/>
      </c>
      <c r="Q46" s="6" t="str" cm="1">
        <f t="array" ref="Q46">IF(OR(ISBLANK($A46),ISBLANK(D46)), "", TrajectoryInCM(D46,$A46,Q$32))</f>
        <v/>
      </c>
      <c r="R46" s="6" t="str" cm="1">
        <f t="array" ref="R46">IF(OR(ISBLANK($A46),ISBLANK(E46)), "", TrajectoryInCM(E46,$A46,R$32))</f>
        <v/>
      </c>
      <c r="S46" s="6" t="str" cm="1">
        <f t="array" ref="S46">IF(OR(ISBLANK($A46),ISBLANK(F46)), "", TrajectoryInCM(F46,$A46,S$32))</f>
        <v/>
      </c>
      <c r="T46" s="6" t="str" cm="1">
        <f t="array" ref="T46">IF(OR(ISBLANK($A46),ISBLANK(G46)), "", TrajectoryInCM(G46,$A46,T$32))</f>
        <v/>
      </c>
      <c r="U46" s="7" t="str" cm="1">
        <f t="array" ref="U46">IF(OR(ISBLANK($A46),ISBLANK(H46)), "", TrajectoryInCM(H46,$A46,U$32))</f>
        <v/>
      </c>
      <c r="V46" s="12" t="str" cm="1">
        <f t="array" ref="V46">IF(OR(ISBLANK($A46),ISBLANK(I46)), "", TrajectoryInCM(I46,$A46,V$32))</f>
        <v/>
      </c>
      <c r="W46" s="13" t="str" cm="1">
        <f t="array" ref="W46">IF(OR(ISBLANK($A46),ISBLANK(J46)), "", TrajectoryInCM(J46,$A46,W$32))</f>
        <v/>
      </c>
      <c r="X46" s="13" t="str" cm="1">
        <f t="array" ref="X46">IF(OR(ISBLANK($A46),ISBLANK(K46)), "", TrajectoryInCM(K46,$A46,X$32))</f>
        <v/>
      </c>
      <c r="Y46" s="13" t="str" cm="1">
        <f t="array" ref="Y46">IF(OR(ISBLANK($A46),ISBLANK(L46)), "", TrajectoryInCM(L46,$A46,Y$32))</f>
        <v/>
      </c>
      <c r="Z46" s="13" t="str" cm="1">
        <f t="array" ref="Z46">IF(OR(ISBLANK($A46),ISBLANK(M46)), "", TrajectoryInCM(M46,$A46,Z$32))</f>
        <v/>
      </c>
      <c r="AA46" s="13" t="str" cm="1">
        <f t="array" ref="AA46">IF(OR(ISBLANK($A46),ISBLANK(N46)), "", TrajectoryInCM(N46,$A46,AA$32))</f>
        <v/>
      </c>
      <c r="AB46" s="13" t="str" cm="1">
        <f t="array" ref="AB46">IF(OR(ISBLANK($A46),ISBLANK(O46)), "", TrajectoryInCM(O46,$A46,AB$32))</f>
        <v/>
      </c>
      <c r="AC46" s="20" cm="1">
        <f t="array" ref="AC46">IF(ISBLANK($B$5),"",TrajectoryErrorCM($C$9,1,$A46))</f>
        <v>0.73899816998484336</v>
      </c>
    </row>
    <row r="47" spans="1:29" x14ac:dyDescent="0.25">
      <c r="A47" s="1">
        <v>350</v>
      </c>
      <c r="B47" s="1"/>
      <c r="C47" s="13"/>
      <c r="D47" s="12"/>
      <c r="E47" s="12"/>
      <c r="F47" s="12"/>
      <c r="G47" s="12"/>
      <c r="H47" s="12"/>
      <c r="I47" s="12"/>
      <c r="J47" s="13"/>
      <c r="K47" s="13"/>
      <c r="L47" s="13"/>
      <c r="M47" s="13"/>
      <c r="N47" s="13"/>
      <c r="O47" s="13"/>
      <c r="P47" s="22" t="str" cm="1">
        <f t="array" ref="P47">IF(OR(ISBLANK($A47),ISBLANK(C47)), "", TrajectoryInCM(C47,$A47,P$32))</f>
        <v/>
      </c>
      <c r="Q47" s="12" t="str" cm="1">
        <f t="array" ref="Q47">IF(OR(ISBLANK($A47),ISBLANK(D47)), "", TrajectoryInCM(D47,$A47,Q$32))</f>
        <v/>
      </c>
      <c r="R47" s="12" t="str" cm="1">
        <f t="array" ref="R47">IF(OR(ISBLANK($A47),ISBLANK(E47)), "", TrajectoryInCM(E47,$A47,R$32))</f>
        <v/>
      </c>
      <c r="S47" s="12" t="str" cm="1">
        <f t="array" ref="S47">IF(OR(ISBLANK($A47),ISBLANK(F47)), "", TrajectoryInCM(F47,$A47,S$32))</f>
        <v/>
      </c>
      <c r="T47" s="12" t="str" cm="1">
        <f t="array" ref="T47">IF(OR(ISBLANK($A47),ISBLANK(G47)), "", TrajectoryInCM(G47,$A47,T$32))</f>
        <v/>
      </c>
      <c r="U47" s="12" t="str" cm="1">
        <f t="array" ref="U47">IF(OR(ISBLANK($A47),ISBLANK(H47)), "", TrajectoryInCM(H47,$A47,U$32))</f>
        <v/>
      </c>
      <c r="V47" s="12" t="str" cm="1">
        <f t="array" ref="V47">IF(OR(ISBLANK($A47),ISBLANK(I47)), "", TrajectoryInCM(I47,$A47,V$32))</f>
        <v/>
      </c>
      <c r="W47" s="13" t="str" cm="1">
        <f t="array" ref="W47">IF(OR(ISBLANK($A47),ISBLANK(J47)), "", TrajectoryInCM(J47,$A47,W$32))</f>
        <v/>
      </c>
      <c r="X47" s="13" t="str" cm="1">
        <f t="array" ref="X47">IF(OR(ISBLANK($A47),ISBLANK(K47)), "", TrajectoryInCM(K47,$A47,X$32))</f>
        <v/>
      </c>
      <c r="Y47" s="13" t="str" cm="1">
        <f t="array" ref="Y47">IF(OR(ISBLANK($A47),ISBLANK(L47)), "", TrajectoryInCM(L47,$A47,Y$32))</f>
        <v/>
      </c>
      <c r="Z47" s="13" t="str" cm="1">
        <f t="array" ref="Z47">IF(OR(ISBLANK($A47),ISBLANK(M47)), "", TrajectoryInCM(M47,$A47,Z$32))</f>
        <v/>
      </c>
      <c r="AA47" s="13" t="str" cm="1">
        <f t="array" ref="AA47">IF(OR(ISBLANK($A47),ISBLANK(N47)), "", TrajectoryInCM(N47,$A47,AA$32))</f>
        <v/>
      </c>
      <c r="AB47" s="13" t="str" cm="1">
        <f t="array" ref="AB47">IF(OR(ISBLANK($A47),ISBLANK(O47)), "", TrajectoryInCM(O47,$A47,AB$32))</f>
        <v/>
      </c>
      <c r="AC47" s="20" cm="1">
        <f t="array" ref="AC47">IF(ISBLANK($B$5),"",TrajectoryErrorCM($C$9,1,$A47))</f>
        <v>0.86216453164898399</v>
      </c>
    </row>
    <row r="48" spans="1:29" x14ac:dyDescent="0.25">
      <c r="A48" s="1">
        <v>400</v>
      </c>
      <c r="B48" s="1"/>
      <c r="C48" s="13"/>
      <c r="D48" s="12"/>
      <c r="E48" s="12"/>
      <c r="F48" s="12"/>
      <c r="G48" s="12"/>
      <c r="H48" s="12"/>
      <c r="I48" s="7"/>
      <c r="J48" s="13"/>
      <c r="K48" s="13"/>
      <c r="L48" s="13"/>
      <c r="M48" s="13"/>
      <c r="N48" s="13"/>
      <c r="O48" s="13"/>
      <c r="P48" s="22" t="str" cm="1">
        <f t="array" ref="P48">IF(OR(ISBLANK($A48),ISBLANK(C48)), "", TrajectoryInCM(C48,$A48,P$32))</f>
        <v/>
      </c>
      <c r="Q48" s="12" t="str" cm="1">
        <f t="array" ref="Q48">IF(OR(ISBLANK($A48),ISBLANK(D48)), "", TrajectoryInCM(D48,$A48,Q$32))</f>
        <v/>
      </c>
      <c r="R48" s="12" t="str" cm="1">
        <f t="array" ref="R48">IF(OR(ISBLANK($A48),ISBLANK(E48)), "", TrajectoryInCM(E48,$A48,R$32))</f>
        <v/>
      </c>
      <c r="S48" s="12" t="str" cm="1">
        <f t="array" ref="S48">IF(OR(ISBLANK($A48),ISBLANK(F48)), "", TrajectoryInCM(F48,$A48,S$32))</f>
        <v/>
      </c>
      <c r="T48" s="12" t="str" cm="1">
        <f t="array" ref="T48">IF(OR(ISBLANK($A48),ISBLANK(G48)), "", TrajectoryInCM(G48,$A48,T$32))</f>
        <v/>
      </c>
      <c r="U48" s="12" t="str" cm="1">
        <f t="array" ref="U48">IF(OR(ISBLANK($A48),ISBLANK(H48)), "", TrajectoryInCM(H48,$A48,U$32))</f>
        <v/>
      </c>
      <c r="V48" s="7" t="str" cm="1">
        <f t="array" ref="V48">IF(OR(ISBLANK($A48),ISBLANK(I48)), "", TrajectoryInCM(I48,$A48,V$32))</f>
        <v/>
      </c>
      <c r="W48" s="13" t="str" cm="1">
        <f t="array" ref="W48">IF(OR(ISBLANK($A48),ISBLANK(J48)), "", TrajectoryInCM(J48,$A48,W$32))</f>
        <v/>
      </c>
      <c r="X48" s="13" t="str" cm="1">
        <f t="array" ref="X48">IF(OR(ISBLANK($A48),ISBLANK(K48)), "", TrajectoryInCM(K48,$A48,X$32))</f>
        <v/>
      </c>
      <c r="Y48" s="13" t="str" cm="1">
        <f t="array" ref="Y48">IF(OR(ISBLANK($A48),ISBLANK(L48)), "", TrajectoryInCM(L48,$A48,Y$32))</f>
        <v/>
      </c>
      <c r="Z48" s="13" t="str" cm="1">
        <f t="array" ref="Z48">IF(OR(ISBLANK($A48),ISBLANK(M48)), "", TrajectoryInCM(M48,$A48,Z$32))</f>
        <v/>
      </c>
      <c r="AA48" s="13" t="str" cm="1">
        <f t="array" ref="AA48">IF(OR(ISBLANK($A48),ISBLANK(N48)), "", TrajectoryInCM(N48,$A48,AA$32))</f>
        <v/>
      </c>
      <c r="AB48" s="13" t="str" cm="1">
        <f t="array" ref="AB48">IF(OR(ISBLANK($A48),ISBLANK(O48)), "", TrajectoryInCM(O48,$A48,AB$32))</f>
        <v/>
      </c>
      <c r="AC48" s="20" cm="1">
        <f t="array" ref="AC48">IF(ISBLANK($B$5),"",TrajectoryErrorCM($C$9,1,$A48))</f>
        <v>0.98533089331312451</v>
      </c>
    </row>
    <row r="49" spans="1:29" x14ac:dyDescent="0.25">
      <c r="A49" s="1">
        <v>450</v>
      </c>
      <c r="B49" s="1"/>
      <c r="C49" s="13"/>
      <c r="D49" s="12"/>
      <c r="E49" s="12"/>
      <c r="F49" s="12"/>
      <c r="G49" s="12"/>
      <c r="H49" s="12"/>
      <c r="I49" s="12"/>
      <c r="J49" s="13"/>
      <c r="K49" s="13"/>
      <c r="L49" s="13"/>
      <c r="M49" s="13"/>
      <c r="N49" s="13"/>
      <c r="O49" s="13"/>
      <c r="P49" s="22" t="str" cm="1">
        <f t="array" ref="P49">IF(OR(ISBLANK($A49),ISBLANK(C49)), "", TrajectoryInCM(C49,$A49,P$32))</f>
        <v/>
      </c>
      <c r="Q49" s="12" t="str" cm="1">
        <f t="array" ref="Q49">IF(OR(ISBLANK($A49),ISBLANK(D49)), "", TrajectoryInCM(D49,$A49,Q$32))</f>
        <v/>
      </c>
      <c r="R49" s="12" t="str" cm="1">
        <f t="array" ref="R49">IF(OR(ISBLANK($A49),ISBLANK(E49)), "", TrajectoryInCM(E49,$A49,R$32))</f>
        <v/>
      </c>
      <c r="S49" s="12" t="str" cm="1">
        <f t="array" ref="S49">IF(OR(ISBLANK($A49),ISBLANK(F49)), "", TrajectoryInCM(F49,$A49,S$32))</f>
        <v/>
      </c>
      <c r="T49" s="12" t="str" cm="1">
        <f t="array" ref="T49">IF(OR(ISBLANK($A49),ISBLANK(G49)), "", TrajectoryInCM(G49,$A49,T$32))</f>
        <v/>
      </c>
      <c r="U49" s="12" t="str" cm="1">
        <f t="array" ref="U49">IF(OR(ISBLANK($A49),ISBLANK(H49)), "", TrajectoryInCM(H49,$A49,U$32))</f>
        <v/>
      </c>
      <c r="V49" s="12" t="str" cm="1">
        <f t="array" ref="V49">IF(OR(ISBLANK($A49),ISBLANK(I49)), "", TrajectoryInCM(I49,$A49,V$32))</f>
        <v/>
      </c>
      <c r="W49" s="13" t="str" cm="1">
        <f t="array" ref="W49">IF(OR(ISBLANK($A49),ISBLANK(J49)), "", TrajectoryInCM(J49,$A49,W$32))</f>
        <v/>
      </c>
      <c r="X49" s="13" t="str" cm="1">
        <f t="array" ref="X49">IF(OR(ISBLANK($A49),ISBLANK(K49)), "", TrajectoryInCM(K49,$A49,X$32))</f>
        <v/>
      </c>
      <c r="Y49" s="13" t="str" cm="1">
        <f t="array" ref="Y49">IF(OR(ISBLANK($A49),ISBLANK(L49)), "", TrajectoryInCM(L49,$A49,Y$32))</f>
        <v/>
      </c>
      <c r="Z49" s="13" t="str" cm="1">
        <f t="array" ref="Z49">IF(OR(ISBLANK($A49),ISBLANK(M49)), "", TrajectoryInCM(M49,$A49,Z$32))</f>
        <v/>
      </c>
      <c r="AA49" s="13" t="str" cm="1">
        <f t="array" ref="AA49">IF(OR(ISBLANK($A49),ISBLANK(N49)), "", TrajectoryInCM(N49,$A49,AA$32))</f>
        <v/>
      </c>
      <c r="AB49" s="13" t="str" cm="1">
        <f t="array" ref="AB49">IF(OR(ISBLANK($A49),ISBLANK(O49)), "", TrajectoryInCM(O49,$A49,AB$32))</f>
        <v/>
      </c>
      <c r="AC49" s="20" cm="1">
        <f t="array" ref="AC49">IF(ISBLANK($B$5),"",TrajectoryErrorCM($C$9,1,$A49))</f>
        <v>1.1084972549772651</v>
      </c>
    </row>
    <row r="50" spans="1:29" x14ac:dyDescent="0.25">
      <c r="A50" s="1">
        <v>500</v>
      </c>
      <c r="B50" s="1"/>
      <c r="C50" s="13"/>
      <c r="D50" s="12"/>
      <c r="E50" s="12"/>
      <c r="F50" s="12"/>
      <c r="G50" s="12"/>
      <c r="H50" s="12"/>
      <c r="I50" s="12"/>
      <c r="J50" s="11"/>
      <c r="K50" s="13"/>
      <c r="L50" s="13"/>
      <c r="M50" s="13"/>
      <c r="N50" s="13"/>
      <c r="O50" s="13"/>
      <c r="P50" s="22" t="str" cm="1">
        <f t="array" ref="P50">IF(OR(ISBLANK($A50),ISBLANK(C50)), "", TrajectoryInCM(C50,$A50,P$32))</f>
        <v/>
      </c>
      <c r="Q50" s="12" t="str" cm="1">
        <f t="array" ref="Q50">IF(OR(ISBLANK($A50),ISBLANK(D50)), "", TrajectoryInCM(D50,$A50,Q$32))</f>
        <v/>
      </c>
      <c r="R50" s="12" t="str" cm="1">
        <f t="array" ref="R50">IF(OR(ISBLANK($A50),ISBLANK(E50)), "", TrajectoryInCM(E50,$A50,R$32))</f>
        <v/>
      </c>
      <c r="S50" s="12" t="str" cm="1">
        <f t="array" ref="S50">IF(OR(ISBLANK($A50),ISBLANK(F50)), "", TrajectoryInCM(F50,$A50,S$32))</f>
        <v/>
      </c>
      <c r="T50" s="12" t="str" cm="1">
        <f t="array" ref="T50">IF(OR(ISBLANK($A50),ISBLANK(G50)), "", TrajectoryInCM(G50,$A50,T$32))</f>
        <v/>
      </c>
      <c r="U50" s="12" t="str" cm="1">
        <f t="array" ref="U50">IF(OR(ISBLANK($A50),ISBLANK(H50)), "", TrajectoryInCM(H50,$A50,U$32))</f>
        <v/>
      </c>
      <c r="V50" s="12" t="str" cm="1">
        <f t="array" ref="V50">IF(OR(ISBLANK($A50),ISBLANK(I50)), "", TrajectoryInCM(I50,$A50,V$32))</f>
        <v/>
      </c>
      <c r="W50" s="11" t="str" cm="1">
        <f t="array" ref="W50">IF(OR(ISBLANK($A50),ISBLANK(J50)), "", TrajectoryInCM(J50,$A50,W$32))</f>
        <v/>
      </c>
      <c r="X50" s="13" t="str" cm="1">
        <f t="array" ref="X50">IF(OR(ISBLANK($A50),ISBLANK(K50)), "", TrajectoryInCM(K50,$A50,X$32))</f>
        <v/>
      </c>
      <c r="Y50" s="13" t="str" cm="1">
        <f t="array" ref="Y50">IF(OR(ISBLANK($A50),ISBLANK(L50)), "", TrajectoryInCM(L50,$A50,Y$32))</f>
        <v/>
      </c>
      <c r="Z50" s="13" t="str" cm="1">
        <f t="array" ref="Z50">IF(OR(ISBLANK($A50),ISBLANK(M50)), "", TrajectoryInCM(M50,$A50,Z$32))</f>
        <v/>
      </c>
      <c r="AA50" s="13" t="str" cm="1">
        <f t="array" ref="AA50">IF(OR(ISBLANK($A50),ISBLANK(N50)), "", TrajectoryInCM(N50,$A50,AA$32))</f>
        <v/>
      </c>
      <c r="AB50" s="13" t="str" cm="1">
        <f t="array" ref="AB50">IF(OR(ISBLANK($A50),ISBLANK(O50)), "", TrajectoryInCM(O50,$A50,AB$32))</f>
        <v/>
      </c>
      <c r="AC50" s="20" cm="1">
        <f t="array" ref="AC50">IF(ISBLANK($B$5),"",TrajectoryErrorCM($C$9,1,$A50))</f>
        <v>1.2316636166414057</v>
      </c>
    </row>
    <row r="51" spans="1:29" x14ac:dyDescent="0.25">
      <c r="A51" s="1">
        <v>550</v>
      </c>
      <c r="B51" s="1"/>
      <c r="C51" s="13"/>
      <c r="D51" s="12"/>
      <c r="E51" s="12"/>
      <c r="F51" s="12"/>
      <c r="G51" s="12"/>
      <c r="H51" s="12"/>
      <c r="I51" s="12"/>
      <c r="J51" s="13"/>
      <c r="K51" s="13"/>
      <c r="L51" s="13"/>
      <c r="M51" s="13"/>
      <c r="N51" s="13"/>
      <c r="O51" s="13"/>
      <c r="P51" s="22" t="str" cm="1">
        <f t="array" ref="P51">IF(OR(ISBLANK($A51),ISBLANK(C51)), "", TrajectoryInCM(C51,$A51,P$32))</f>
        <v/>
      </c>
      <c r="Q51" s="12" t="str" cm="1">
        <f t="array" ref="Q51">IF(OR(ISBLANK($A51),ISBLANK(D51)), "", TrajectoryInCM(D51,$A51,Q$32))</f>
        <v/>
      </c>
      <c r="R51" s="12" t="str" cm="1">
        <f t="array" ref="R51">IF(OR(ISBLANK($A51),ISBLANK(E51)), "", TrajectoryInCM(E51,$A51,R$32))</f>
        <v/>
      </c>
      <c r="S51" s="12" t="str" cm="1">
        <f t="array" ref="S51">IF(OR(ISBLANK($A51),ISBLANK(F51)), "", TrajectoryInCM(F51,$A51,S$32))</f>
        <v/>
      </c>
      <c r="T51" s="12" t="str" cm="1">
        <f t="array" ref="T51">IF(OR(ISBLANK($A51),ISBLANK(G51)), "", TrajectoryInCM(G51,$A51,T$32))</f>
        <v/>
      </c>
      <c r="U51" s="12" t="str" cm="1">
        <f t="array" ref="U51">IF(OR(ISBLANK($A51),ISBLANK(H51)), "", TrajectoryInCM(H51,$A51,U$32))</f>
        <v/>
      </c>
      <c r="V51" s="12" t="str" cm="1">
        <f t="array" ref="V51">IF(OR(ISBLANK($A51),ISBLANK(I51)), "", TrajectoryInCM(I51,$A51,V$32))</f>
        <v/>
      </c>
      <c r="W51" s="13" t="str" cm="1">
        <f t="array" ref="W51">IF(OR(ISBLANK($A51),ISBLANK(J51)), "", TrajectoryInCM(J51,$A51,W$32))</f>
        <v/>
      </c>
      <c r="X51" s="13" t="str" cm="1">
        <f t="array" ref="X51">IF(OR(ISBLANK($A51),ISBLANK(K51)), "", TrajectoryInCM(K51,$A51,X$32))</f>
        <v/>
      </c>
      <c r="Y51" s="13" t="str" cm="1">
        <f t="array" ref="Y51">IF(OR(ISBLANK($A51),ISBLANK(L51)), "", TrajectoryInCM(L51,$A51,Y$32))</f>
        <v/>
      </c>
      <c r="Z51" s="13" t="str" cm="1">
        <f t="array" ref="Z51">IF(OR(ISBLANK($A51),ISBLANK(M51)), "", TrajectoryInCM(M51,$A51,Z$32))</f>
        <v/>
      </c>
      <c r="AA51" s="13" t="str" cm="1">
        <f t="array" ref="AA51">IF(OR(ISBLANK($A51),ISBLANK(N51)), "", TrajectoryInCM(N51,$A51,AA$32))</f>
        <v/>
      </c>
      <c r="AB51" s="13" t="str" cm="1">
        <f t="array" ref="AB51">IF(OR(ISBLANK($A51),ISBLANK(O51)), "", TrajectoryInCM(O51,$A51,AB$32))</f>
        <v/>
      </c>
      <c r="AC51" s="20" cm="1">
        <f t="array" ref="AC51">IF(ISBLANK($B$5),"",TrajectoryErrorCM($C$9,1,$A51))</f>
        <v>1.3548299783055462</v>
      </c>
    </row>
    <row r="52" spans="1:29" x14ac:dyDescent="0.25">
      <c r="A52" s="1">
        <v>600</v>
      </c>
      <c r="B52" s="1"/>
      <c r="C52" s="13"/>
      <c r="D52" s="12"/>
      <c r="E52" s="12"/>
      <c r="F52" s="12"/>
      <c r="G52" s="12"/>
      <c r="H52" s="12"/>
      <c r="I52" s="12"/>
      <c r="J52" s="13"/>
      <c r="K52" s="11"/>
      <c r="L52" s="13"/>
      <c r="M52" s="13"/>
      <c r="N52" s="13"/>
      <c r="O52" s="13"/>
      <c r="P52" s="22" t="str" cm="1">
        <f t="array" ref="P52">IF(OR(ISBLANK($A52),ISBLANK(C52)), "", TrajectoryInCM(C52,$A52,P$32))</f>
        <v/>
      </c>
      <c r="Q52" s="12" t="str" cm="1">
        <f t="array" ref="Q52">IF(OR(ISBLANK($A52),ISBLANK(D52)), "", TrajectoryInCM(D52,$A52,Q$32))</f>
        <v/>
      </c>
      <c r="R52" s="12" t="str" cm="1">
        <f t="array" ref="R52">IF(OR(ISBLANK($A52),ISBLANK(E52)), "", TrajectoryInCM(E52,$A52,R$32))</f>
        <v/>
      </c>
      <c r="S52" s="12" t="str" cm="1">
        <f t="array" ref="S52">IF(OR(ISBLANK($A52),ISBLANK(F52)), "", TrajectoryInCM(F52,$A52,S$32))</f>
        <v/>
      </c>
      <c r="T52" s="12" t="str" cm="1">
        <f t="array" ref="T52">IF(OR(ISBLANK($A52),ISBLANK(G52)), "", TrajectoryInCM(G52,$A52,T$32))</f>
        <v/>
      </c>
      <c r="U52" s="12" t="str" cm="1">
        <f t="array" ref="U52">IF(OR(ISBLANK($A52),ISBLANK(H52)), "", TrajectoryInCM(H52,$A52,U$32))</f>
        <v/>
      </c>
      <c r="V52" s="12" t="str" cm="1">
        <f t="array" ref="V52">IF(OR(ISBLANK($A52),ISBLANK(I52)), "", TrajectoryInCM(I52,$A52,V$32))</f>
        <v/>
      </c>
      <c r="W52" s="13" t="str" cm="1">
        <f t="array" ref="W52">IF(OR(ISBLANK($A52),ISBLANK(J52)), "", TrajectoryInCM(J52,$A52,W$32))</f>
        <v/>
      </c>
      <c r="X52" s="11" t="str" cm="1">
        <f t="array" ref="X52">IF(OR(ISBLANK($A52),ISBLANK(K52)), "", TrajectoryInCM(K52,$A52,X$32))</f>
        <v/>
      </c>
      <c r="Y52" s="13" t="str" cm="1">
        <f t="array" ref="Y52">IF(OR(ISBLANK($A52),ISBLANK(L52)), "", TrajectoryInCM(L52,$A52,Y$32))</f>
        <v/>
      </c>
      <c r="Z52" s="13" t="str" cm="1">
        <f t="array" ref="Z52">IF(OR(ISBLANK($A52),ISBLANK(M52)), "", TrajectoryInCM(M52,$A52,Z$32))</f>
        <v/>
      </c>
      <c r="AA52" s="13" t="str" cm="1">
        <f t="array" ref="AA52">IF(OR(ISBLANK($A52),ISBLANK(N52)), "", TrajectoryInCM(N52,$A52,AA$32))</f>
        <v/>
      </c>
      <c r="AB52" s="13" t="str" cm="1">
        <f t="array" ref="AB52">IF(OR(ISBLANK($A52),ISBLANK(O52)), "", TrajectoryInCM(O52,$A52,AB$32))</f>
        <v/>
      </c>
      <c r="AC52" s="20" cm="1">
        <f t="array" ref="AC52">IF(ISBLANK($B$5),"",TrajectoryErrorCM($C$9,1,$A52))</f>
        <v>1.4779963399696867</v>
      </c>
    </row>
    <row r="53" spans="1:29" x14ac:dyDescent="0.25">
      <c r="A53" s="1">
        <v>650</v>
      </c>
      <c r="B53" s="1"/>
      <c r="C53" s="13"/>
      <c r="D53" s="12"/>
      <c r="E53" s="12"/>
      <c r="F53" s="12"/>
      <c r="G53" s="12"/>
      <c r="H53" s="12"/>
      <c r="I53" s="12"/>
      <c r="J53" s="13"/>
      <c r="K53" s="13"/>
      <c r="L53" s="13"/>
      <c r="M53" s="13"/>
      <c r="N53" s="13"/>
      <c r="O53" s="13"/>
      <c r="P53" s="22" t="str" cm="1">
        <f t="array" ref="P53">IF(OR(ISBLANK($A53),ISBLANK(C53)), "", TrajectoryInCM(C53,$A53,P$32))</f>
        <v/>
      </c>
      <c r="Q53" s="12" t="str" cm="1">
        <f t="array" ref="Q53">IF(OR(ISBLANK($A53),ISBLANK(D53)), "", TrajectoryInCM(D53,$A53,Q$32))</f>
        <v/>
      </c>
      <c r="R53" s="12" t="str" cm="1">
        <f t="array" ref="R53">IF(OR(ISBLANK($A53),ISBLANK(E53)), "", TrajectoryInCM(E53,$A53,R$32))</f>
        <v/>
      </c>
      <c r="S53" s="12" t="str" cm="1">
        <f t="array" ref="S53">IF(OR(ISBLANK($A53),ISBLANK(F53)), "", TrajectoryInCM(F53,$A53,S$32))</f>
        <v/>
      </c>
      <c r="T53" s="12" t="str" cm="1">
        <f t="array" ref="T53">IF(OR(ISBLANK($A53),ISBLANK(G53)), "", TrajectoryInCM(G53,$A53,T$32))</f>
        <v/>
      </c>
      <c r="U53" s="12" t="str" cm="1">
        <f t="array" ref="U53">IF(OR(ISBLANK($A53),ISBLANK(H53)), "", TrajectoryInCM(H53,$A53,U$32))</f>
        <v/>
      </c>
      <c r="V53" s="12" t="str" cm="1">
        <f t="array" ref="V53">IF(OR(ISBLANK($A53),ISBLANK(I53)), "", TrajectoryInCM(I53,$A53,V$32))</f>
        <v/>
      </c>
      <c r="W53" s="13" t="str" cm="1">
        <f t="array" ref="W53">IF(OR(ISBLANK($A53),ISBLANK(J53)), "", TrajectoryInCM(J53,$A53,W$32))</f>
        <v/>
      </c>
      <c r="X53" s="13" t="str" cm="1">
        <f t="array" ref="X53">IF(OR(ISBLANK($A53),ISBLANK(K53)), "", TrajectoryInCM(K53,$A53,X$32))</f>
        <v/>
      </c>
      <c r="Y53" s="13" t="str" cm="1">
        <f t="array" ref="Y53">IF(OR(ISBLANK($A53),ISBLANK(L53)), "", TrajectoryInCM(L53,$A53,Y$32))</f>
        <v/>
      </c>
      <c r="Z53" s="13" t="str" cm="1">
        <f t="array" ref="Z53">IF(OR(ISBLANK($A53),ISBLANK(M53)), "", TrajectoryInCM(M53,$A53,Z$32))</f>
        <v/>
      </c>
      <c r="AA53" s="13" t="str" cm="1">
        <f t="array" ref="AA53">IF(OR(ISBLANK($A53),ISBLANK(N53)), "", TrajectoryInCM(N53,$A53,AA$32))</f>
        <v/>
      </c>
      <c r="AB53" s="13" t="str" cm="1">
        <f t="array" ref="AB53">IF(OR(ISBLANK($A53),ISBLANK(O53)), "", TrajectoryInCM(O53,$A53,AB$32))</f>
        <v/>
      </c>
      <c r="AC53" s="20" cm="1">
        <f t="array" ref="AC53">IF(ISBLANK($B$5),"",TrajectoryErrorCM($C$9,1,$A53))</f>
        <v>1.6011627016338275</v>
      </c>
    </row>
    <row r="54" spans="1:29" x14ac:dyDescent="0.25">
      <c r="A54" s="1">
        <v>700</v>
      </c>
      <c r="B54" s="1"/>
      <c r="C54" s="13"/>
      <c r="D54" s="12"/>
      <c r="E54" s="12"/>
      <c r="F54" s="12"/>
      <c r="G54" s="12"/>
      <c r="H54" s="12"/>
      <c r="I54" s="12"/>
      <c r="J54" s="13"/>
      <c r="K54" s="13"/>
      <c r="L54" s="11"/>
      <c r="M54" s="13"/>
      <c r="N54" s="13"/>
      <c r="O54" s="13"/>
      <c r="P54" s="22" t="str" cm="1">
        <f t="array" ref="P54">IF(OR(ISBLANK($A54),ISBLANK(C54)), "", TrajectoryInCM(C54,$A54,P$32))</f>
        <v/>
      </c>
      <c r="Q54" s="12" t="str" cm="1">
        <f t="array" ref="Q54">IF(OR(ISBLANK($A54),ISBLANK(D54)), "", TrajectoryInCM(D54,$A54,Q$32))</f>
        <v/>
      </c>
      <c r="R54" s="12" t="str" cm="1">
        <f t="array" ref="R54">IF(OR(ISBLANK($A54),ISBLANK(E54)), "", TrajectoryInCM(E54,$A54,R$32))</f>
        <v/>
      </c>
      <c r="S54" s="12" t="str" cm="1">
        <f t="array" ref="S54">IF(OR(ISBLANK($A54),ISBLANK(F54)), "", TrajectoryInCM(F54,$A54,S$32))</f>
        <v/>
      </c>
      <c r="T54" s="12" t="str" cm="1">
        <f t="array" ref="T54">IF(OR(ISBLANK($A54),ISBLANK(G54)), "", TrajectoryInCM(G54,$A54,T$32))</f>
        <v/>
      </c>
      <c r="U54" s="12" t="str" cm="1">
        <f t="array" ref="U54">IF(OR(ISBLANK($A54),ISBLANK(H54)), "", TrajectoryInCM(H54,$A54,U$32))</f>
        <v/>
      </c>
      <c r="V54" s="12" t="str" cm="1">
        <f t="array" ref="V54">IF(OR(ISBLANK($A54),ISBLANK(I54)), "", TrajectoryInCM(I54,$A54,V$32))</f>
        <v/>
      </c>
      <c r="W54" s="13" t="str" cm="1">
        <f t="array" ref="W54">IF(OR(ISBLANK($A54),ISBLANK(J54)), "", TrajectoryInCM(J54,$A54,W$32))</f>
        <v/>
      </c>
      <c r="X54" s="13" t="str" cm="1">
        <f t="array" ref="X54">IF(OR(ISBLANK($A54),ISBLANK(K54)), "", TrajectoryInCM(K54,$A54,X$32))</f>
        <v/>
      </c>
      <c r="Y54" s="11" t="str" cm="1">
        <f t="array" ref="Y54">IF(OR(ISBLANK($A54),ISBLANK(L54)), "", TrajectoryInCM(L54,$A54,Y$32))</f>
        <v/>
      </c>
      <c r="Z54" s="13" t="str" cm="1">
        <f t="array" ref="Z54">IF(OR(ISBLANK($A54),ISBLANK(M54)), "", TrajectoryInCM(M54,$A54,Z$32))</f>
        <v/>
      </c>
      <c r="AA54" s="13" t="str" cm="1">
        <f t="array" ref="AA54">IF(OR(ISBLANK($A54),ISBLANK(N54)), "", TrajectoryInCM(N54,$A54,AA$32))</f>
        <v/>
      </c>
      <c r="AB54" s="13" t="str" cm="1">
        <f t="array" ref="AB54">IF(OR(ISBLANK($A54),ISBLANK(O54)), "", TrajectoryInCM(O54,$A54,AB$32))</f>
        <v/>
      </c>
      <c r="AC54" s="20" cm="1">
        <f t="array" ref="AC54">IF(ISBLANK($B$5),"",TrajectoryErrorCM($C$9,1,$A54))</f>
        <v>1.724329063297968</v>
      </c>
    </row>
    <row r="55" spans="1:29" x14ac:dyDescent="0.25">
      <c r="A55" s="1">
        <v>750</v>
      </c>
      <c r="B55" s="1"/>
      <c r="C55" s="13"/>
      <c r="D55" s="12"/>
      <c r="E55" s="12"/>
      <c r="F55" s="12"/>
      <c r="G55" s="12"/>
      <c r="H55" s="12"/>
      <c r="I55" s="12"/>
      <c r="J55" s="13"/>
      <c r="K55" s="13"/>
      <c r="L55" s="13"/>
      <c r="M55" s="13"/>
      <c r="N55" s="13"/>
      <c r="O55" s="13"/>
      <c r="P55" s="22" t="str" cm="1">
        <f t="array" ref="P55">IF(OR(ISBLANK($A55),ISBLANK(C55)), "", TrajectoryInCM(C55,$A55,P$32))</f>
        <v/>
      </c>
      <c r="Q55" s="12" t="str" cm="1">
        <f t="array" ref="Q55">IF(OR(ISBLANK($A55),ISBLANK(D55)), "", TrajectoryInCM(D55,$A55,Q$32))</f>
        <v/>
      </c>
      <c r="R55" s="12" t="str" cm="1">
        <f t="array" ref="R55">IF(OR(ISBLANK($A55),ISBLANK(E55)), "", TrajectoryInCM(E55,$A55,R$32))</f>
        <v/>
      </c>
      <c r="S55" s="12" t="str" cm="1">
        <f t="array" ref="S55">IF(OR(ISBLANK($A55),ISBLANK(F55)), "", TrajectoryInCM(F55,$A55,S$32))</f>
        <v/>
      </c>
      <c r="T55" s="12" t="str" cm="1">
        <f t="array" ref="T55">IF(OR(ISBLANK($A55),ISBLANK(G55)), "", TrajectoryInCM(G55,$A55,T$32))</f>
        <v/>
      </c>
      <c r="U55" s="12" t="str" cm="1">
        <f t="array" ref="U55">IF(OR(ISBLANK($A55),ISBLANK(H55)), "", TrajectoryInCM(H55,$A55,U$32))</f>
        <v/>
      </c>
      <c r="V55" s="12" t="str" cm="1">
        <f t="array" ref="V55">IF(OR(ISBLANK($A55),ISBLANK(I55)), "", TrajectoryInCM(I55,$A55,V$32))</f>
        <v/>
      </c>
      <c r="W55" s="13" t="str" cm="1">
        <f t="array" ref="W55">IF(OR(ISBLANK($A55),ISBLANK(J55)), "", TrajectoryInCM(J55,$A55,W$32))</f>
        <v/>
      </c>
      <c r="X55" s="13" t="str" cm="1">
        <f t="array" ref="X55">IF(OR(ISBLANK($A55),ISBLANK(K55)), "", TrajectoryInCM(K55,$A55,X$32))</f>
        <v/>
      </c>
      <c r="Y55" s="13" t="str" cm="1">
        <f t="array" ref="Y55">IF(OR(ISBLANK($A55),ISBLANK(L55)), "", TrajectoryInCM(L55,$A55,Y$32))</f>
        <v/>
      </c>
      <c r="Z55" s="13" t="str" cm="1">
        <f t="array" ref="Z55">IF(OR(ISBLANK($A55),ISBLANK(M55)), "", TrajectoryInCM(M55,$A55,Z$32))</f>
        <v/>
      </c>
      <c r="AA55" s="13" t="str" cm="1">
        <f t="array" ref="AA55">IF(OR(ISBLANK($A55),ISBLANK(N55)), "", TrajectoryInCM(N55,$A55,AA$32))</f>
        <v/>
      </c>
      <c r="AB55" s="13" t="str" cm="1">
        <f t="array" ref="AB55">IF(OR(ISBLANK($A55),ISBLANK(O55)), "", TrajectoryInCM(O55,$A55,AB$32))</f>
        <v/>
      </c>
      <c r="AC55" s="20" cm="1">
        <f t="array" ref="AC55">IF(ISBLANK($B$5),"",TrajectoryErrorCM($C$9,1,$A55))</f>
        <v>1.8474954249621085</v>
      </c>
    </row>
    <row r="56" spans="1:29" x14ac:dyDescent="0.25">
      <c r="A56" s="1">
        <v>800</v>
      </c>
      <c r="B56" s="1"/>
      <c r="C56" s="13"/>
      <c r="D56" s="12"/>
      <c r="E56" s="12"/>
      <c r="F56" s="12"/>
      <c r="G56" s="12"/>
      <c r="H56" s="12"/>
      <c r="I56" s="12"/>
      <c r="J56" s="13"/>
      <c r="K56" s="13"/>
      <c r="L56" s="13"/>
      <c r="M56" s="11"/>
      <c r="N56" s="13"/>
      <c r="O56" s="13"/>
      <c r="P56" s="22" t="str" cm="1">
        <f t="array" ref="P56">IF(OR(ISBLANK($A56),ISBLANK(C56)), "", TrajectoryInCM(C56,$A56,P$32))</f>
        <v/>
      </c>
      <c r="Q56" s="12" t="str" cm="1">
        <f t="array" ref="Q56">IF(OR(ISBLANK($A56),ISBLANK(D56)), "", TrajectoryInCM(D56,$A56,Q$32))</f>
        <v/>
      </c>
      <c r="R56" s="12" t="str" cm="1">
        <f t="array" ref="R56">IF(OR(ISBLANK($A56),ISBLANK(E56)), "", TrajectoryInCM(E56,$A56,R$32))</f>
        <v/>
      </c>
      <c r="S56" s="12" t="str" cm="1">
        <f t="array" ref="S56">IF(OR(ISBLANK($A56),ISBLANK(F56)), "", TrajectoryInCM(F56,$A56,S$32))</f>
        <v/>
      </c>
      <c r="T56" s="12" t="str" cm="1">
        <f t="array" ref="T56">IF(OR(ISBLANK($A56),ISBLANK(G56)), "", TrajectoryInCM(G56,$A56,T$32))</f>
        <v/>
      </c>
      <c r="U56" s="12" t="str" cm="1">
        <f t="array" ref="U56">IF(OR(ISBLANK($A56),ISBLANK(H56)), "", TrajectoryInCM(H56,$A56,U$32))</f>
        <v/>
      </c>
      <c r="V56" s="12" t="str" cm="1">
        <f t="array" ref="V56">IF(OR(ISBLANK($A56),ISBLANK(I56)), "", TrajectoryInCM(I56,$A56,V$32))</f>
        <v/>
      </c>
      <c r="W56" s="13" t="str" cm="1">
        <f t="array" ref="W56">IF(OR(ISBLANK($A56),ISBLANK(J56)), "", TrajectoryInCM(J56,$A56,W$32))</f>
        <v/>
      </c>
      <c r="X56" s="13" t="str" cm="1">
        <f t="array" ref="X56">IF(OR(ISBLANK($A56),ISBLANK(K56)), "", TrajectoryInCM(K56,$A56,X$32))</f>
        <v/>
      </c>
      <c r="Y56" s="13" t="str" cm="1">
        <f t="array" ref="Y56">IF(OR(ISBLANK($A56),ISBLANK(L56)), "", TrajectoryInCM(L56,$A56,Y$32))</f>
        <v/>
      </c>
      <c r="Z56" s="11" t="str" cm="1">
        <f t="array" ref="Z56">IF(OR(ISBLANK($A56),ISBLANK(M56)), "", TrajectoryInCM(M56,$A56,Z$32))</f>
        <v/>
      </c>
      <c r="AA56" s="13" t="str" cm="1">
        <f t="array" ref="AA56">IF(OR(ISBLANK($A56),ISBLANK(N56)), "", TrajectoryInCM(N56,$A56,AA$32))</f>
        <v/>
      </c>
      <c r="AB56" s="13" t="str" cm="1">
        <f t="array" ref="AB56">IF(OR(ISBLANK($A56),ISBLANK(O56)), "", TrajectoryInCM(O56,$A56,AB$32))</f>
        <v/>
      </c>
      <c r="AC56" s="20" cm="1">
        <f t="array" ref="AC56">IF(ISBLANK($B$5),"",TrajectoryErrorCM($C$9,1,$A56))</f>
        <v>1.970661786626249</v>
      </c>
    </row>
    <row r="57" spans="1:29" x14ac:dyDescent="0.25">
      <c r="A57" s="1">
        <v>850</v>
      </c>
      <c r="B57" s="1"/>
      <c r="C57" s="13"/>
      <c r="D57" s="12"/>
      <c r="E57" s="12"/>
      <c r="F57" s="12"/>
      <c r="G57" s="12"/>
      <c r="H57" s="12"/>
      <c r="I57" s="12"/>
      <c r="J57" s="13"/>
      <c r="K57" s="13"/>
      <c r="L57" s="13"/>
      <c r="M57" s="13"/>
      <c r="N57" s="13"/>
      <c r="O57" s="13"/>
      <c r="P57" s="22" t="str" cm="1">
        <f t="array" ref="P57">IF(OR(ISBLANK($A57),ISBLANK(C57)), "", TrajectoryInCM(C57,$A57,P$32))</f>
        <v/>
      </c>
      <c r="Q57" s="12" t="str" cm="1">
        <f t="array" ref="Q57">IF(OR(ISBLANK($A57),ISBLANK(D57)), "", TrajectoryInCM(D57,$A57,Q$32))</f>
        <v/>
      </c>
      <c r="R57" s="12" t="str" cm="1">
        <f t="array" ref="R57">IF(OR(ISBLANK($A57),ISBLANK(E57)), "", TrajectoryInCM(E57,$A57,R$32))</f>
        <v/>
      </c>
      <c r="S57" s="12" t="str" cm="1">
        <f t="array" ref="S57">IF(OR(ISBLANK($A57),ISBLANK(F57)), "", TrajectoryInCM(F57,$A57,S$32))</f>
        <v/>
      </c>
      <c r="T57" s="12" t="str" cm="1">
        <f t="array" ref="T57">IF(OR(ISBLANK($A57),ISBLANK(G57)), "", TrajectoryInCM(G57,$A57,T$32))</f>
        <v/>
      </c>
      <c r="U57" s="12" t="str" cm="1">
        <f t="array" ref="U57">IF(OR(ISBLANK($A57),ISBLANK(H57)), "", TrajectoryInCM(H57,$A57,U$32))</f>
        <v/>
      </c>
      <c r="V57" s="12" t="str" cm="1">
        <f t="array" ref="V57">IF(OR(ISBLANK($A57),ISBLANK(I57)), "", TrajectoryInCM(I57,$A57,V$32))</f>
        <v/>
      </c>
      <c r="W57" s="13" t="str" cm="1">
        <f t="array" ref="W57">IF(OR(ISBLANK($A57),ISBLANK(J57)), "", TrajectoryInCM(J57,$A57,W$32))</f>
        <v/>
      </c>
      <c r="X57" s="13" t="str" cm="1">
        <f t="array" ref="X57">IF(OR(ISBLANK($A57),ISBLANK(K57)), "", TrajectoryInCM(K57,$A57,X$32))</f>
        <v/>
      </c>
      <c r="Y57" s="13" t="str" cm="1">
        <f t="array" ref="Y57">IF(OR(ISBLANK($A57),ISBLANK(L57)), "", TrajectoryInCM(L57,$A57,Y$32))</f>
        <v/>
      </c>
      <c r="Z57" s="13" t="str" cm="1">
        <f t="array" ref="Z57">IF(OR(ISBLANK($A57),ISBLANK(M57)), "", TrajectoryInCM(M57,$A57,Z$32))</f>
        <v/>
      </c>
      <c r="AA57" s="13" t="str" cm="1">
        <f t="array" ref="AA57">IF(OR(ISBLANK($A57),ISBLANK(N57)), "", TrajectoryInCM(N57,$A57,AA$32))</f>
        <v/>
      </c>
      <c r="AB57" s="13" t="str" cm="1">
        <f t="array" ref="AB57">IF(OR(ISBLANK($A57),ISBLANK(O57)), "", TrajectoryInCM(O57,$A57,AB$32))</f>
        <v/>
      </c>
      <c r="AC57" s="20" cm="1">
        <f t="array" ref="AC57">IF(ISBLANK($B$5),"",TrajectoryErrorCM($C$9,1,$A57))</f>
        <v>2.0938281482903895</v>
      </c>
    </row>
    <row r="58" spans="1:29" x14ac:dyDescent="0.25">
      <c r="A58" s="1">
        <v>900</v>
      </c>
      <c r="B58" s="1"/>
      <c r="C58" s="13"/>
      <c r="D58" s="12"/>
      <c r="E58" s="12"/>
      <c r="F58" s="12"/>
      <c r="G58" s="12"/>
      <c r="H58" s="12"/>
      <c r="I58" s="12"/>
      <c r="J58" s="13"/>
      <c r="K58" s="13"/>
      <c r="L58" s="13"/>
      <c r="M58" s="13"/>
      <c r="N58" s="11"/>
      <c r="O58" s="13"/>
      <c r="P58" s="22" t="str" cm="1">
        <f t="array" ref="P58">IF(OR(ISBLANK($A58),ISBLANK(C58)), "", TrajectoryInCM(C58,$A58,P$32))</f>
        <v/>
      </c>
      <c r="Q58" s="12" t="str" cm="1">
        <f t="array" ref="Q58">IF(OR(ISBLANK($A58),ISBLANK(D58)), "", TrajectoryInCM(D58,$A58,Q$32))</f>
        <v/>
      </c>
      <c r="R58" s="12" t="str" cm="1">
        <f t="array" ref="R58">IF(OR(ISBLANK($A58),ISBLANK(E58)), "", TrajectoryInCM(E58,$A58,R$32))</f>
        <v/>
      </c>
      <c r="S58" s="12" t="str" cm="1">
        <f t="array" ref="S58">IF(OR(ISBLANK($A58),ISBLANK(F58)), "", TrajectoryInCM(F58,$A58,S$32))</f>
        <v/>
      </c>
      <c r="T58" s="12" t="str" cm="1">
        <f t="array" ref="T58">IF(OR(ISBLANK($A58),ISBLANK(G58)), "", TrajectoryInCM(G58,$A58,T$32))</f>
        <v/>
      </c>
      <c r="U58" s="12" t="str" cm="1">
        <f t="array" ref="U58">IF(OR(ISBLANK($A58),ISBLANK(H58)), "", TrajectoryInCM(H58,$A58,U$32))</f>
        <v/>
      </c>
      <c r="V58" s="12" t="str" cm="1">
        <f t="array" ref="V58">IF(OR(ISBLANK($A58),ISBLANK(I58)), "", TrajectoryInCM(I58,$A58,V$32))</f>
        <v/>
      </c>
      <c r="W58" s="13" t="str" cm="1">
        <f t="array" ref="W58">IF(OR(ISBLANK($A58),ISBLANK(J58)), "", TrajectoryInCM(J58,$A58,W$32))</f>
        <v/>
      </c>
      <c r="X58" s="13" t="str" cm="1">
        <f t="array" ref="X58">IF(OR(ISBLANK($A58),ISBLANK(K58)), "", TrajectoryInCM(K58,$A58,X$32))</f>
        <v/>
      </c>
      <c r="Y58" s="13" t="str" cm="1">
        <f t="array" ref="Y58">IF(OR(ISBLANK($A58),ISBLANK(L58)), "", TrajectoryInCM(L58,$A58,Y$32))</f>
        <v/>
      </c>
      <c r="Z58" s="13" t="str" cm="1">
        <f t="array" ref="Z58">IF(OR(ISBLANK($A58),ISBLANK(M58)), "", TrajectoryInCM(M58,$A58,Z$32))</f>
        <v/>
      </c>
      <c r="AA58" s="11" t="str" cm="1">
        <f t="array" ref="AA58">IF(OR(ISBLANK($A58),ISBLANK(N58)), "", TrajectoryInCM(N58,$A58,AA$32))</f>
        <v/>
      </c>
      <c r="AB58" s="13" t="str" cm="1">
        <f t="array" ref="AB58">IF(OR(ISBLANK($A58),ISBLANK(O58)), "", TrajectoryInCM(O58,$A58,AB$32))</f>
        <v/>
      </c>
      <c r="AC58" s="20" cm="1">
        <f t="array" ref="AC58">IF(ISBLANK($B$5),"",TrajectoryErrorCM($C$9,1,$A58))</f>
        <v>2.2169945099545303</v>
      </c>
    </row>
    <row r="59" spans="1:29" x14ac:dyDescent="0.25">
      <c r="A59" s="1">
        <v>950</v>
      </c>
      <c r="B59" s="1"/>
      <c r="C59" s="13"/>
      <c r="D59" s="12"/>
      <c r="E59" s="12"/>
      <c r="F59" s="12"/>
      <c r="G59" s="12"/>
      <c r="H59" s="12"/>
      <c r="I59" s="12"/>
      <c r="J59" s="13"/>
      <c r="K59" s="13"/>
      <c r="L59" s="13"/>
      <c r="M59" s="13"/>
      <c r="N59" s="13"/>
      <c r="O59" s="13"/>
      <c r="P59" s="22" t="str" cm="1">
        <f t="array" ref="P59">IF(OR(ISBLANK($A59),ISBLANK(C59)), "", TrajectoryInCM(C59,$A59,P$32))</f>
        <v/>
      </c>
      <c r="Q59" s="12" t="str" cm="1">
        <f t="array" ref="Q59">IF(OR(ISBLANK($A59),ISBLANK(D59)), "", TrajectoryInCM(D59,$A59,Q$32))</f>
        <v/>
      </c>
      <c r="R59" s="12" t="str" cm="1">
        <f t="array" ref="R59">IF(OR(ISBLANK($A59),ISBLANK(E59)), "", TrajectoryInCM(E59,$A59,R$32))</f>
        <v/>
      </c>
      <c r="S59" s="12" t="str" cm="1">
        <f t="array" ref="S59">IF(OR(ISBLANK($A59),ISBLANK(F59)), "", TrajectoryInCM(F59,$A59,S$32))</f>
        <v/>
      </c>
      <c r="T59" s="12" t="str" cm="1">
        <f t="array" ref="T59">IF(OR(ISBLANK($A59),ISBLANK(G59)), "", TrajectoryInCM(G59,$A59,T$32))</f>
        <v/>
      </c>
      <c r="U59" s="12" t="str" cm="1">
        <f t="array" ref="U59">IF(OR(ISBLANK($A59),ISBLANK(H59)), "", TrajectoryInCM(H59,$A59,U$32))</f>
        <v/>
      </c>
      <c r="V59" s="12" t="str" cm="1">
        <f t="array" ref="V59">IF(OR(ISBLANK($A59),ISBLANK(I59)), "", TrajectoryInCM(I59,$A59,V$32))</f>
        <v/>
      </c>
      <c r="W59" s="13" t="str" cm="1">
        <f t="array" ref="W59">IF(OR(ISBLANK($A59),ISBLANK(J59)), "", TrajectoryInCM(J59,$A59,W$32))</f>
        <v/>
      </c>
      <c r="X59" s="13" t="str" cm="1">
        <f t="array" ref="X59">IF(OR(ISBLANK($A59),ISBLANK(K59)), "", TrajectoryInCM(K59,$A59,X$32))</f>
        <v/>
      </c>
      <c r="Y59" s="13" t="str" cm="1">
        <f t="array" ref="Y59">IF(OR(ISBLANK($A59),ISBLANK(L59)), "", TrajectoryInCM(L59,$A59,Y$32))</f>
        <v/>
      </c>
      <c r="Z59" s="13" t="str" cm="1">
        <f t="array" ref="Z59">IF(OR(ISBLANK($A59),ISBLANK(M59)), "", TrajectoryInCM(M59,$A59,Z$32))</f>
        <v/>
      </c>
      <c r="AA59" s="13" t="str" cm="1">
        <f t="array" ref="AA59">IF(OR(ISBLANK($A59),ISBLANK(N59)), "", TrajectoryInCM(N59,$A59,AA$32))</f>
        <v/>
      </c>
      <c r="AB59" s="13" t="str" cm="1">
        <f t="array" ref="AB59">IF(OR(ISBLANK($A59),ISBLANK(O59)), "", TrajectoryInCM(O59,$A59,AB$32))</f>
        <v/>
      </c>
      <c r="AC59" s="20" cm="1">
        <f t="array" ref="AC59">IF(ISBLANK($B$5),"",TrajectoryErrorCM($C$9,1,$A59))</f>
        <v>2.3401608716186706</v>
      </c>
    </row>
    <row r="60" spans="1:29" x14ac:dyDescent="0.25">
      <c r="A60" s="1">
        <v>1000</v>
      </c>
      <c r="B60" s="1"/>
      <c r="C60" s="13"/>
      <c r="D60" s="12"/>
      <c r="E60" s="12"/>
      <c r="F60" s="12"/>
      <c r="G60" s="12"/>
      <c r="H60" s="12"/>
      <c r="I60" s="12"/>
      <c r="J60" s="13"/>
      <c r="K60" s="13"/>
      <c r="L60" s="13"/>
      <c r="M60" s="13"/>
      <c r="N60" s="13"/>
      <c r="O60" s="11"/>
      <c r="P60" s="22" t="str" cm="1">
        <f t="array" ref="P60">IF(OR(ISBLANK($A60),ISBLANK(C60)), "", TrajectoryInCM(C60,$A60,P$32))</f>
        <v/>
      </c>
      <c r="Q60" s="12" t="str" cm="1">
        <f t="array" ref="Q60">IF(OR(ISBLANK($A60),ISBLANK(D60)), "", TrajectoryInCM(D60,$A60,Q$32))</f>
        <v/>
      </c>
      <c r="R60" s="12" t="str" cm="1">
        <f t="array" ref="R60">IF(OR(ISBLANK($A60),ISBLANK(E60)), "", TrajectoryInCM(E60,$A60,R$32))</f>
        <v/>
      </c>
      <c r="S60" s="12" t="str" cm="1">
        <f t="array" ref="S60">IF(OR(ISBLANK($A60),ISBLANK(F60)), "", TrajectoryInCM(F60,$A60,S$32))</f>
        <v/>
      </c>
      <c r="T60" s="12" t="str" cm="1">
        <f t="array" ref="T60">IF(OR(ISBLANK($A60),ISBLANK(G60)), "", TrajectoryInCM(G60,$A60,T$32))</f>
        <v/>
      </c>
      <c r="U60" s="12" t="str" cm="1">
        <f t="array" ref="U60">IF(OR(ISBLANK($A60),ISBLANK(H60)), "", TrajectoryInCM(H60,$A60,U$32))</f>
        <v/>
      </c>
      <c r="V60" s="12" t="str" cm="1">
        <f t="array" ref="V60">IF(OR(ISBLANK($A60),ISBLANK(I60)), "", TrajectoryInCM(I60,$A60,V$32))</f>
        <v/>
      </c>
      <c r="W60" s="13" t="str" cm="1">
        <f t="array" ref="W60">IF(OR(ISBLANK($A60),ISBLANK(J60)), "", TrajectoryInCM(J60,$A60,W$32))</f>
        <v/>
      </c>
      <c r="X60" s="13" t="str" cm="1">
        <f t="array" ref="X60">IF(OR(ISBLANK($A60),ISBLANK(K60)), "", TrajectoryInCM(K60,$A60,X$32))</f>
        <v/>
      </c>
      <c r="Y60" s="13" t="str" cm="1">
        <f t="array" ref="Y60">IF(OR(ISBLANK($A60),ISBLANK(L60)), "", TrajectoryInCM(L60,$A60,Y$32))</f>
        <v/>
      </c>
      <c r="Z60" s="13" t="str" cm="1">
        <f t="array" ref="Z60">IF(OR(ISBLANK($A60),ISBLANK(M60)), "", TrajectoryInCM(M60,$A60,Z$32))</f>
        <v/>
      </c>
      <c r="AA60" s="13" t="str" cm="1">
        <f t="array" ref="AA60">IF(OR(ISBLANK($A60),ISBLANK(N60)), "", TrajectoryInCM(N60,$A60,AA$32))</f>
        <v/>
      </c>
      <c r="AB60" s="11" t="str" cm="1">
        <f t="array" ref="AB60">IF(OR(ISBLANK($A60),ISBLANK(O60)), "", TrajectoryInCM(O60,$A60,AB$32))</f>
        <v/>
      </c>
      <c r="AC60" s="20" cm="1">
        <f t="array" ref="AC60">IF(ISBLANK($B$5),"",TrajectoryErrorCM($C$9,1,$A60))</f>
        <v>2.4633272332828113</v>
      </c>
    </row>
    <row r="103" spans="1:29" x14ac:dyDescent="0.25">
      <c r="A103" s="32" t="s">
        <v>71</v>
      </c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</row>
    <row r="104" spans="1:29" x14ac:dyDescent="0.25">
      <c r="A104" s="32" t="s">
        <v>72</v>
      </c>
      <c r="B104" s="33" t="str" cm="1">
        <f t="array" ref="B104">IF(OR(ISBLANK(B$103),B$103&lt;=0),"",ComputeLeastSquaresRegression(B$103,A$37:A$50,B$37:B$50))</f>
        <v/>
      </c>
      <c r="C104" s="33" t="str" cm="1">
        <f t="array" ref="C104">IF(OR(ISBLANK(C$103),C$103&lt;=0),"",ComputeLeastSquaresRegression(C$103,B$37:B$50,C$37:C$50))</f>
        <v/>
      </c>
      <c r="D104" s="33" t="str" cm="1">
        <f t="array" ref="D104">IF(OR(ISBLANK(D$103),D$103&lt;=0),"",ComputeLeastSquaresRegression(D$103,C$37:C$50,D$37:D$50))</f>
        <v/>
      </c>
      <c r="E104" s="33" t="str" cm="1">
        <f t="array" ref="E104">IF(OR(ISBLANK(E$103),E$103&lt;=0),"",ComputeLeastSquaresRegression(E$103,D$37:D$50,E$37:E$50))</f>
        <v/>
      </c>
      <c r="F104" s="33" t="str" cm="1">
        <f t="array" ref="F104">IF(OR(ISBLANK(F$103),F$103&lt;=0),"",ComputeLeastSquaresRegression(F$103,E$37:E$50,F$37:F$50))</f>
        <v/>
      </c>
      <c r="G104" s="33" t="str" cm="1">
        <f t="array" ref="G104">IF(OR(ISBLANK(G$103),G$103&lt;=0),"",ComputeLeastSquaresRegression(G$103,F$37:F$50,G$37:G$50))</f>
        <v/>
      </c>
      <c r="H104" s="33" t="str" cm="1">
        <f t="array" ref="H104">IF(OR(ISBLANK(H$103),H$103&lt;=0),"",ComputeLeastSquaresRegression(H$103,G$37:G$50,H$37:H$50))</f>
        <v/>
      </c>
      <c r="I104" s="33" t="str" cm="1">
        <f t="array" ref="I104">IF(OR(ISBLANK(I$103),I$103&lt;=0),"",ComputeLeastSquaresRegression(I$103,H$37:H$50,I$37:I$50))</f>
        <v/>
      </c>
      <c r="J104" s="33" t="str" cm="1">
        <f t="array" ref="J104">IF(OR(ISBLANK(J$103),J$103&lt;=0),"",ComputeLeastSquaresRegression(J$103,I$37:I$50,J$37:J$50))</f>
        <v/>
      </c>
      <c r="K104" s="33" t="str" cm="1">
        <f t="array" ref="K104">IF(OR(ISBLANK(K$103),K$103&lt;=0),"",ComputeLeastSquaresRegression(K$103,J$37:J$50,K$37:K$50))</f>
        <v/>
      </c>
      <c r="L104" s="33" t="str" cm="1">
        <f t="array" ref="L104">IF(OR(ISBLANK(L$103),L$103&lt;=0),"",ComputeLeastSquaresRegression(L$103,K$37:K$50,L$37:L$50))</f>
        <v/>
      </c>
      <c r="M104" s="33" t="str" cm="1">
        <f t="array" ref="M104">IF(OR(ISBLANK(M$103),M$103&lt;=0),"",ComputeLeastSquaresRegression(M$103,L$37:L$50,M$37:M$50))</f>
        <v/>
      </c>
      <c r="N104" s="33" t="str" cm="1">
        <f t="array" ref="N104">IF(OR(ISBLANK(N$103),N$103&lt;=0),"",ComputeLeastSquaresRegression(N$103,M$37:M$50,N$37:N$50))</f>
        <v/>
      </c>
      <c r="O104" s="33" t="str" cm="1">
        <f t="array" ref="O104">IF(OR(ISBLANK(O$103),O$103&lt;=0),"",ComputeLeastSquaresRegression(O$103,N$37:N$50,O$37:O$50))</f>
        <v/>
      </c>
      <c r="P104" s="33" t="str" cm="1">
        <f t="array" ref="P104">IF(OR(ISBLANK(P$103),P$103&lt;=0),"",ComputeLeastSquaresRegression(P$103,O$37:O$50,P$37:P$50))</f>
        <v/>
      </c>
      <c r="Q104" s="33" t="str" cm="1">
        <f t="array" ref="Q104">IF(OR(ISBLANK(Q$103),Q$103&lt;=0),"",ComputeLeastSquaresRegression(Q$103,P$37:P$50,Q$37:Q$50))</f>
        <v/>
      </c>
      <c r="R104" s="33" t="str" cm="1">
        <f t="array" ref="R104">IF(OR(ISBLANK(R$103),R$103&lt;=0),"",ComputeLeastSquaresRegression(R$103,Q$37:Q$50,R$37:R$50))</f>
        <v/>
      </c>
      <c r="S104" s="33" t="str" cm="1">
        <f t="array" ref="S104">IF(OR(ISBLANK(S$103),S$103&lt;=0),"",ComputeLeastSquaresRegression(S$103,R$37:R$50,S$37:S$50))</f>
        <v/>
      </c>
      <c r="T104" s="33" t="str" cm="1">
        <f t="array" ref="T104">IF(OR(ISBLANK(T$103),T$103&lt;=0),"",ComputeLeastSquaresRegression(T$103,S$37:S$50,T$37:T$50))</f>
        <v/>
      </c>
      <c r="U104" s="33" t="str" cm="1">
        <f t="array" ref="U104">IF(OR(ISBLANK(U$103),U$103&lt;=0),"",ComputeLeastSquaresRegression(U$103,T$37:T$50,U$37:U$50))</f>
        <v/>
      </c>
      <c r="V104" s="33" t="str" cm="1">
        <f t="array" ref="V104">IF(OR(ISBLANK(V$103),V$103&lt;=0),"",ComputeLeastSquaresRegression(V$103,U$37:U$50,V$37:V$50))</f>
        <v/>
      </c>
      <c r="W104" s="33" t="str" cm="1">
        <f t="array" ref="W104">IF(OR(ISBLANK(W$103),W$103&lt;=0),"",ComputeLeastSquaresRegression(W$103,V$37:V$50,W$37:W$50))</f>
        <v/>
      </c>
      <c r="X104" s="33" t="str" cm="1">
        <f t="array" ref="X104">IF(OR(ISBLANK(X$103),X$103&lt;=0),"",ComputeLeastSquaresRegression(X$103,W$37:W$50,X$37:X$50))</f>
        <v/>
      </c>
      <c r="Y104" s="33" t="str" cm="1">
        <f t="array" ref="Y104">IF(OR(ISBLANK(Y$103),Y$103&lt;=0),"",ComputeLeastSquaresRegression(Y$103,X$37:X$50,Y$37:Y$50))</f>
        <v/>
      </c>
      <c r="Z104" s="33" t="str" cm="1">
        <f t="array" ref="Z104">IF(OR(ISBLANK(Z$103),Z$103&lt;=0),"",ComputeLeastSquaresRegression(Z$103,Y$37:Y$50,Z$37:Z$50))</f>
        <v/>
      </c>
      <c r="AA104" s="33" t="str" cm="1">
        <f t="array" ref="AA104">IF(OR(ISBLANK(AA$103),AA$103&lt;=0),"",ComputeLeastSquaresRegression(AA$103,Z$37:Z$50,AA$37:AA$50))</f>
        <v/>
      </c>
      <c r="AB104" s="33" t="str" cm="1">
        <f t="array" ref="AB104">IF(OR(ISBLANK(AB$103),AB$103&lt;=0),"",ComputeLeastSquaresRegression(AB$103,AA$37:AA$50,AB$37:AB$50))</f>
        <v/>
      </c>
    </row>
    <row r="105" spans="1:29" x14ac:dyDescent="0.25">
      <c r="A105" s="32" t="s">
        <v>28</v>
      </c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15"/>
    </row>
    <row r="106" spans="1:29" x14ac:dyDescent="0.25">
      <c r="A106" s="32" t="s">
        <v>29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15"/>
    </row>
    <row r="107" spans="1:29" x14ac:dyDescent="0.25">
      <c r="A107" s="32" t="s">
        <v>30</v>
      </c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15"/>
    </row>
    <row r="108" spans="1:29" x14ac:dyDescent="0.25">
      <c r="A108" s="32" t="s">
        <v>31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15"/>
    </row>
    <row r="109" spans="1:29" x14ac:dyDescent="0.25">
      <c r="A109" s="32" t="s">
        <v>32</v>
      </c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15"/>
    </row>
    <row r="110" spans="1:29" x14ac:dyDescent="0.25">
      <c r="A110" s="32" t="s">
        <v>33</v>
      </c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15"/>
    </row>
    <row r="111" spans="1:29" x14ac:dyDescent="0.25">
      <c r="A111" s="32" t="s">
        <v>34</v>
      </c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15"/>
    </row>
    <row r="112" spans="1:29" ht="15.75" thickBot="1" x14ac:dyDescent="0.3"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x14ac:dyDescent="0.25">
      <c r="A113" s="36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8"/>
    </row>
    <row r="114" spans="1:29" x14ac:dyDescent="0.25">
      <c r="A114" s="39" t="s">
        <v>2</v>
      </c>
      <c r="B114" s="40" t="s">
        <v>73</v>
      </c>
      <c r="C114" s="40" t="s">
        <v>69</v>
      </c>
      <c r="D114" s="40" t="s">
        <v>70</v>
      </c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 t="s">
        <v>68</v>
      </c>
      <c r="Q114" s="60" t="s">
        <v>35</v>
      </c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1"/>
    </row>
    <row r="115" spans="1:29" x14ac:dyDescent="0.25">
      <c r="A115" s="41">
        <v>0</v>
      </c>
      <c r="B115" s="42" t="str" cm="1">
        <f t="array" ref="B115">IF( ISBLANK(B$105), "",EvaluatePolynomial(B$105:B$111,$A115))</f>
        <v/>
      </c>
      <c r="C115" s="42" t="str" cm="1">
        <f t="array" ref="C115">IF( ISBLANK(C$105), "",EvaluatePolynomial(C$105:C$111,$A115))</f>
        <v/>
      </c>
      <c r="D115" s="2" t="str" cm="1">
        <f t="array" ref="D115">IF( ISBLANK(D$105), "",EvaluatePolynomial(D$105:D$111,$A115))</f>
        <v/>
      </c>
      <c r="E115" s="2" t="str" cm="1">
        <f t="array" ref="E115">IF( ISBLANK(E$105), "",EvaluatePolynomial(E$105:E$111,$A115))</f>
        <v/>
      </c>
      <c r="F115" s="2" t="str" cm="1">
        <f t="array" ref="F115">IF( ISBLANK(F$105), "",EvaluatePolynomial(F$105:F$111,$A115))</f>
        <v/>
      </c>
      <c r="G115" s="2" t="str" cm="1">
        <f t="array" ref="G115">IF( ISBLANK(G$105), "",EvaluatePolynomial(G$105:G$111,$A115))</f>
        <v/>
      </c>
      <c r="H115" s="2" t="str" cm="1">
        <f t="array" ref="H115">IF( ISBLANK(H$105), "",EvaluatePolynomial(H$105:H$111,$A115))</f>
        <v/>
      </c>
      <c r="I115" s="2" t="str" cm="1">
        <f t="array" ref="I115">IF( ISBLANK(I$105), "",EvaluatePolynomial(I$105:I$111,$A115))</f>
        <v/>
      </c>
      <c r="J115" s="2" t="str" cm="1">
        <f t="array" ref="J115">IF( ISBLANK(J$105), "",EvaluatePolynomial(J$105:J$111,$A115))</f>
        <v/>
      </c>
      <c r="K115" s="2" t="str" cm="1">
        <f t="array" ref="K115">IF( ISBLANK(K$105), "",EvaluatePolynomial(K$105:K$111,$A115))</f>
        <v/>
      </c>
      <c r="L115" s="2" t="str" cm="1">
        <f t="array" ref="L115">IF( ISBLANK(L$105), "",EvaluatePolynomial(L$105:L$111,$A115))</f>
        <v/>
      </c>
      <c r="M115" s="2" t="str" cm="1">
        <f t="array" ref="M115">IF( ISBLANK(M$105), "",EvaluatePolynomial(M$105:M$111,$A115))</f>
        <v/>
      </c>
      <c r="N115" s="2" t="str" cm="1">
        <f t="array" ref="N115">IF( ISBLANK(N$105), "",EvaluatePolynomial(N$105:N$111,$A115))</f>
        <v/>
      </c>
      <c r="O115" s="2" t="str" cm="1">
        <f t="array" ref="O115">IF( ISBLANK(O$105), "",EvaluatePolynomial(O$105:O$111,$A115))</f>
        <v/>
      </c>
      <c r="P115" s="2" t="str" cm="1">
        <f t="array" ref="P115">IF( ISBLANK(P$105), "",EvaluatePolynomial(P$105:P$111,$A115))</f>
        <v/>
      </c>
      <c r="Q115" s="2" t="str" cm="1">
        <f t="array" ref="Q115">IF( ISBLANK(Q$105), "",EvaluatePolynomial(Q$105:Q$111,$A115))</f>
        <v/>
      </c>
      <c r="R115" s="2" t="str" cm="1">
        <f t="array" ref="R115">IF( ISBLANK(R$105), "",EvaluatePolynomial(R$105:R$111,$A115))</f>
        <v/>
      </c>
      <c r="S115" s="2" t="str" cm="1">
        <f t="array" ref="S115">IF( ISBLANK(S$105), "",EvaluatePolynomial(S$105:S$111,$A115))</f>
        <v/>
      </c>
      <c r="T115" s="2" t="str" cm="1">
        <f t="array" ref="T115">IF( ISBLANK(T$105), "",EvaluatePolynomial(T$105:T$111,$A115))</f>
        <v/>
      </c>
      <c r="U115" s="2" t="str" cm="1">
        <f t="array" ref="U115">IF( ISBLANK(U$105), "",EvaluatePolynomial(U$105:U$111,$A115))</f>
        <v/>
      </c>
      <c r="V115" s="2" t="str" cm="1">
        <f t="array" ref="V115">IF( ISBLANK(V$105), "",EvaluatePolynomial(V$105:V$111,$A115))</f>
        <v/>
      </c>
      <c r="W115" s="2" t="str" cm="1">
        <f t="array" ref="W115">IF( ISBLANK(W$105), "",EvaluatePolynomial(W$105:W$111,$A115))</f>
        <v/>
      </c>
      <c r="X115" s="2" t="str" cm="1">
        <f t="array" ref="X115">IF( ISBLANK(X$105), "",EvaluatePolynomial(X$105:X$111,$A115))</f>
        <v/>
      </c>
      <c r="Y115" s="2" t="str" cm="1">
        <f t="array" ref="Y115">IF( ISBLANK(Y$105), "",EvaluatePolynomial(Y$105:Y$111,$A115))</f>
        <v/>
      </c>
      <c r="Z115" s="2" t="str" cm="1">
        <f t="array" ref="Z115">IF( ISBLANK(Z$105), "",EvaluatePolynomial(Z$105:Z$111,$A115))</f>
        <v/>
      </c>
      <c r="AA115" s="2" t="str" cm="1">
        <f t="array" ref="AA115">IF( ISBLANK(AA$105), "",EvaluatePolynomial(AA$105:AA$111,$A115))</f>
        <v/>
      </c>
      <c r="AB115" s="43" t="str" cm="1">
        <f t="array" ref="AB115">IF( ISBLANK(AB$105), "",EvaluatePolynomial(AB$105:AB$111,$A115))</f>
        <v/>
      </c>
      <c r="AC115" s="2"/>
    </row>
    <row r="116" spans="1:29" x14ac:dyDescent="0.25">
      <c r="A116" s="41">
        <v>25</v>
      </c>
      <c r="B116" s="42" t="str" cm="1">
        <f t="array" ref="B116">IF( ISBLANK(B$105), "",EvaluatePolynomial(B$105:B$111,$A116))</f>
        <v/>
      </c>
      <c r="C116" s="42" t="str" cm="1">
        <f t="array" ref="C116">IF( ISBLANK(C$105), "",EvaluatePolynomial(C$105:C$111,$A116))</f>
        <v/>
      </c>
      <c r="D116" s="2" t="str" cm="1">
        <f t="array" ref="D116">IF( ISBLANK(D$105), "",EvaluatePolynomial(D$105:D$111,$A116))</f>
        <v/>
      </c>
      <c r="E116" s="2" t="str" cm="1">
        <f t="array" ref="E116">IF( ISBLANK(E$105), "",EvaluatePolynomial(E$105:E$111,$A116))</f>
        <v/>
      </c>
      <c r="F116" s="2" t="str" cm="1">
        <f t="array" ref="F116">IF( ISBLANK(F$105), "",EvaluatePolynomial(F$105:F$111,$A116))</f>
        <v/>
      </c>
      <c r="G116" s="2" t="str" cm="1">
        <f t="array" ref="G116">IF( ISBLANK(G$105), "",EvaluatePolynomial(G$105:G$111,$A116))</f>
        <v/>
      </c>
      <c r="H116" s="2" t="str" cm="1">
        <f t="array" ref="H116">IF( ISBLANK(H$105), "",EvaluatePolynomial(H$105:H$111,$A116))</f>
        <v/>
      </c>
      <c r="I116" s="2" t="str" cm="1">
        <f t="array" ref="I116">IF( ISBLANK(I$105), "",EvaluatePolynomial(I$105:I$111,$A116))</f>
        <v/>
      </c>
      <c r="J116" s="2" t="str" cm="1">
        <f t="array" ref="J116">IF( ISBLANK(J$105), "",EvaluatePolynomial(J$105:J$111,$A116))</f>
        <v/>
      </c>
      <c r="K116" s="2" t="str" cm="1">
        <f t="array" ref="K116">IF( ISBLANK(K$105), "",EvaluatePolynomial(K$105:K$111,$A116))</f>
        <v/>
      </c>
      <c r="L116" s="2" t="str" cm="1">
        <f t="array" ref="L116">IF( ISBLANK(L$105), "",EvaluatePolynomial(L$105:L$111,$A116))</f>
        <v/>
      </c>
      <c r="M116" s="2" t="str" cm="1">
        <f t="array" ref="M116">IF( ISBLANK(M$105), "",EvaluatePolynomial(M$105:M$111,$A116))</f>
        <v/>
      </c>
      <c r="N116" s="2" t="str" cm="1">
        <f t="array" ref="N116">IF( ISBLANK(N$105), "",EvaluatePolynomial(N$105:N$111,$A116))</f>
        <v/>
      </c>
      <c r="O116" s="2" t="str" cm="1">
        <f t="array" ref="O116">IF( ISBLANK(O$105), "",EvaluatePolynomial(O$105:O$111,$A116))</f>
        <v/>
      </c>
      <c r="P116" s="2" t="str" cm="1">
        <f t="array" ref="P116">IF( ISBLANK(P$105), "",EvaluatePolynomial(P$105:P$111,$A116))</f>
        <v/>
      </c>
      <c r="Q116" s="2" t="str" cm="1">
        <f t="array" ref="Q116">IF( ISBLANK(Q$105), "",EvaluatePolynomial(Q$105:Q$111,$A116))</f>
        <v/>
      </c>
      <c r="R116" s="2" t="str" cm="1">
        <f t="array" ref="R116">IF( ISBLANK(R$105), "",EvaluatePolynomial(R$105:R$111,$A116))</f>
        <v/>
      </c>
      <c r="S116" s="2" t="str" cm="1">
        <f t="array" ref="S116">IF( ISBLANK(S$105), "",EvaluatePolynomial(S$105:S$111,$A116))</f>
        <v/>
      </c>
      <c r="T116" s="2" t="str" cm="1">
        <f t="array" ref="T116">IF( ISBLANK(T$105), "",EvaluatePolynomial(T$105:T$111,$A116))</f>
        <v/>
      </c>
      <c r="U116" s="2" t="str" cm="1">
        <f t="array" ref="U116">IF( ISBLANK(U$105), "",EvaluatePolynomial(U$105:U$111,$A116))</f>
        <v/>
      </c>
      <c r="V116" s="2" t="str" cm="1">
        <f t="array" ref="V116">IF( ISBLANK(V$105), "",EvaluatePolynomial(V$105:V$111,$A116))</f>
        <v/>
      </c>
      <c r="W116" s="2" t="str" cm="1">
        <f t="array" ref="W116">IF( ISBLANK(W$105), "",EvaluatePolynomial(W$105:W$111,$A116))</f>
        <v/>
      </c>
      <c r="X116" s="2" t="str" cm="1">
        <f t="array" ref="X116">IF( ISBLANK(X$105), "",EvaluatePolynomial(X$105:X$111,$A116))</f>
        <v/>
      </c>
      <c r="Y116" s="2" t="str" cm="1">
        <f t="array" ref="Y116">IF( ISBLANK(Y$105), "",EvaluatePolynomial(Y$105:Y$111,$A116))</f>
        <v/>
      </c>
      <c r="Z116" s="2" t="str" cm="1">
        <f t="array" ref="Z116">IF( ISBLANK(Z$105), "",EvaluatePolynomial(Z$105:Z$111,$A116))</f>
        <v/>
      </c>
      <c r="AA116" s="2" t="str" cm="1">
        <f t="array" ref="AA116">IF( ISBLANK(AA$105), "",EvaluatePolynomial(AA$105:AA$111,$A116))</f>
        <v/>
      </c>
      <c r="AB116" s="43" t="str" cm="1">
        <f t="array" ref="AB116">IF( ISBLANK(AB$105), "",EvaluatePolynomial(AB$105:AB$111,$A116))</f>
        <v/>
      </c>
      <c r="AC116" s="2"/>
    </row>
    <row r="117" spans="1:29" x14ac:dyDescent="0.25">
      <c r="A117" s="41">
        <v>50</v>
      </c>
      <c r="B117" s="42" t="str" cm="1">
        <f t="array" ref="B117">IF( ISBLANK(B$105), "",EvaluatePolynomial(B$105:B$111,$A117))</f>
        <v/>
      </c>
      <c r="C117" s="42" t="str" cm="1">
        <f t="array" ref="C117">IF( ISBLANK(C$105), "",EvaluatePolynomial(C$105:C$111,$A117))</f>
        <v/>
      </c>
      <c r="D117" s="2" t="str" cm="1">
        <f t="array" ref="D117">IF( ISBLANK(D$105), "",EvaluatePolynomial(D$105:D$111,$A117))</f>
        <v/>
      </c>
      <c r="E117" s="2" t="str" cm="1">
        <f t="array" ref="E117">IF( ISBLANK(E$105), "",EvaluatePolynomial(E$105:E$111,$A117))</f>
        <v/>
      </c>
      <c r="F117" s="2" t="str" cm="1">
        <f t="array" ref="F117">IF( ISBLANK(F$105), "",EvaluatePolynomial(F$105:F$111,$A117))</f>
        <v/>
      </c>
      <c r="G117" s="2" t="str" cm="1">
        <f t="array" ref="G117">IF( ISBLANK(G$105), "",EvaluatePolynomial(G$105:G$111,$A117))</f>
        <v/>
      </c>
      <c r="H117" s="2" t="str" cm="1">
        <f t="array" ref="H117">IF( ISBLANK(H$105), "",EvaluatePolynomial(H$105:H$111,$A117))</f>
        <v/>
      </c>
      <c r="I117" s="2" t="str" cm="1">
        <f t="array" ref="I117">IF( ISBLANK(I$105), "",EvaluatePolynomial(I$105:I$111,$A117))</f>
        <v/>
      </c>
      <c r="J117" s="2" t="str" cm="1">
        <f t="array" ref="J117">IF( ISBLANK(J$105), "",EvaluatePolynomial(J$105:J$111,$A117))</f>
        <v/>
      </c>
      <c r="K117" s="2" t="str" cm="1">
        <f t="array" ref="K117">IF( ISBLANK(K$105), "",EvaluatePolynomial(K$105:K$111,$A117))</f>
        <v/>
      </c>
      <c r="L117" s="2" t="str" cm="1">
        <f t="array" ref="L117">IF( ISBLANK(L$105), "",EvaluatePolynomial(L$105:L$111,$A117))</f>
        <v/>
      </c>
      <c r="M117" s="2" t="str" cm="1">
        <f t="array" ref="M117">IF( ISBLANK(M$105), "",EvaluatePolynomial(M$105:M$111,$A117))</f>
        <v/>
      </c>
      <c r="N117" s="2" t="str" cm="1">
        <f t="array" ref="N117">IF( ISBLANK(N$105), "",EvaluatePolynomial(N$105:N$111,$A117))</f>
        <v/>
      </c>
      <c r="O117" s="2" t="str" cm="1">
        <f t="array" ref="O117">IF( ISBLANK(O$105), "",EvaluatePolynomial(O$105:O$111,$A117))</f>
        <v/>
      </c>
      <c r="P117" s="2" t="str" cm="1">
        <f t="array" ref="P117">IF( ISBLANK(P$105), "",EvaluatePolynomial(P$105:P$111,$A117))</f>
        <v/>
      </c>
      <c r="Q117" s="2" t="str" cm="1">
        <f t="array" ref="Q117">IF( ISBLANK(Q$105), "",EvaluatePolynomial(Q$105:Q$111,$A117))</f>
        <v/>
      </c>
      <c r="R117" s="2" t="str" cm="1">
        <f t="array" ref="R117">IF( ISBLANK(R$105), "",EvaluatePolynomial(R$105:R$111,$A117))</f>
        <v/>
      </c>
      <c r="S117" s="2" t="str" cm="1">
        <f t="array" ref="S117">IF( ISBLANK(S$105), "",EvaluatePolynomial(S$105:S$111,$A117))</f>
        <v/>
      </c>
      <c r="T117" s="2" t="str" cm="1">
        <f t="array" ref="T117">IF( ISBLANK(T$105), "",EvaluatePolynomial(T$105:T$111,$A117))</f>
        <v/>
      </c>
      <c r="U117" s="2" t="str" cm="1">
        <f t="array" ref="U117">IF( ISBLANK(U$105), "",EvaluatePolynomial(U$105:U$111,$A117))</f>
        <v/>
      </c>
      <c r="V117" s="2" t="str" cm="1">
        <f t="array" ref="V117">IF( ISBLANK(V$105), "",EvaluatePolynomial(V$105:V$111,$A117))</f>
        <v/>
      </c>
      <c r="W117" s="2" t="str" cm="1">
        <f t="array" ref="W117">IF( ISBLANK(W$105), "",EvaluatePolynomial(W$105:W$111,$A117))</f>
        <v/>
      </c>
      <c r="X117" s="2" t="str" cm="1">
        <f t="array" ref="X117">IF( ISBLANK(X$105), "",EvaluatePolynomial(X$105:X$111,$A117))</f>
        <v/>
      </c>
      <c r="Y117" s="2" t="str" cm="1">
        <f t="array" ref="Y117">IF( ISBLANK(Y$105), "",EvaluatePolynomial(Y$105:Y$111,$A117))</f>
        <v/>
      </c>
      <c r="Z117" s="2" t="str" cm="1">
        <f t="array" ref="Z117">IF( ISBLANK(Z$105), "",EvaluatePolynomial(Z$105:Z$111,$A117))</f>
        <v/>
      </c>
      <c r="AA117" s="2" t="str" cm="1">
        <f t="array" ref="AA117">IF( ISBLANK(AA$105), "",EvaluatePolynomial(AA$105:AA$111,$A117))</f>
        <v/>
      </c>
      <c r="AB117" s="43" t="str" cm="1">
        <f t="array" ref="AB117">IF( ISBLANK(AB$105), "",EvaluatePolynomial(AB$105:AB$111,$A117))</f>
        <v/>
      </c>
      <c r="AC117" s="2"/>
    </row>
    <row r="118" spans="1:29" x14ac:dyDescent="0.25">
      <c r="A118" s="41">
        <v>75</v>
      </c>
      <c r="B118" s="42" t="str" cm="1">
        <f t="array" ref="B118">IF( ISBLANK(B$105), "",EvaluatePolynomial(B$105:B$111,$A118))</f>
        <v/>
      </c>
      <c r="C118" s="42" t="str" cm="1">
        <f t="array" ref="C118">IF( ISBLANK(C$105), "",EvaluatePolynomial(C$105:C$111,$A118))</f>
        <v/>
      </c>
      <c r="D118" s="2" t="str" cm="1">
        <f t="array" ref="D118">IF( ISBLANK(D$105), "",EvaluatePolynomial(D$105:D$111,$A118))</f>
        <v/>
      </c>
      <c r="E118" s="2" t="str" cm="1">
        <f t="array" ref="E118">IF( ISBLANK(E$105), "",EvaluatePolynomial(E$105:E$111,$A118))</f>
        <v/>
      </c>
      <c r="F118" s="2" t="str" cm="1">
        <f t="array" ref="F118">IF( ISBLANK(F$105), "",EvaluatePolynomial(F$105:F$111,$A118))</f>
        <v/>
      </c>
      <c r="G118" s="2" t="str" cm="1">
        <f t="array" ref="G118">IF( ISBLANK(G$105), "",EvaluatePolynomial(G$105:G$111,$A118))</f>
        <v/>
      </c>
      <c r="H118" s="2" t="str" cm="1">
        <f t="array" ref="H118">IF( ISBLANK(H$105), "",EvaluatePolynomial(H$105:H$111,$A118))</f>
        <v/>
      </c>
      <c r="I118" s="2" t="str" cm="1">
        <f t="array" ref="I118">IF( ISBLANK(I$105), "",EvaluatePolynomial(I$105:I$111,$A118))</f>
        <v/>
      </c>
      <c r="J118" s="2" t="str" cm="1">
        <f t="array" ref="J118">IF( ISBLANK(J$105), "",EvaluatePolynomial(J$105:J$111,$A118))</f>
        <v/>
      </c>
      <c r="K118" s="2" t="str" cm="1">
        <f t="array" ref="K118">IF( ISBLANK(K$105), "",EvaluatePolynomial(K$105:K$111,$A118))</f>
        <v/>
      </c>
      <c r="L118" s="2" t="str" cm="1">
        <f t="array" ref="L118">IF( ISBLANK(L$105), "",EvaluatePolynomial(L$105:L$111,$A118))</f>
        <v/>
      </c>
      <c r="M118" s="2" t="str" cm="1">
        <f t="array" ref="M118">IF( ISBLANK(M$105), "",EvaluatePolynomial(M$105:M$111,$A118))</f>
        <v/>
      </c>
      <c r="N118" s="2" t="str" cm="1">
        <f t="array" ref="N118">IF( ISBLANK(N$105), "",EvaluatePolynomial(N$105:N$111,$A118))</f>
        <v/>
      </c>
      <c r="O118" s="2" t="str" cm="1">
        <f t="array" ref="O118">IF( ISBLANK(O$105), "",EvaluatePolynomial(O$105:O$111,$A118))</f>
        <v/>
      </c>
      <c r="P118" s="2" t="str" cm="1">
        <f t="array" ref="P118">IF( ISBLANK(P$105), "",EvaluatePolynomial(P$105:P$111,$A118))</f>
        <v/>
      </c>
      <c r="Q118" s="2" t="str" cm="1">
        <f t="array" ref="Q118">IF( ISBLANK(Q$105), "",EvaluatePolynomial(Q$105:Q$111,$A118))</f>
        <v/>
      </c>
      <c r="R118" s="2" t="str" cm="1">
        <f t="array" ref="R118">IF( ISBLANK(R$105), "",EvaluatePolynomial(R$105:R$111,$A118))</f>
        <v/>
      </c>
      <c r="S118" s="2" t="str" cm="1">
        <f t="array" ref="S118">IF( ISBLANK(S$105), "",EvaluatePolynomial(S$105:S$111,$A118))</f>
        <v/>
      </c>
      <c r="T118" s="2" t="str" cm="1">
        <f t="array" ref="T118">IF( ISBLANK(T$105), "",EvaluatePolynomial(T$105:T$111,$A118))</f>
        <v/>
      </c>
      <c r="U118" s="2" t="str" cm="1">
        <f t="array" ref="U118">IF( ISBLANK(U$105), "",EvaluatePolynomial(U$105:U$111,$A118))</f>
        <v/>
      </c>
      <c r="V118" s="2" t="str" cm="1">
        <f t="array" ref="V118">IF( ISBLANK(V$105), "",EvaluatePolynomial(V$105:V$111,$A118))</f>
        <v/>
      </c>
      <c r="W118" s="2" t="str" cm="1">
        <f t="array" ref="W118">IF( ISBLANK(W$105), "",EvaluatePolynomial(W$105:W$111,$A118))</f>
        <v/>
      </c>
      <c r="X118" s="2" t="str" cm="1">
        <f t="array" ref="X118">IF( ISBLANK(X$105), "",EvaluatePolynomial(X$105:X$111,$A118))</f>
        <v/>
      </c>
      <c r="Y118" s="2" t="str" cm="1">
        <f t="array" ref="Y118">IF( ISBLANK(Y$105), "",EvaluatePolynomial(Y$105:Y$111,$A118))</f>
        <v/>
      </c>
      <c r="Z118" s="2" t="str" cm="1">
        <f t="array" ref="Z118">IF( ISBLANK(Z$105), "",EvaluatePolynomial(Z$105:Z$111,$A118))</f>
        <v/>
      </c>
      <c r="AA118" s="2" t="str" cm="1">
        <f t="array" ref="AA118">IF( ISBLANK(AA$105), "",EvaluatePolynomial(AA$105:AA$111,$A118))</f>
        <v/>
      </c>
      <c r="AB118" s="43" t="str" cm="1">
        <f t="array" ref="AB118">IF( ISBLANK(AB$105), "",EvaluatePolynomial(AB$105:AB$111,$A118))</f>
        <v/>
      </c>
      <c r="AC118" s="2"/>
    </row>
    <row r="119" spans="1:29" x14ac:dyDescent="0.25">
      <c r="A119" s="41">
        <v>100</v>
      </c>
      <c r="B119" s="42" t="str" cm="1">
        <f t="array" ref="B119">IF( ISBLANK(B$105), "",EvaluatePolynomial(B$105:B$111,$A119))</f>
        <v/>
      </c>
      <c r="C119" s="42" t="str" cm="1">
        <f t="array" ref="C119">IF( ISBLANK(C$105), "",EvaluatePolynomial(C$105:C$111,$A119))</f>
        <v/>
      </c>
      <c r="D119" s="2" t="str" cm="1">
        <f t="array" ref="D119">IF( ISBLANK(D$105), "",EvaluatePolynomial(D$105:D$111,$A119))</f>
        <v/>
      </c>
      <c r="E119" s="2" t="str" cm="1">
        <f t="array" ref="E119">IF( ISBLANK(E$105), "",EvaluatePolynomial(E$105:E$111,$A119))</f>
        <v/>
      </c>
      <c r="F119" s="2" t="str" cm="1">
        <f t="array" ref="F119">IF( ISBLANK(F$105), "",EvaluatePolynomial(F$105:F$111,$A119))</f>
        <v/>
      </c>
      <c r="G119" s="2" t="str" cm="1">
        <f t="array" ref="G119">IF( ISBLANK(G$105), "",EvaluatePolynomial(G$105:G$111,$A119))</f>
        <v/>
      </c>
      <c r="H119" s="2" t="str" cm="1">
        <f t="array" ref="H119">IF( ISBLANK(H$105), "",EvaluatePolynomial(H$105:H$111,$A119))</f>
        <v/>
      </c>
      <c r="I119" s="2" t="str" cm="1">
        <f t="array" ref="I119">IF( ISBLANK(I$105), "",EvaluatePolynomial(I$105:I$111,$A119))</f>
        <v/>
      </c>
      <c r="J119" s="2" t="str" cm="1">
        <f t="array" ref="J119">IF( ISBLANK(J$105), "",EvaluatePolynomial(J$105:J$111,$A119))</f>
        <v/>
      </c>
      <c r="K119" s="2" t="str" cm="1">
        <f t="array" ref="K119">IF( ISBLANK(K$105), "",EvaluatePolynomial(K$105:K$111,$A119))</f>
        <v/>
      </c>
      <c r="L119" s="2" t="str" cm="1">
        <f t="array" ref="L119">IF( ISBLANK(L$105), "",EvaluatePolynomial(L$105:L$111,$A119))</f>
        <v/>
      </c>
      <c r="M119" s="2" t="str" cm="1">
        <f t="array" ref="M119">IF( ISBLANK(M$105), "",EvaluatePolynomial(M$105:M$111,$A119))</f>
        <v/>
      </c>
      <c r="N119" s="2" t="str" cm="1">
        <f t="array" ref="N119">IF( ISBLANK(N$105), "",EvaluatePolynomial(N$105:N$111,$A119))</f>
        <v/>
      </c>
      <c r="O119" s="2" t="str" cm="1">
        <f t="array" ref="O119">IF( ISBLANK(O$105), "",EvaluatePolynomial(O$105:O$111,$A119))</f>
        <v/>
      </c>
      <c r="P119" s="2" t="str" cm="1">
        <f t="array" ref="P119">IF( ISBLANK(P$105), "",EvaluatePolynomial(P$105:P$111,$A119))</f>
        <v/>
      </c>
      <c r="Q119" s="2" t="str" cm="1">
        <f t="array" ref="Q119">IF( ISBLANK(Q$105), "",EvaluatePolynomial(Q$105:Q$111,$A119))</f>
        <v/>
      </c>
      <c r="R119" s="2" t="str" cm="1">
        <f t="array" ref="R119">IF( ISBLANK(R$105), "",EvaluatePolynomial(R$105:R$111,$A119))</f>
        <v/>
      </c>
      <c r="S119" s="2" t="str" cm="1">
        <f t="array" ref="S119">IF( ISBLANK(S$105), "",EvaluatePolynomial(S$105:S$111,$A119))</f>
        <v/>
      </c>
      <c r="T119" s="2" t="str" cm="1">
        <f t="array" ref="T119">IF( ISBLANK(T$105), "",EvaluatePolynomial(T$105:T$111,$A119))</f>
        <v/>
      </c>
      <c r="U119" s="2" t="str" cm="1">
        <f t="array" ref="U119">IF( ISBLANK(U$105), "",EvaluatePolynomial(U$105:U$111,$A119))</f>
        <v/>
      </c>
      <c r="V119" s="2" t="str" cm="1">
        <f t="array" ref="V119">IF( ISBLANK(V$105), "",EvaluatePolynomial(V$105:V$111,$A119))</f>
        <v/>
      </c>
      <c r="W119" s="2" t="str" cm="1">
        <f t="array" ref="W119">IF( ISBLANK(W$105), "",EvaluatePolynomial(W$105:W$111,$A119))</f>
        <v/>
      </c>
      <c r="X119" s="2" t="str" cm="1">
        <f t="array" ref="X119">IF( ISBLANK(X$105), "",EvaluatePolynomial(X$105:X$111,$A119))</f>
        <v/>
      </c>
      <c r="Y119" s="2" t="str" cm="1">
        <f t="array" ref="Y119">IF( ISBLANK(Y$105), "",EvaluatePolynomial(Y$105:Y$111,$A119))</f>
        <v/>
      </c>
      <c r="Z119" s="2" t="str" cm="1">
        <f t="array" ref="Z119">IF( ISBLANK(Z$105), "",EvaluatePolynomial(Z$105:Z$111,$A119))</f>
        <v/>
      </c>
      <c r="AA119" s="2" t="str" cm="1">
        <f t="array" ref="AA119">IF( ISBLANK(AA$105), "",EvaluatePolynomial(AA$105:AA$111,$A119))</f>
        <v/>
      </c>
      <c r="AB119" s="43" t="str" cm="1">
        <f t="array" ref="AB119">IF( ISBLANK(AB$105), "",EvaluatePolynomial(AB$105:AB$111,$A119))</f>
        <v/>
      </c>
      <c r="AC119" s="2"/>
    </row>
    <row r="120" spans="1:29" x14ac:dyDescent="0.25">
      <c r="A120" s="41">
        <v>125</v>
      </c>
      <c r="B120" s="42" t="str" cm="1">
        <f t="array" ref="B120">IF( ISBLANK(B$105), "",EvaluatePolynomial(B$105:B$111,$A120))</f>
        <v/>
      </c>
      <c r="C120" s="42" t="str" cm="1">
        <f t="array" ref="C120">IF( ISBLANK(C$105), "",EvaluatePolynomial(C$105:C$111,$A120))</f>
        <v/>
      </c>
      <c r="D120" s="2" t="str" cm="1">
        <f t="array" ref="D120">IF( ISBLANK(D$105), "",EvaluatePolynomial(D$105:D$111,$A120))</f>
        <v/>
      </c>
      <c r="E120" s="2" t="str" cm="1">
        <f t="array" ref="E120">IF( ISBLANK(E$105), "",EvaluatePolynomial(E$105:E$111,$A120))</f>
        <v/>
      </c>
      <c r="F120" s="2" t="str" cm="1">
        <f t="array" ref="F120">IF( ISBLANK(F$105), "",EvaluatePolynomial(F$105:F$111,$A120))</f>
        <v/>
      </c>
      <c r="G120" s="2" t="str" cm="1">
        <f t="array" ref="G120">IF( ISBLANK(G$105), "",EvaluatePolynomial(G$105:G$111,$A120))</f>
        <v/>
      </c>
      <c r="H120" s="2" t="str" cm="1">
        <f t="array" ref="H120">IF( ISBLANK(H$105), "",EvaluatePolynomial(H$105:H$111,$A120))</f>
        <v/>
      </c>
      <c r="I120" s="2" t="str" cm="1">
        <f t="array" ref="I120">IF( ISBLANK(I$105), "",EvaluatePolynomial(I$105:I$111,$A120))</f>
        <v/>
      </c>
      <c r="J120" s="2" t="str" cm="1">
        <f t="array" ref="J120">IF( ISBLANK(J$105), "",EvaluatePolynomial(J$105:J$111,$A120))</f>
        <v/>
      </c>
      <c r="K120" s="2" t="str" cm="1">
        <f t="array" ref="K120">IF( ISBLANK(K$105), "",EvaluatePolynomial(K$105:K$111,$A120))</f>
        <v/>
      </c>
      <c r="L120" s="2" t="str" cm="1">
        <f t="array" ref="L120">IF( ISBLANK(L$105), "",EvaluatePolynomial(L$105:L$111,$A120))</f>
        <v/>
      </c>
      <c r="M120" s="2" t="str" cm="1">
        <f t="array" ref="M120">IF( ISBLANK(M$105), "",EvaluatePolynomial(M$105:M$111,$A120))</f>
        <v/>
      </c>
      <c r="N120" s="2" t="str" cm="1">
        <f t="array" ref="N120">IF( ISBLANK(N$105), "",EvaluatePolynomial(N$105:N$111,$A120))</f>
        <v/>
      </c>
      <c r="O120" s="2" t="str" cm="1">
        <f t="array" ref="O120">IF( ISBLANK(O$105), "",EvaluatePolynomial(O$105:O$111,$A120))</f>
        <v/>
      </c>
      <c r="P120" s="2" t="str" cm="1">
        <f t="array" ref="P120">IF( ISBLANK(P$105), "",EvaluatePolynomial(P$105:P$111,$A120))</f>
        <v/>
      </c>
      <c r="Q120" s="2" t="str" cm="1">
        <f t="array" ref="Q120">IF( ISBLANK(Q$105), "",EvaluatePolynomial(Q$105:Q$111,$A120))</f>
        <v/>
      </c>
      <c r="R120" s="2" t="str" cm="1">
        <f t="array" ref="R120">IF( ISBLANK(R$105), "",EvaluatePolynomial(R$105:R$111,$A120))</f>
        <v/>
      </c>
      <c r="S120" s="2" t="str" cm="1">
        <f t="array" ref="S120">IF( ISBLANK(S$105), "",EvaluatePolynomial(S$105:S$111,$A120))</f>
        <v/>
      </c>
      <c r="T120" s="2" t="str" cm="1">
        <f t="array" ref="T120">IF( ISBLANK(T$105), "",EvaluatePolynomial(T$105:T$111,$A120))</f>
        <v/>
      </c>
      <c r="U120" s="2" t="str" cm="1">
        <f t="array" ref="U120">IF( ISBLANK(U$105), "",EvaluatePolynomial(U$105:U$111,$A120))</f>
        <v/>
      </c>
      <c r="V120" s="2" t="str" cm="1">
        <f t="array" ref="V120">IF( ISBLANK(V$105), "",EvaluatePolynomial(V$105:V$111,$A120))</f>
        <v/>
      </c>
      <c r="W120" s="2" t="str" cm="1">
        <f t="array" ref="W120">IF( ISBLANK(W$105), "",EvaluatePolynomial(W$105:W$111,$A120))</f>
        <v/>
      </c>
      <c r="X120" s="2" t="str" cm="1">
        <f t="array" ref="X120">IF( ISBLANK(X$105), "",EvaluatePolynomial(X$105:X$111,$A120))</f>
        <v/>
      </c>
      <c r="Y120" s="2" t="str" cm="1">
        <f t="array" ref="Y120">IF( ISBLANK(Y$105), "",EvaluatePolynomial(Y$105:Y$111,$A120))</f>
        <v/>
      </c>
      <c r="Z120" s="2" t="str" cm="1">
        <f t="array" ref="Z120">IF( ISBLANK(Z$105), "",EvaluatePolynomial(Z$105:Z$111,$A120))</f>
        <v/>
      </c>
      <c r="AA120" s="2" t="str" cm="1">
        <f t="array" ref="AA120">IF( ISBLANK(AA$105), "",EvaluatePolynomial(AA$105:AA$111,$A120))</f>
        <v/>
      </c>
      <c r="AB120" s="43" t="str" cm="1">
        <f t="array" ref="AB120">IF( ISBLANK(AB$105), "",EvaluatePolynomial(AB$105:AB$111,$A120))</f>
        <v/>
      </c>
      <c r="AC120" s="2"/>
    </row>
    <row r="121" spans="1:29" x14ac:dyDescent="0.25">
      <c r="A121" s="41">
        <v>150</v>
      </c>
      <c r="B121" s="42" t="str" cm="1">
        <f t="array" ref="B121">IF( ISBLANK(B$105), "",EvaluatePolynomial(B$105:B$111,$A121))</f>
        <v/>
      </c>
      <c r="C121" s="42" t="str" cm="1">
        <f t="array" ref="C121">IF( ISBLANK(C$105), "",EvaluatePolynomial(C$105:C$111,$A121))</f>
        <v/>
      </c>
      <c r="D121" s="2" t="str" cm="1">
        <f t="array" ref="D121">IF( ISBLANK(D$105), "",EvaluatePolynomial(D$105:D$111,$A121))</f>
        <v/>
      </c>
      <c r="E121" s="2" t="str" cm="1">
        <f t="array" ref="E121">IF( ISBLANK(E$105), "",EvaluatePolynomial(E$105:E$111,$A121))</f>
        <v/>
      </c>
      <c r="F121" s="2" t="str" cm="1">
        <f t="array" ref="F121">IF( ISBLANK(F$105), "",EvaluatePolynomial(F$105:F$111,$A121))</f>
        <v/>
      </c>
      <c r="G121" s="2" t="str" cm="1">
        <f t="array" ref="G121">IF( ISBLANK(G$105), "",EvaluatePolynomial(G$105:G$111,$A121))</f>
        <v/>
      </c>
      <c r="H121" s="2" t="str" cm="1">
        <f t="array" ref="H121">IF( ISBLANK(H$105), "",EvaluatePolynomial(H$105:H$111,$A121))</f>
        <v/>
      </c>
      <c r="I121" s="2" t="str" cm="1">
        <f t="array" ref="I121">IF( ISBLANK(I$105), "",EvaluatePolynomial(I$105:I$111,$A121))</f>
        <v/>
      </c>
      <c r="J121" s="2" t="str" cm="1">
        <f t="array" ref="J121">IF( ISBLANK(J$105), "",EvaluatePolynomial(J$105:J$111,$A121))</f>
        <v/>
      </c>
      <c r="K121" s="2" t="str" cm="1">
        <f t="array" ref="K121">IF( ISBLANK(K$105), "",EvaluatePolynomial(K$105:K$111,$A121))</f>
        <v/>
      </c>
      <c r="L121" s="2" t="str" cm="1">
        <f t="array" ref="L121">IF( ISBLANK(L$105), "",EvaluatePolynomial(L$105:L$111,$A121))</f>
        <v/>
      </c>
      <c r="M121" s="2" t="str" cm="1">
        <f t="array" ref="M121">IF( ISBLANK(M$105), "",EvaluatePolynomial(M$105:M$111,$A121))</f>
        <v/>
      </c>
      <c r="N121" s="2" t="str" cm="1">
        <f t="array" ref="N121">IF( ISBLANK(N$105), "",EvaluatePolynomial(N$105:N$111,$A121))</f>
        <v/>
      </c>
      <c r="O121" s="2" t="str" cm="1">
        <f t="array" ref="O121">IF( ISBLANK(O$105), "",EvaluatePolynomial(O$105:O$111,$A121))</f>
        <v/>
      </c>
      <c r="P121" s="2" t="str" cm="1">
        <f t="array" ref="P121">IF( ISBLANK(P$105), "",EvaluatePolynomial(P$105:P$111,$A121))</f>
        <v/>
      </c>
      <c r="Q121" s="2" t="str" cm="1">
        <f t="array" ref="Q121">IF( ISBLANK(Q$105), "",EvaluatePolynomial(Q$105:Q$111,$A121))</f>
        <v/>
      </c>
      <c r="R121" s="2" t="str" cm="1">
        <f t="array" ref="R121">IF( ISBLANK(R$105), "",EvaluatePolynomial(R$105:R$111,$A121))</f>
        <v/>
      </c>
      <c r="S121" s="2" t="str" cm="1">
        <f t="array" ref="S121">IF( ISBLANK(S$105), "",EvaluatePolynomial(S$105:S$111,$A121))</f>
        <v/>
      </c>
      <c r="T121" s="2" t="str" cm="1">
        <f t="array" ref="T121">IF( ISBLANK(T$105), "",EvaluatePolynomial(T$105:T$111,$A121))</f>
        <v/>
      </c>
      <c r="U121" s="2" t="str" cm="1">
        <f t="array" ref="U121">IF( ISBLANK(U$105), "",EvaluatePolynomial(U$105:U$111,$A121))</f>
        <v/>
      </c>
      <c r="V121" s="2" t="str" cm="1">
        <f t="array" ref="V121">IF( ISBLANK(V$105), "",EvaluatePolynomial(V$105:V$111,$A121))</f>
        <v/>
      </c>
      <c r="W121" s="2" t="str" cm="1">
        <f t="array" ref="W121">IF( ISBLANK(W$105), "",EvaluatePolynomial(W$105:W$111,$A121))</f>
        <v/>
      </c>
      <c r="X121" s="2" t="str" cm="1">
        <f t="array" ref="X121">IF( ISBLANK(X$105), "",EvaluatePolynomial(X$105:X$111,$A121))</f>
        <v/>
      </c>
      <c r="Y121" s="2" t="str" cm="1">
        <f t="array" ref="Y121">IF( ISBLANK(Y$105), "",EvaluatePolynomial(Y$105:Y$111,$A121))</f>
        <v/>
      </c>
      <c r="Z121" s="2" t="str" cm="1">
        <f t="array" ref="Z121">IF( ISBLANK(Z$105), "",EvaluatePolynomial(Z$105:Z$111,$A121))</f>
        <v/>
      </c>
      <c r="AA121" s="2" t="str" cm="1">
        <f t="array" ref="AA121">IF( ISBLANK(AA$105), "",EvaluatePolynomial(AA$105:AA$111,$A121))</f>
        <v/>
      </c>
      <c r="AB121" s="43" t="str" cm="1">
        <f t="array" ref="AB121">IF( ISBLANK(AB$105), "",EvaluatePolynomial(AB$105:AB$111,$A121))</f>
        <v/>
      </c>
      <c r="AC121" s="2"/>
    </row>
    <row r="122" spans="1:29" x14ac:dyDescent="0.25">
      <c r="A122" s="41">
        <v>175</v>
      </c>
      <c r="B122" s="42" t="str" cm="1">
        <f t="array" ref="B122">IF( ISBLANK(B$105), "",EvaluatePolynomial(B$105:B$111,$A122))</f>
        <v/>
      </c>
      <c r="C122" s="42" t="str" cm="1">
        <f t="array" ref="C122">IF( ISBLANK(C$105), "",EvaluatePolynomial(C$105:C$111,$A122))</f>
        <v/>
      </c>
      <c r="D122" s="2" t="str" cm="1">
        <f t="array" ref="D122">IF( ISBLANK(D$105), "",EvaluatePolynomial(D$105:D$111,$A122))</f>
        <v/>
      </c>
      <c r="E122" s="2" t="str" cm="1">
        <f t="array" ref="E122">IF( ISBLANK(E$105), "",EvaluatePolynomial(E$105:E$111,$A122))</f>
        <v/>
      </c>
      <c r="F122" s="2" t="str" cm="1">
        <f t="array" ref="F122">IF( ISBLANK(F$105), "",EvaluatePolynomial(F$105:F$111,$A122))</f>
        <v/>
      </c>
      <c r="G122" s="2" t="str" cm="1">
        <f t="array" ref="G122">IF( ISBLANK(G$105), "",EvaluatePolynomial(G$105:G$111,$A122))</f>
        <v/>
      </c>
      <c r="H122" s="2" t="str" cm="1">
        <f t="array" ref="H122">IF( ISBLANK(H$105), "",EvaluatePolynomial(H$105:H$111,$A122))</f>
        <v/>
      </c>
      <c r="I122" s="2" t="str" cm="1">
        <f t="array" ref="I122">IF( ISBLANK(I$105), "",EvaluatePolynomial(I$105:I$111,$A122))</f>
        <v/>
      </c>
      <c r="J122" s="2" t="str" cm="1">
        <f t="array" ref="J122">IF( ISBLANK(J$105), "",EvaluatePolynomial(J$105:J$111,$A122))</f>
        <v/>
      </c>
      <c r="K122" s="2" t="str" cm="1">
        <f t="array" ref="K122">IF( ISBLANK(K$105), "",EvaluatePolynomial(K$105:K$111,$A122))</f>
        <v/>
      </c>
      <c r="L122" s="2" t="str" cm="1">
        <f t="array" ref="L122">IF( ISBLANK(L$105), "",EvaluatePolynomial(L$105:L$111,$A122))</f>
        <v/>
      </c>
      <c r="M122" s="2" t="str" cm="1">
        <f t="array" ref="M122">IF( ISBLANK(M$105), "",EvaluatePolynomial(M$105:M$111,$A122))</f>
        <v/>
      </c>
      <c r="N122" s="2" t="str" cm="1">
        <f t="array" ref="N122">IF( ISBLANK(N$105), "",EvaluatePolynomial(N$105:N$111,$A122))</f>
        <v/>
      </c>
      <c r="O122" s="2" t="str" cm="1">
        <f t="array" ref="O122">IF( ISBLANK(O$105), "",EvaluatePolynomial(O$105:O$111,$A122))</f>
        <v/>
      </c>
      <c r="P122" s="2" t="str" cm="1">
        <f t="array" ref="P122">IF( ISBLANK(P$105), "",EvaluatePolynomial(P$105:P$111,$A122))</f>
        <v/>
      </c>
      <c r="Q122" s="2" t="str" cm="1">
        <f t="array" ref="Q122">IF( ISBLANK(Q$105), "",EvaluatePolynomial(Q$105:Q$111,$A122))</f>
        <v/>
      </c>
      <c r="R122" s="2" t="str" cm="1">
        <f t="array" ref="R122">IF( ISBLANK(R$105), "",EvaluatePolynomial(R$105:R$111,$A122))</f>
        <v/>
      </c>
      <c r="S122" s="2" t="str" cm="1">
        <f t="array" ref="S122">IF( ISBLANK(S$105), "",EvaluatePolynomial(S$105:S$111,$A122))</f>
        <v/>
      </c>
      <c r="T122" s="2" t="str" cm="1">
        <f t="array" ref="T122">IF( ISBLANK(T$105), "",EvaluatePolynomial(T$105:T$111,$A122))</f>
        <v/>
      </c>
      <c r="U122" s="2" t="str" cm="1">
        <f t="array" ref="U122">IF( ISBLANK(U$105), "",EvaluatePolynomial(U$105:U$111,$A122))</f>
        <v/>
      </c>
      <c r="V122" s="2" t="str" cm="1">
        <f t="array" ref="V122">IF( ISBLANK(V$105), "",EvaluatePolynomial(V$105:V$111,$A122))</f>
        <v/>
      </c>
      <c r="W122" s="2" t="str" cm="1">
        <f t="array" ref="W122">IF( ISBLANK(W$105), "",EvaluatePolynomial(W$105:W$111,$A122))</f>
        <v/>
      </c>
      <c r="X122" s="2" t="str" cm="1">
        <f t="array" ref="X122">IF( ISBLANK(X$105), "",EvaluatePolynomial(X$105:X$111,$A122))</f>
        <v/>
      </c>
      <c r="Y122" s="2" t="str" cm="1">
        <f t="array" ref="Y122">IF( ISBLANK(Y$105), "",EvaluatePolynomial(Y$105:Y$111,$A122))</f>
        <v/>
      </c>
      <c r="Z122" s="2" t="str" cm="1">
        <f t="array" ref="Z122">IF( ISBLANK(Z$105), "",EvaluatePolynomial(Z$105:Z$111,$A122))</f>
        <v/>
      </c>
      <c r="AA122" s="2" t="str" cm="1">
        <f t="array" ref="AA122">IF( ISBLANK(AA$105), "",EvaluatePolynomial(AA$105:AA$111,$A122))</f>
        <v/>
      </c>
      <c r="AB122" s="43" t="str" cm="1">
        <f t="array" ref="AB122">IF( ISBLANK(AB$105), "",EvaluatePolynomial(AB$105:AB$111,$A122))</f>
        <v/>
      </c>
      <c r="AC122" s="2"/>
    </row>
    <row r="123" spans="1:29" x14ac:dyDescent="0.25">
      <c r="A123" s="41">
        <v>200</v>
      </c>
      <c r="B123" s="42" t="str" cm="1">
        <f t="array" ref="B123">IF( ISBLANK(B$105), "",EvaluatePolynomial(B$105:B$111,$A123))</f>
        <v/>
      </c>
      <c r="C123" s="42" t="str" cm="1">
        <f t="array" ref="C123">IF( ISBLANK(C$105), "",EvaluatePolynomial(C$105:C$111,$A123))</f>
        <v/>
      </c>
      <c r="D123" s="2" t="str" cm="1">
        <f t="array" ref="D123">IF( ISBLANK(D$105), "",EvaluatePolynomial(D$105:D$111,$A123))</f>
        <v/>
      </c>
      <c r="E123" s="2" t="str" cm="1">
        <f t="array" ref="E123">IF( ISBLANK(E$105), "",EvaluatePolynomial(E$105:E$111,$A123))</f>
        <v/>
      </c>
      <c r="F123" s="2" t="str" cm="1">
        <f t="array" ref="F123">IF( ISBLANK(F$105), "",EvaluatePolynomial(F$105:F$111,$A123))</f>
        <v/>
      </c>
      <c r="G123" s="2" t="str" cm="1">
        <f t="array" ref="G123">IF( ISBLANK(G$105), "",EvaluatePolynomial(G$105:G$111,$A123))</f>
        <v/>
      </c>
      <c r="H123" s="2" t="str" cm="1">
        <f t="array" ref="H123">IF( ISBLANK(H$105), "",EvaluatePolynomial(H$105:H$111,$A123))</f>
        <v/>
      </c>
      <c r="I123" s="2" t="str" cm="1">
        <f t="array" ref="I123">IF( ISBLANK(I$105), "",EvaluatePolynomial(I$105:I$111,$A123))</f>
        <v/>
      </c>
      <c r="J123" s="2" t="str" cm="1">
        <f t="array" ref="J123">IF( ISBLANK(J$105), "",EvaluatePolynomial(J$105:J$111,$A123))</f>
        <v/>
      </c>
      <c r="K123" s="2" t="str" cm="1">
        <f t="array" ref="K123">IF( ISBLANK(K$105), "",EvaluatePolynomial(K$105:K$111,$A123))</f>
        <v/>
      </c>
      <c r="L123" s="2" t="str" cm="1">
        <f t="array" ref="L123">IF( ISBLANK(L$105), "",EvaluatePolynomial(L$105:L$111,$A123))</f>
        <v/>
      </c>
      <c r="M123" s="2" t="str" cm="1">
        <f t="array" ref="M123">IF( ISBLANK(M$105), "",EvaluatePolynomial(M$105:M$111,$A123))</f>
        <v/>
      </c>
      <c r="N123" s="2" t="str" cm="1">
        <f t="array" ref="N123">IF( ISBLANK(N$105), "",EvaluatePolynomial(N$105:N$111,$A123))</f>
        <v/>
      </c>
      <c r="O123" s="2" t="str" cm="1">
        <f t="array" ref="O123">IF( ISBLANK(O$105), "",EvaluatePolynomial(O$105:O$111,$A123))</f>
        <v/>
      </c>
      <c r="P123" s="2" t="str" cm="1">
        <f t="array" ref="P123">IF( ISBLANK(P$105), "",EvaluatePolynomial(P$105:P$111,$A123))</f>
        <v/>
      </c>
      <c r="Q123" s="2" t="str" cm="1">
        <f t="array" ref="Q123">IF( ISBLANK(Q$105), "",EvaluatePolynomial(Q$105:Q$111,$A123))</f>
        <v/>
      </c>
      <c r="R123" s="2" t="str" cm="1">
        <f t="array" ref="R123">IF( ISBLANK(R$105), "",EvaluatePolynomial(R$105:R$111,$A123))</f>
        <v/>
      </c>
      <c r="S123" s="2" t="str" cm="1">
        <f t="array" ref="S123">IF( ISBLANK(S$105), "",EvaluatePolynomial(S$105:S$111,$A123))</f>
        <v/>
      </c>
      <c r="T123" s="2" t="str" cm="1">
        <f t="array" ref="T123">IF( ISBLANK(T$105), "",EvaluatePolynomial(T$105:T$111,$A123))</f>
        <v/>
      </c>
      <c r="U123" s="2" t="str" cm="1">
        <f t="array" ref="U123">IF( ISBLANK(U$105), "",EvaluatePolynomial(U$105:U$111,$A123))</f>
        <v/>
      </c>
      <c r="V123" s="2" t="str" cm="1">
        <f t="array" ref="V123">IF( ISBLANK(V$105), "",EvaluatePolynomial(V$105:V$111,$A123))</f>
        <v/>
      </c>
      <c r="W123" s="2" t="str" cm="1">
        <f t="array" ref="W123">IF( ISBLANK(W$105), "",EvaluatePolynomial(W$105:W$111,$A123))</f>
        <v/>
      </c>
      <c r="X123" s="2" t="str" cm="1">
        <f t="array" ref="X123">IF( ISBLANK(X$105), "",EvaluatePolynomial(X$105:X$111,$A123))</f>
        <v/>
      </c>
      <c r="Y123" s="2" t="str" cm="1">
        <f t="array" ref="Y123">IF( ISBLANK(Y$105), "",EvaluatePolynomial(Y$105:Y$111,$A123))</f>
        <v/>
      </c>
      <c r="Z123" s="2" t="str" cm="1">
        <f t="array" ref="Z123">IF( ISBLANK(Z$105), "",EvaluatePolynomial(Z$105:Z$111,$A123))</f>
        <v/>
      </c>
      <c r="AA123" s="2" t="str" cm="1">
        <f t="array" ref="AA123">IF( ISBLANK(AA$105), "",EvaluatePolynomial(AA$105:AA$111,$A123))</f>
        <v/>
      </c>
      <c r="AB123" s="43" t="str" cm="1">
        <f t="array" ref="AB123">IF( ISBLANK(AB$105), "",EvaluatePolynomial(AB$105:AB$111,$A123))</f>
        <v/>
      </c>
      <c r="AC123" s="2"/>
    </row>
    <row r="124" spans="1:29" x14ac:dyDescent="0.25">
      <c r="A124" s="41">
        <v>225</v>
      </c>
      <c r="B124" s="42" t="str" cm="1">
        <f t="array" ref="B124">IF( ISBLANK(B$105), "",EvaluatePolynomial(B$105:B$111,$A124))</f>
        <v/>
      </c>
      <c r="C124" s="42" t="str" cm="1">
        <f t="array" ref="C124">IF( ISBLANK(C$105), "",EvaluatePolynomial(C$105:C$111,$A124))</f>
        <v/>
      </c>
      <c r="D124" s="2" t="str" cm="1">
        <f t="array" ref="D124">IF( ISBLANK(D$105), "",EvaluatePolynomial(D$105:D$111,$A124))</f>
        <v/>
      </c>
      <c r="E124" s="2" t="str" cm="1">
        <f t="array" ref="E124">IF( ISBLANK(E$105), "",EvaluatePolynomial(E$105:E$111,$A124))</f>
        <v/>
      </c>
      <c r="F124" s="2" t="str" cm="1">
        <f t="array" ref="F124">IF( ISBLANK(F$105), "",EvaluatePolynomial(F$105:F$111,$A124))</f>
        <v/>
      </c>
      <c r="G124" s="2" t="str" cm="1">
        <f t="array" ref="G124">IF( ISBLANK(G$105), "",EvaluatePolynomial(G$105:G$111,$A124))</f>
        <v/>
      </c>
      <c r="H124" s="2" t="str" cm="1">
        <f t="array" ref="H124">IF( ISBLANK(H$105), "",EvaluatePolynomial(H$105:H$111,$A124))</f>
        <v/>
      </c>
      <c r="I124" s="2" t="str" cm="1">
        <f t="array" ref="I124">IF( ISBLANK(I$105), "",EvaluatePolynomial(I$105:I$111,$A124))</f>
        <v/>
      </c>
      <c r="J124" s="2" t="str" cm="1">
        <f t="array" ref="J124">IF( ISBLANK(J$105), "",EvaluatePolynomial(J$105:J$111,$A124))</f>
        <v/>
      </c>
      <c r="K124" s="2" t="str" cm="1">
        <f t="array" ref="K124">IF( ISBLANK(K$105), "",EvaluatePolynomial(K$105:K$111,$A124))</f>
        <v/>
      </c>
      <c r="L124" s="2" t="str" cm="1">
        <f t="array" ref="L124">IF( ISBLANK(L$105), "",EvaluatePolynomial(L$105:L$111,$A124))</f>
        <v/>
      </c>
      <c r="M124" s="2" t="str" cm="1">
        <f t="array" ref="M124">IF( ISBLANK(M$105), "",EvaluatePolynomial(M$105:M$111,$A124))</f>
        <v/>
      </c>
      <c r="N124" s="2" t="str" cm="1">
        <f t="array" ref="N124">IF( ISBLANK(N$105), "",EvaluatePolynomial(N$105:N$111,$A124))</f>
        <v/>
      </c>
      <c r="O124" s="2" t="str" cm="1">
        <f t="array" ref="O124">IF( ISBLANK(O$105), "",EvaluatePolynomial(O$105:O$111,$A124))</f>
        <v/>
      </c>
      <c r="P124" s="2" t="str" cm="1">
        <f t="array" ref="P124">IF( ISBLANK(P$105), "",EvaluatePolynomial(P$105:P$111,$A124))</f>
        <v/>
      </c>
      <c r="Q124" s="2" t="str" cm="1">
        <f t="array" ref="Q124">IF( ISBLANK(Q$105), "",EvaluatePolynomial(Q$105:Q$111,$A124))</f>
        <v/>
      </c>
      <c r="R124" s="2" t="str" cm="1">
        <f t="array" ref="R124">IF( ISBLANK(R$105), "",EvaluatePolynomial(R$105:R$111,$A124))</f>
        <v/>
      </c>
      <c r="S124" s="2" t="str" cm="1">
        <f t="array" ref="S124">IF( ISBLANK(S$105), "",EvaluatePolynomial(S$105:S$111,$A124))</f>
        <v/>
      </c>
      <c r="T124" s="2" t="str" cm="1">
        <f t="array" ref="T124">IF( ISBLANK(T$105), "",EvaluatePolynomial(T$105:T$111,$A124))</f>
        <v/>
      </c>
      <c r="U124" s="2" t="str" cm="1">
        <f t="array" ref="U124">IF( ISBLANK(U$105), "",EvaluatePolynomial(U$105:U$111,$A124))</f>
        <v/>
      </c>
      <c r="V124" s="2" t="str" cm="1">
        <f t="array" ref="V124">IF( ISBLANK(V$105), "",EvaluatePolynomial(V$105:V$111,$A124))</f>
        <v/>
      </c>
      <c r="W124" s="2" t="str" cm="1">
        <f t="array" ref="W124">IF( ISBLANK(W$105), "",EvaluatePolynomial(W$105:W$111,$A124))</f>
        <v/>
      </c>
      <c r="X124" s="2" t="str" cm="1">
        <f t="array" ref="X124">IF( ISBLANK(X$105), "",EvaluatePolynomial(X$105:X$111,$A124))</f>
        <v/>
      </c>
      <c r="Y124" s="2" t="str" cm="1">
        <f t="array" ref="Y124">IF( ISBLANK(Y$105), "",EvaluatePolynomial(Y$105:Y$111,$A124))</f>
        <v/>
      </c>
      <c r="Z124" s="2" t="str" cm="1">
        <f t="array" ref="Z124">IF( ISBLANK(Z$105), "",EvaluatePolynomial(Z$105:Z$111,$A124))</f>
        <v/>
      </c>
      <c r="AA124" s="2" t="str" cm="1">
        <f t="array" ref="AA124">IF( ISBLANK(AA$105), "",EvaluatePolynomial(AA$105:AA$111,$A124))</f>
        <v/>
      </c>
      <c r="AB124" s="43" t="str" cm="1">
        <f t="array" ref="AB124">IF( ISBLANK(AB$105), "",EvaluatePolynomial(AB$105:AB$111,$A124))</f>
        <v/>
      </c>
      <c r="AC124" s="2"/>
    </row>
    <row r="125" spans="1:29" x14ac:dyDescent="0.25">
      <c r="A125" s="41">
        <v>250</v>
      </c>
      <c r="B125" s="42" t="str" cm="1">
        <f t="array" ref="B125">IF( ISBLANK(B$105), "",EvaluatePolynomial(B$105:B$111,$A125))</f>
        <v/>
      </c>
      <c r="C125" s="42" t="str" cm="1">
        <f t="array" ref="C125">IF( ISBLANK(C$105), "",EvaluatePolynomial(C$105:C$111,$A125))</f>
        <v/>
      </c>
      <c r="D125" s="2" t="str" cm="1">
        <f t="array" ref="D125">IF( ISBLANK(D$105), "",EvaluatePolynomial(D$105:D$111,$A125))</f>
        <v/>
      </c>
      <c r="E125" s="2" t="str" cm="1">
        <f t="array" ref="E125">IF( ISBLANK(E$105), "",EvaluatePolynomial(E$105:E$111,$A125))</f>
        <v/>
      </c>
      <c r="F125" s="2" t="str" cm="1">
        <f t="array" ref="F125">IF( ISBLANK(F$105), "",EvaluatePolynomial(F$105:F$111,$A125))</f>
        <v/>
      </c>
      <c r="G125" s="2" t="str" cm="1">
        <f t="array" ref="G125">IF( ISBLANK(G$105), "",EvaluatePolynomial(G$105:G$111,$A125))</f>
        <v/>
      </c>
      <c r="H125" s="2" t="str" cm="1">
        <f t="array" ref="H125">IF( ISBLANK(H$105), "",EvaluatePolynomial(H$105:H$111,$A125))</f>
        <v/>
      </c>
      <c r="I125" s="2" t="str" cm="1">
        <f t="array" ref="I125">IF( ISBLANK(I$105), "",EvaluatePolynomial(I$105:I$111,$A125))</f>
        <v/>
      </c>
      <c r="J125" s="2" t="str" cm="1">
        <f t="array" ref="J125">IF( ISBLANK(J$105), "",EvaluatePolynomial(J$105:J$111,$A125))</f>
        <v/>
      </c>
      <c r="K125" s="2" t="str" cm="1">
        <f t="array" ref="K125">IF( ISBLANK(K$105), "",EvaluatePolynomial(K$105:K$111,$A125))</f>
        <v/>
      </c>
      <c r="L125" s="2" t="str" cm="1">
        <f t="array" ref="L125">IF( ISBLANK(L$105), "",EvaluatePolynomial(L$105:L$111,$A125))</f>
        <v/>
      </c>
      <c r="M125" s="2" t="str" cm="1">
        <f t="array" ref="M125">IF( ISBLANK(M$105), "",EvaluatePolynomial(M$105:M$111,$A125))</f>
        <v/>
      </c>
      <c r="N125" s="2" t="str" cm="1">
        <f t="array" ref="N125">IF( ISBLANK(N$105), "",EvaluatePolynomial(N$105:N$111,$A125))</f>
        <v/>
      </c>
      <c r="O125" s="2" t="str" cm="1">
        <f t="array" ref="O125">IF( ISBLANK(O$105), "",EvaluatePolynomial(O$105:O$111,$A125))</f>
        <v/>
      </c>
      <c r="P125" s="2" t="str" cm="1">
        <f t="array" ref="P125">IF( ISBLANK(P$105), "",EvaluatePolynomial(P$105:P$111,$A125))</f>
        <v/>
      </c>
      <c r="Q125" s="2" t="str" cm="1">
        <f t="array" ref="Q125">IF( ISBLANK(Q$105), "",EvaluatePolynomial(Q$105:Q$111,$A125))</f>
        <v/>
      </c>
      <c r="R125" s="2" t="str" cm="1">
        <f t="array" ref="R125">IF( ISBLANK(R$105), "",EvaluatePolynomial(R$105:R$111,$A125))</f>
        <v/>
      </c>
      <c r="S125" s="2" t="str" cm="1">
        <f t="array" ref="S125">IF( ISBLANK(S$105), "",EvaluatePolynomial(S$105:S$111,$A125))</f>
        <v/>
      </c>
      <c r="T125" s="2" t="str" cm="1">
        <f t="array" ref="T125">IF( ISBLANK(T$105), "",EvaluatePolynomial(T$105:T$111,$A125))</f>
        <v/>
      </c>
      <c r="U125" s="2" t="str" cm="1">
        <f t="array" ref="U125">IF( ISBLANK(U$105), "",EvaluatePolynomial(U$105:U$111,$A125))</f>
        <v/>
      </c>
      <c r="V125" s="2" t="str" cm="1">
        <f t="array" ref="V125">IF( ISBLANK(V$105), "",EvaluatePolynomial(V$105:V$111,$A125))</f>
        <v/>
      </c>
      <c r="W125" s="2" t="str" cm="1">
        <f t="array" ref="W125">IF( ISBLANK(W$105), "",EvaluatePolynomial(W$105:W$111,$A125))</f>
        <v/>
      </c>
      <c r="X125" s="2" t="str" cm="1">
        <f t="array" ref="X125">IF( ISBLANK(X$105), "",EvaluatePolynomial(X$105:X$111,$A125))</f>
        <v/>
      </c>
      <c r="Y125" s="2" t="str" cm="1">
        <f t="array" ref="Y125">IF( ISBLANK(Y$105), "",EvaluatePolynomial(Y$105:Y$111,$A125))</f>
        <v/>
      </c>
      <c r="Z125" s="2" t="str" cm="1">
        <f t="array" ref="Z125">IF( ISBLANK(Z$105), "",EvaluatePolynomial(Z$105:Z$111,$A125))</f>
        <v/>
      </c>
      <c r="AA125" s="2" t="str" cm="1">
        <f t="array" ref="AA125">IF( ISBLANK(AA$105), "",EvaluatePolynomial(AA$105:AA$111,$A125))</f>
        <v/>
      </c>
      <c r="AB125" s="43" t="str" cm="1">
        <f t="array" ref="AB125">IF( ISBLANK(AB$105), "",EvaluatePolynomial(AB$105:AB$111,$A125))</f>
        <v/>
      </c>
      <c r="AC125" s="2"/>
    </row>
    <row r="126" spans="1:29" x14ac:dyDescent="0.25">
      <c r="A126" s="41">
        <v>275</v>
      </c>
      <c r="B126" s="42" t="str" cm="1">
        <f t="array" ref="B126">IF( ISBLANK(B$105), "",EvaluatePolynomial(B$105:B$111,$A126))</f>
        <v/>
      </c>
      <c r="C126" s="42" t="str" cm="1">
        <f t="array" ref="C126">IF( ISBLANK(C$105), "",EvaluatePolynomial(C$105:C$111,$A126))</f>
        <v/>
      </c>
      <c r="D126" s="2" t="str" cm="1">
        <f t="array" ref="D126">IF( ISBLANK(D$105), "",EvaluatePolynomial(D$105:D$111,$A126))</f>
        <v/>
      </c>
      <c r="E126" s="2" t="str" cm="1">
        <f t="array" ref="E126">IF( ISBLANK(E$105), "",EvaluatePolynomial(E$105:E$111,$A126))</f>
        <v/>
      </c>
      <c r="F126" s="2" t="str" cm="1">
        <f t="array" ref="F126">IF( ISBLANK(F$105), "",EvaluatePolynomial(F$105:F$111,$A126))</f>
        <v/>
      </c>
      <c r="G126" s="2" t="str" cm="1">
        <f t="array" ref="G126">IF( ISBLANK(G$105), "",EvaluatePolynomial(G$105:G$111,$A126))</f>
        <v/>
      </c>
      <c r="H126" s="2" t="str" cm="1">
        <f t="array" ref="H126">IF( ISBLANK(H$105), "",EvaluatePolynomial(H$105:H$111,$A126))</f>
        <v/>
      </c>
      <c r="I126" s="2" t="str" cm="1">
        <f t="array" ref="I126">IF( ISBLANK(I$105), "",EvaluatePolynomial(I$105:I$111,$A126))</f>
        <v/>
      </c>
      <c r="J126" s="2" t="str" cm="1">
        <f t="array" ref="J126">IF( ISBLANK(J$105), "",EvaluatePolynomial(J$105:J$111,$A126))</f>
        <v/>
      </c>
      <c r="K126" s="2" t="str" cm="1">
        <f t="array" ref="K126">IF( ISBLANK(K$105), "",EvaluatePolynomial(K$105:K$111,$A126))</f>
        <v/>
      </c>
      <c r="L126" s="2" t="str" cm="1">
        <f t="array" ref="L126">IF( ISBLANK(L$105), "",EvaluatePolynomial(L$105:L$111,$A126))</f>
        <v/>
      </c>
      <c r="M126" s="2" t="str" cm="1">
        <f t="array" ref="M126">IF( ISBLANK(M$105), "",EvaluatePolynomial(M$105:M$111,$A126))</f>
        <v/>
      </c>
      <c r="N126" s="2" t="str" cm="1">
        <f t="array" ref="N126">IF( ISBLANK(N$105), "",EvaluatePolynomial(N$105:N$111,$A126))</f>
        <v/>
      </c>
      <c r="O126" s="2" t="str" cm="1">
        <f t="array" ref="O126">IF( ISBLANK(O$105), "",EvaluatePolynomial(O$105:O$111,$A126))</f>
        <v/>
      </c>
      <c r="P126" s="2" t="str" cm="1">
        <f t="array" ref="P126">IF( ISBLANK(P$105), "",EvaluatePolynomial(P$105:P$111,$A126))</f>
        <v/>
      </c>
      <c r="Q126" s="2" t="str" cm="1">
        <f t="array" ref="Q126">IF( ISBLANK(Q$105), "",EvaluatePolynomial(Q$105:Q$111,$A126))</f>
        <v/>
      </c>
      <c r="R126" s="2" t="str" cm="1">
        <f t="array" ref="R126">IF( ISBLANK(R$105), "",EvaluatePolynomial(R$105:R$111,$A126))</f>
        <v/>
      </c>
      <c r="S126" s="2" t="str" cm="1">
        <f t="array" ref="S126">IF( ISBLANK(S$105), "",EvaluatePolynomial(S$105:S$111,$A126))</f>
        <v/>
      </c>
      <c r="T126" s="2" t="str" cm="1">
        <f t="array" ref="T126">IF( ISBLANK(T$105), "",EvaluatePolynomial(T$105:T$111,$A126))</f>
        <v/>
      </c>
      <c r="U126" s="2" t="str" cm="1">
        <f t="array" ref="U126">IF( ISBLANK(U$105), "",EvaluatePolynomial(U$105:U$111,$A126))</f>
        <v/>
      </c>
      <c r="V126" s="2" t="str" cm="1">
        <f t="array" ref="V126">IF( ISBLANK(V$105), "",EvaluatePolynomial(V$105:V$111,$A126))</f>
        <v/>
      </c>
      <c r="W126" s="2" t="str" cm="1">
        <f t="array" ref="W126">IF( ISBLANK(W$105), "",EvaluatePolynomial(W$105:W$111,$A126))</f>
        <v/>
      </c>
      <c r="X126" s="2" t="str" cm="1">
        <f t="array" ref="X126">IF( ISBLANK(X$105), "",EvaluatePolynomial(X$105:X$111,$A126))</f>
        <v/>
      </c>
      <c r="Y126" s="2" t="str" cm="1">
        <f t="array" ref="Y126">IF( ISBLANK(Y$105), "",EvaluatePolynomial(Y$105:Y$111,$A126))</f>
        <v/>
      </c>
      <c r="Z126" s="2" t="str" cm="1">
        <f t="array" ref="Z126">IF( ISBLANK(Z$105), "",EvaluatePolynomial(Z$105:Z$111,$A126))</f>
        <v/>
      </c>
      <c r="AA126" s="2" t="str" cm="1">
        <f t="array" ref="AA126">IF( ISBLANK(AA$105), "",EvaluatePolynomial(AA$105:AA$111,$A126))</f>
        <v/>
      </c>
      <c r="AB126" s="43" t="str" cm="1">
        <f t="array" ref="AB126">IF( ISBLANK(AB$105), "",EvaluatePolynomial(AB$105:AB$111,$A126))</f>
        <v/>
      </c>
      <c r="AC126" s="2"/>
    </row>
    <row r="127" spans="1:29" x14ac:dyDescent="0.25">
      <c r="A127" s="41">
        <v>300</v>
      </c>
      <c r="B127" s="42" t="str" cm="1">
        <f t="array" ref="B127">IF( ISBLANK(B$105), "",EvaluatePolynomial(B$105:B$111,$A127))</f>
        <v/>
      </c>
      <c r="C127" s="42" t="str" cm="1">
        <f t="array" ref="C127">IF( ISBLANK(C$105), "",EvaluatePolynomial(C$105:C$111,$A127))</f>
        <v/>
      </c>
      <c r="D127" s="2" t="str" cm="1">
        <f t="array" ref="D127">IF( ISBLANK(D$105), "",EvaluatePolynomial(D$105:D$111,$A127))</f>
        <v/>
      </c>
      <c r="E127" s="2" t="str" cm="1">
        <f t="array" ref="E127">IF( ISBLANK(E$105), "",EvaluatePolynomial(E$105:E$111,$A127))</f>
        <v/>
      </c>
      <c r="F127" s="2" t="str" cm="1">
        <f t="array" ref="F127">IF( ISBLANK(F$105), "",EvaluatePolynomial(F$105:F$111,$A127))</f>
        <v/>
      </c>
      <c r="G127" s="2" t="str" cm="1">
        <f t="array" ref="G127">IF( ISBLANK(G$105), "",EvaluatePolynomial(G$105:G$111,$A127))</f>
        <v/>
      </c>
      <c r="H127" s="2" t="str" cm="1">
        <f t="array" ref="H127">IF( ISBLANK(H$105), "",EvaluatePolynomial(H$105:H$111,$A127))</f>
        <v/>
      </c>
      <c r="I127" s="2" t="str" cm="1">
        <f t="array" ref="I127">IF( ISBLANK(I$105), "",EvaluatePolynomial(I$105:I$111,$A127))</f>
        <v/>
      </c>
      <c r="J127" s="2" t="str" cm="1">
        <f t="array" ref="J127">IF( ISBLANK(J$105), "",EvaluatePolynomial(J$105:J$111,$A127))</f>
        <v/>
      </c>
      <c r="K127" s="2" t="str" cm="1">
        <f t="array" ref="K127">IF( ISBLANK(K$105), "",EvaluatePolynomial(K$105:K$111,$A127))</f>
        <v/>
      </c>
      <c r="L127" s="2" t="str" cm="1">
        <f t="array" ref="L127">IF( ISBLANK(L$105), "",EvaluatePolynomial(L$105:L$111,$A127))</f>
        <v/>
      </c>
      <c r="M127" s="2" t="str" cm="1">
        <f t="array" ref="M127">IF( ISBLANK(M$105), "",EvaluatePolynomial(M$105:M$111,$A127))</f>
        <v/>
      </c>
      <c r="N127" s="2" t="str" cm="1">
        <f t="array" ref="N127">IF( ISBLANK(N$105), "",EvaluatePolynomial(N$105:N$111,$A127))</f>
        <v/>
      </c>
      <c r="O127" s="2" t="str" cm="1">
        <f t="array" ref="O127">IF( ISBLANK(O$105), "",EvaluatePolynomial(O$105:O$111,$A127))</f>
        <v/>
      </c>
      <c r="P127" s="2" t="str" cm="1">
        <f t="array" ref="P127">IF( ISBLANK(P$105), "",EvaluatePolynomial(P$105:P$111,$A127))</f>
        <v/>
      </c>
      <c r="Q127" s="2" t="str" cm="1">
        <f t="array" ref="Q127">IF( ISBLANK(Q$105), "",EvaluatePolynomial(Q$105:Q$111,$A127))</f>
        <v/>
      </c>
      <c r="R127" s="2" t="str" cm="1">
        <f t="array" ref="R127">IF( ISBLANK(R$105), "",EvaluatePolynomial(R$105:R$111,$A127))</f>
        <v/>
      </c>
      <c r="S127" s="2" t="str" cm="1">
        <f t="array" ref="S127">IF( ISBLANK(S$105), "",EvaluatePolynomial(S$105:S$111,$A127))</f>
        <v/>
      </c>
      <c r="T127" s="2" t="str" cm="1">
        <f t="array" ref="T127">IF( ISBLANK(T$105), "",EvaluatePolynomial(T$105:T$111,$A127))</f>
        <v/>
      </c>
      <c r="U127" s="2" t="str" cm="1">
        <f t="array" ref="U127">IF( ISBLANK(U$105), "",EvaluatePolynomial(U$105:U$111,$A127))</f>
        <v/>
      </c>
      <c r="V127" s="2" t="str" cm="1">
        <f t="array" ref="V127">IF( ISBLANK(V$105), "",EvaluatePolynomial(V$105:V$111,$A127))</f>
        <v/>
      </c>
      <c r="W127" s="2" t="str" cm="1">
        <f t="array" ref="W127">IF( ISBLANK(W$105), "",EvaluatePolynomial(W$105:W$111,$A127))</f>
        <v/>
      </c>
      <c r="X127" s="2" t="str" cm="1">
        <f t="array" ref="X127">IF( ISBLANK(X$105), "",EvaluatePolynomial(X$105:X$111,$A127))</f>
        <v/>
      </c>
      <c r="Y127" s="2" t="str" cm="1">
        <f t="array" ref="Y127">IF( ISBLANK(Y$105), "",EvaluatePolynomial(Y$105:Y$111,$A127))</f>
        <v/>
      </c>
      <c r="Z127" s="2" t="str" cm="1">
        <f t="array" ref="Z127">IF( ISBLANK(Z$105), "",EvaluatePolynomial(Z$105:Z$111,$A127))</f>
        <v/>
      </c>
      <c r="AA127" s="2" t="str" cm="1">
        <f t="array" ref="AA127">IF( ISBLANK(AA$105), "",EvaluatePolynomial(AA$105:AA$111,$A127))</f>
        <v/>
      </c>
      <c r="AB127" s="43" t="str" cm="1">
        <f t="array" ref="AB127">IF( ISBLANK(AB$105), "",EvaluatePolynomial(AB$105:AB$111,$A127))</f>
        <v/>
      </c>
      <c r="AC127" s="2"/>
    </row>
    <row r="128" spans="1:29" x14ac:dyDescent="0.25">
      <c r="A128" s="41">
        <v>325</v>
      </c>
      <c r="B128" s="42" t="str" cm="1">
        <f t="array" ref="B128">IF( ISBLANK(B$105), "",EvaluatePolynomial(B$105:B$111,$A128))</f>
        <v/>
      </c>
      <c r="C128" s="42" t="str" cm="1">
        <f t="array" ref="C128">IF( ISBLANK(C$105), "",EvaluatePolynomial(C$105:C$111,$A128))</f>
        <v/>
      </c>
      <c r="D128" s="2" t="str" cm="1">
        <f t="array" ref="D128">IF( ISBLANK(D$105), "",EvaluatePolynomial(D$105:D$111,$A128))</f>
        <v/>
      </c>
      <c r="E128" s="2" t="str" cm="1">
        <f t="array" ref="E128">IF( ISBLANK(E$105), "",EvaluatePolynomial(E$105:E$111,$A128))</f>
        <v/>
      </c>
      <c r="F128" s="2" t="str" cm="1">
        <f t="array" ref="F128">IF( ISBLANK(F$105), "",EvaluatePolynomial(F$105:F$111,$A128))</f>
        <v/>
      </c>
      <c r="G128" s="2" t="str" cm="1">
        <f t="array" ref="G128">IF( ISBLANK(G$105), "",EvaluatePolynomial(G$105:G$111,$A128))</f>
        <v/>
      </c>
      <c r="H128" s="2" t="str" cm="1">
        <f t="array" ref="H128">IF( ISBLANK(H$105), "",EvaluatePolynomial(H$105:H$111,$A128))</f>
        <v/>
      </c>
      <c r="I128" s="2" t="str" cm="1">
        <f t="array" ref="I128">IF( ISBLANK(I$105), "",EvaluatePolynomial(I$105:I$111,$A128))</f>
        <v/>
      </c>
      <c r="J128" s="2" t="str" cm="1">
        <f t="array" ref="J128">IF( ISBLANK(J$105), "",EvaluatePolynomial(J$105:J$111,$A128))</f>
        <v/>
      </c>
      <c r="K128" s="2" t="str" cm="1">
        <f t="array" ref="K128">IF( ISBLANK(K$105), "",EvaluatePolynomial(K$105:K$111,$A128))</f>
        <v/>
      </c>
      <c r="L128" s="2" t="str" cm="1">
        <f t="array" ref="L128">IF( ISBLANK(L$105), "",EvaluatePolynomial(L$105:L$111,$A128))</f>
        <v/>
      </c>
      <c r="M128" s="2" t="str" cm="1">
        <f t="array" ref="M128">IF( ISBLANK(M$105), "",EvaluatePolynomial(M$105:M$111,$A128))</f>
        <v/>
      </c>
      <c r="N128" s="2" t="str" cm="1">
        <f t="array" ref="N128">IF( ISBLANK(N$105), "",EvaluatePolynomial(N$105:N$111,$A128))</f>
        <v/>
      </c>
      <c r="O128" s="2" t="str" cm="1">
        <f t="array" ref="O128">IF( ISBLANK(O$105), "",EvaluatePolynomial(O$105:O$111,$A128))</f>
        <v/>
      </c>
      <c r="P128" s="2" t="str" cm="1">
        <f t="array" ref="P128">IF( ISBLANK(P$105), "",EvaluatePolynomial(P$105:P$111,$A128))</f>
        <v/>
      </c>
      <c r="Q128" s="2" t="str" cm="1">
        <f t="array" ref="Q128">IF( ISBLANK(Q$105), "",EvaluatePolynomial(Q$105:Q$111,$A128))</f>
        <v/>
      </c>
      <c r="R128" s="2" t="str" cm="1">
        <f t="array" ref="R128">IF( ISBLANK(R$105), "",EvaluatePolynomial(R$105:R$111,$A128))</f>
        <v/>
      </c>
      <c r="S128" s="2" t="str" cm="1">
        <f t="array" ref="S128">IF( ISBLANK(S$105), "",EvaluatePolynomial(S$105:S$111,$A128))</f>
        <v/>
      </c>
      <c r="T128" s="2" t="str" cm="1">
        <f t="array" ref="T128">IF( ISBLANK(T$105), "",EvaluatePolynomial(T$105:T$111,$A128))</f>
        <v/>
      </c>
      <c r="U128" s="2" t="str" cm="1">
        <f t="array" ref="U128">IF( ISBLANK(U$105), "",EvaluatePolynomial(U$105:U$111,$A128))</f>
        <v/>
      </c>
      <c r="V128" s="2" t="str" cm="1">
        <f t="array" ref="V128">IF( ISBLANK(V$105), "",EvaluatePolynomial(V$105:V$111,$A128))</f>
        <v/>
      </c>
      <c r="W128" s="2" t="str" cm="1">
        <f t="array" ref="W128">IF( ISBLANK(W$105), "",EvaluatePolynomial(W$105:W$111,$A128))</f>
        <v/>
      </c>
      <c r="X128" s="2" t="str" cm="1">
        <f t="array" ref="X128">IF( ISBLANK(X$105), "",EvaluatePolynomial(X$105:X$111,$A128))</f>
        <v/>
      </c>
      <c r="Y128" s="2" t="str" cm="1">
        <f t="array" ref="Y128">IF( ISBLANK(Y$105), "",EvaluatePolynomial(Y$105:Y$111,$A128))</f>
        <v/>
      </c>
      <c r="Z128" s="2" t="str" cm="1">
        <f t="array" ref="Z128">IF( ISBLANK(Z$105), "",EvaluatePolynomial(Z$105:Z$111,$A128))</f>
        <v/>
      </c>
      <c r="AA128" s="2" t="str" cm="1">
        <f t="array" ref="AA128">IF( ISBLANK(AA$105), "",EvaluatePolynomial(AA$105:AA$111,$A128))</f>
        <v/>
      </c>
      <c r="AB128" s="43" t="str" cm="1">
        <f t="array" ref="AB128">IF( ISBLANK(AB$105), "",EvaluatePolynomial(AB$105:AB$111,$A128))</f>
        <v/>
      </c>
      <c r="AC128" s="2"/>
    </row>
    <row r="129" spans="1:31" x14ac:dyDescent="0.25">
      <c r="A129" s="41">
        <v>350</v>
      </c>
      <c r="B129" s="42" t="str" cm="1">
        <f t="array" ref="B129">IF( ISBLANK(B$105), "",EvaluatePolynomial(B$105:B$111,$A129))</f>
        <v/>
      </c>
      <c r="C129" s="42" t="str" cm="1">
        <f t="array" ref="C129">IF( ISBLANK(C$105), "",EvaluatePolynomial(C$105:C$111,$A129))</f>
        <v/>
      </c>
      <c r="D129" s="2" t="str" cm="1">
        <f t="array" ref="D129">IF( ISBLANK(D$105), "",EvaluatePolynomial(D$105:D$111,$A129))</f>
        <v/>
      </c>
      <c r="E129" s="2" t="str" cm="1">
        <f t="array" ref="E129">IF( ISBLANK(E$105), "",EvaluatePolynomial(E$105:E$111,$A129))</f>
        <v/>
      </c>
      <c r="F129" s="2" t="str" cm="1">
        <f t="array" ref="F129">IF( ISBLANK(F$105), "",EvaluatePolynomial(F$105:F$111,$A129))</f>
        <v/>
      </c>
      <c r="G129" s="2" t="str" cm="1">
        <f t="array" ref="G129">IF( ISBLANK(G$105), "",EvaluatePolynomial(G$105:G$111,$A129))</f>
        <v/>
      </c>
      <c r="H129" s="2" t="str" cm="1">
        <f t="array" ref="H129">IF( ISBLANK(H$105), "",EvaluatePolynomial(H$105:H$111,$A129))</f>
        <v/>
      </c>
      <c r="I129" s="2" t="str" cm="1">
        <f t="array" ref="I129">IF( ISBLANK(I$105), "",EvaluatePolynomial(I$105:I$111,$A129))</f>
        <v/>
      </c>
      <c r="J129" s="2" t="str" cm="1">
        <f t="array" ref="J129">IF( ISBLANK(J$105), "",EvaluatePolynomial(J$105:J$111,$A129))</f>
        <v/>
      </c>
      <c r="K129" s="2" t="str" cm="1">
        <f t="array" ref="K129">IF( ISBLANK(K$105), "",EvaluatePolynomial(K$105:K$111,$A129))</f>
        <v/>
      </c>
      <c r="L129" s="2" t="str" cm="1">
        <f t="array" ref="L129">IF( ISBLANK(L$105), "",EvaluatePolynomial(L$105:L$111,$A129))</f>
        <v/>
      </c>
      <c r="M129" s="2" t="str" cm="1">
        <f t="array" ref="M129">IF( ISBLANK(M$105), "",EvaluatePolynomial(M$105:M$111,$A129))</f>
        <v/>
      </c>
      <c r="N129" s="2" t="str" cm="1">
        <f t="array" ref="N129">IF( ISBLANK(N$105), "",EvaluatePolynomial(N$105:N$111,$A129))</f>
        <v/>
      </c>
      <c r="O129" s="2" t="str" cm="1">
        <f t="array" ref="O129">IF( ISBLANK(O$105), "",EvaluatePolynomial(O$105:O$111,$A129))</f>
        <v/>
      </c>
      <c r="P129" s="2" t="str" cm="1">
        <f t="array" ref="P129">IF( ISBLANK(P$105), "",EvaluatePolynomial(P$105:P$111,$A129))</f>
        <v/>
      </c>
      <c r="Q129" s="2" t="str" cm="1">
        <f t="array" ref="Q129">IF( ISBLANK(Q$105), "",EvaluatePolynomial(Q$105:Q$111,$A129))</f>
        <v/>
      </c>
      <c r="R129" s="2" t="str" cm="1">
        <f t="array" ref="R129">IF( ISBLANK(R$105), "",EvaluatePolynomial(R$105:R$111,$A129))</f>
        <v/>
      </c>
      <c r="S129" s="2" t="str" cm="1">
        <f t="array" ref="S129">IF( ISBLANK(S$105), "",EvaluatePolynomial(S$105:S$111,$A129))</f>
        <v/>
      </c>
      <c r="T129" s="2" t="str" cm="1">
        <f t="array" ref="T129">IF( ISBLANK(T$105), "",EvaluatePolynomial(T$105:T$111,$A129))</f>
        <v/>
      </c>
      <c r="U129" s="2" t="str" cm="1">
        <f t="array" ref="U129">IF( ISBLANK(U$105), "",EvaluatePolynomial(U$105:U$111,$A129))</f>
        <v/>
      </c>
      <c r="V129" s="2" t="str" cm="1">
        <f t="array" ref="V129">IF( ISBLANK(V$105), "",EvaluatePolynomial(V$105:V$111,$A129))</f>
        <v/>
      </c>
      <c r="W129" s="2" t="str" cm="1">
        <f t="array" ref="W129">IF( ISBLANK(W$105), "",EvaluatePolynomial(W$105:W$111,$A129))</f>
        <v/>
      </c>
      <c r="X129" s="2" t="str" cm="1">
        <f t="array" ref="X129">IF( ISBLANK(X$105), "",EvaluatePolynomial(X$105:X$111,$A129))</f>
        <v/>
      </c>
      <c r="Y129" s="2" t="str" cm="1">
        <f t="array" ref="Y129">IF( ISBLANK(Y$105), "",EvaluatePolynomial(Y$105:Y$111,$A129))</f>
        <v/>
      </c>
      <c r="Z129" s="2" t="str" cm="1">
        <f t="array" ref="Z129">IF( ISBLANK(Z$105), "",EvaluatePolynomial(Z$105:Z$111,$A129))</f>
        <v/>
      </c>
      <c r="AA129" s="2" t="str" cm="1">
        <f t="array" ref="AA129">IF( ISBLANK(AA$105), "",EvaluatePolynomial(AA$105:AA$111,$A129))</f>
        <v/>
      </c>
      <c r="AB129" s="43" t="str" cm="1">
        <f t="array" ref="AB129">IF( ISBLANK(AB$105), "",EvaluatePolynomial(AB$105:AB$111,$A129))</f>
        <v/>
      </c>
      <c r="AC129" s="2"/>
    </row>
    <row r="130" spans="1:31" x14ac:dyDescent="0.25">
      <c r="A130" s="41">
        <v>375</v>
      </c>
      <c r="B130" s="42" t="str" cm="1">
        <f t="array" ref="B130">IF( ISBLANK(B$105), "",EvaluatePolynomial(B$105:B$111,$A130))</f>
        <v/>
      </c>
      <c r="C130" s="42" t="str" cm="1">
        <f t="array" ref="C130">IF( ISBLANK(C$105), "",EvaluatePolynomial(C$105:C$111,$A130))</f>
        <v/>
      </c>
      <c r="D130" s="2" t="str" cm="1">
        <f t="array" ref="D130">IF( ISBLANK(D$105), "",EvaluatePolynomial(D$105:D$111,$A130))</f>
        <v/>
      </c>
      <c r="E130" s="2" t="str" cm="1">
        <f t="array" ref="E130">IF( ISBLANK(E$105), "",EvaluatePolynomial(E$105:E$111,$A130))</f>
        <v/>
      </c>
      <c r="F130" s="2" t="str" cm="1">
        <f t="array" ref="F130">IF( ISBLANK(F$105), "",EvaluatePolynomial(F$105:F$111,$A130))</f>
        <v/>
      </c>
      <c r="G130" s="2" t="str" cm="1">
        <f t="array" ref="G130">IF( ISBLANK(G$105), "",EvaluatePolynomial(G$105:G$111,$A130))</f>
        <v/>
      </c>
      <c r="H130" s="2" t="str" cm="1">
        <f t="array" ref="H130">IF( ISBLANK(H$105), "",EvaluatePolynomial(H$105:H$111,$A130))</f>
        <v/>
      </c>
      <c r="I130" s="2" t="str" cm="1">
        <f t="array" ref="I130">IF( ISBLANK(I$105), "",EvaluatePolynomial(I$105:I$111,$A130))</f>
        <v/>
      </c>
      <c r="J130" s="2" t="str" cm="1">
        <f t="array" ref="J130">IF( ISBLANK(J$105), "",EvaluatePolynomial(J$105:J$111,$A130))</f>
        <v/>
      </c>
      <c r="K130" s="2" t="str" cm="1">
        <f t="array" ref="K130">IF( ISBLANK(K$105), "",EvaluatePolynomial(K$105:K$111,$A130))</f>
        <v/>
      </c>
      <c r="L130" s="2" t="str" cm="1">
        <f t="array" ref="L130">IF( ISBLANK(L$105), "",EvaluatePolynomial(L$105:L$111,$A130))</f>
        <v/>
      </c>
      <c r="M130" s="2" t="str" cm="1">
        <f t="array" ref="M130">IF( ISBLANK(M$105), "",EvaluatePolynomial(M$105:M$111,$A130))</f>
        <v/>
      </c>
      <c r="N130" s="2" t="str" cm="1">
        <f t="array" ref="N130">IF( ISBLANK(N$105), "",EvaluatePolynomial(N$105:N$111,$A130))</f>
        <v/>
      </c>
      <c r="O130" s="2" t="str" cm="1">
        <f t="array" ref="O130">IF( ISBLANK(O$105), "",EvaluatePolynomial(O$105:O$111,$A130))</f>
        <v/>
      </c>
      <c r="P130" s="2" t="str" cm="1">
        <f t="array" ref="P130">IF( ISBLANK(P$105), "",EvaluatePolynomial(P$105:P$111,$A130))</f>
        <v/>
      </c>
      <c r="Q130" s="2" t="str" cm="1">
        <f t="array" ref="Q130">IF( ISBLANK(Q$105), "",EvaluatePolynomial(Q$105:Q$111,$A130))</f>
        <v/>
      </c>
      <c r="R130" s="2" t="str" cm="1">
        <f t="array" ref="R130">IF( ISBLANK(R$105), "",EvaluatePolynomial(R$105:R$111,$A130))</f>
        <v/>
      </c>
      <c r="S130" s="2" t="str" cm="1">
        <f t="array" ref="S130">IF( ISBLANK(S$105), "",EvaluatePolynomial(S$105:S$111,$A130))</f>
        <v/>
      </c>
      <c r="T130" s="2" t="str" cm="1">
        <f t="array" ref="T130">IF( ISBLANK(T$105), "",EvaluatePolynomial(T$105:T$111,$A130))</f>
        <v/>
      </c>
      <c r="U130" s="2" t="str" cm="1">
        <f t="array" ref="U130">IF( ISBLANK(U$105), "",EvaluatePolynomial(U$105:U$111,$A130))</f>
        <v/>
      </c>
      <c r="V130" s="2" t="str" cm="1">
        <f t="array" ref="V130">IF( ISBLANK(V$105), "",EvaluatePolynomial(V$105:V$111,$A130))</f>
        <v/>
      </c>
      <c r="W130" s="2" t="str" cm="1">
        <f t="array" ref="W130">IF( ISBLANK(W$105), "",EvaluatePolynomial(W$105:W$111,$A130))</f>
        <v/>
      </c>
      <c r="X130" s="2" t="str" cm="1">
        <f t="array" ref="X130">IF( ISBLANK(X$105), "",EvaluatePolynomial(X$105:X$111,$A130))</f>
        <v/>
      </c>
      <c r="Y130" s="2" t="str" cm="1">
        <f t="array" ref="Y130">IF( ISBLANK(Y$105), "",EvaluatePolynomial(Y$105:Y$111,$A130))</f>
        <v/>
      </c>
      <c r="Z130" s="2" t="str" cm="1">
        <f t="array" ref="Z130">IF( ISBLANK(Z$105), "",EvaluatePolynomial(Z$105:Z$111,$A130))</f>
        <v/>
      </c>
      <c r="AA130" s="2" t="str" cm="1">
        <f t="array" ref="AA130">IF( ISBLANK(AA$105), "",EvaluatePolynomial(AA$105:AA$111,$A130))</f>
        <v/>
      </c>
      <c r="AB130" s="43" t="str" cm="1">
        <f t="array" ref="AB130">IF( ISBLANK(AB$105), "",EvaluatePolynomial(AB$105:AB$111,$A130))</f>
        <v/>
      </c>
      <c r="AC130" s="2"/>
    </row>
    <row r="131" spans="1:31" x14ac:dyDescent="0.25">
      <c r="A131" s="41">
        <v>400</v>
      </c>
      <c r="B131" s="42" t="str" cm="1">
        <f t="array" ref="B131">IF( ISBLANK(B$105), "",EvaluatePolynomial(B$105:B$111,$A131))</f>
        <v/>
      </c>
      <c r="C131" s="42" t="str" cm="1">
        <f t="array" ref="C131">IF( ISBLANK(C$105), "",EvaluatePolynomial(C$105:C$111,$A131))</f>
        <v/>
      </c>
      <c r="D131" s="2" t="str" cm="1">
        <f t="array" ref="D131">IF( ISBLANK(D$105), "",EvaluatePolynomial(D$105:D$111,$A131))</f>
        <v/>
      </c>
      <c r="E131" s="2" t="str" cm="1">
        <f t="array" ref="E131">IF( ISBLANK(E$105), "",EvaluatePolynomial(E$105:E$111,$A131))</f>
        <v/>
      </c>
      <c r="F131" s="2" t="str" cm="1">
        <f t="array" ref="F131">IF( ISBLANK(F$105), "",EvaluatePolynomial(F$105:F$111,$A131))</f>
        <v/>
      </c>
      <c r="G131" s="2" t="str" cm="1">
        <f t="array" ref="G131">IF( ISBLANK(G$105), "",EvaluatePolynomial(G$105:G$111,$A131))</f>
        <v/>
      </c>
      <c r="H131" s="2" t="str" cm="1">
        <f t="array" ref="H131">IF( ISBLANK(H$105), "",EvaluatePolynomial(H$105:H$111,$A131))</f>
        <v/>
      </c>
      <c r="I131" s="2" t="str" cm="1">
        <f t="array" ref="I131">IF( ISBLANK(I$105), "",EvaluatePolynomial(I$105:I$111,$A131))</f>
        <v/>
      </c>
      <c r="J131" s="2" t="str" cm="1">
        <f t="array" ref="J131">IF( ISBLANK(J$105), "",EvaluatePolynomial(J$105:J$111,$A131))</f>
        <v/>
      </c>
      <c r="K131" s="2" t="str" cm="1">
        <f t="array" ref="K131">IF( ISBLANK(K$105), "",EvaluatePolynomial(K$105:K$111,$A131))</f>
        <v/>
      </c>
      <c r="L131" s="2" t="str" cm="1">
        <f t="array" ref="L131">IF( ISBLANK(L$105), "",EvaluatePolynomial(L$105:L$111,$A131))</f>
        <v/>
      </c>
      <c r="M131" s="2" t="str" cm="1">
        <f t="array" ref="M131">IF( ISBLANK(M$105), "",EvaluatePolynomial(M$105:M$111,$A131))</f>
        <v/>
      </c>
      <c r="N131" s="2" t="str" cm="1">
        <f t="array" ref="N131">IF( ISBLANK(N$105), "",EvaluatePolynomial(N$105:N$111,$A131))</f>
        <v/>
      </c>
      <c r="O131" s="2" t="str" cm="1">
        <f t="array" ref="O131">IF( ISBLANK(O$105), "",EvaluatePolynomial(O$105:O$111,$A131))</f>
        <v/>
      </c>
      <c r="P131" s="2" t="str" cm="1">
        <f t="array" ref="P131">IF( ISBLANK(P$105), "",EvaluatePolynomial(P$105:P$111,$A131))</f>
        <v/>
      </c>
      <c r="Q131" s="2" t="str" cm="1">
        <f t="array" ref="Q131">IF( ISBLANK(Q$105), "",EvaluatePolynomial(Q$105:Q$111,$A131))</f>
        <v/>
      </c>
      <c r="R131" s="2" t="str" cm="1">
        <f t="array" ref="R131">IF( ISBLANK(R$105), "",EvaluatePolynomial(R$105:R$111,$A131))</f>
        <v/>
      </c>
      <c r="S131" s="2" t="str" cm="1">
        <f t="array" ref="S131">IF( ISBLANK(S$105), "",EvaluatePolynomial(S$105:S$111,$A131))</f>
        <v/>
      </c>
      <c r="T131" s="2" t="str" cm="1">
        <f t="array" ref="T131">IF( ISBLANK(T$105), "",EvaluatePolynomial(T$105:T$111,$A131))</f>
        <v/>
      </c>
      <c r="U131" s="2" t="str" cm="1">
        <f t="array" ref="U131">IF( ISBLANK(U$105), "",EvaluatePolynomial(U$105:U$111,$A131))</f>
        <v/>
      </c>
      <c r="V131" s="2" t="str" cm="1">
        <f t="array" ref="V131">IF( ISBLANK(V$105), "",EvaluatePolynomial(V$105:V$111,$A131))</f>
        <v/>
      </c>
      <c r="W131" s="2" t="str" cm="1">
        <f t="array" ref="W131">IF( ISBLANK(W$105), "",EvaluatePolynomial(W$105:W$111,$A131))</f>
        <v/>
      </c>
      <c r="X131" s="2" t="str" cm="1">
        <f t="array" ref="X131">IF( ISBLANK(X$105), "",EvaluatePolynomial(X$105:X$111,$A131))</f>
        <v/>
      </c>
      <c r="Y131" s="2" t="str" cm="1">
        <f t="array" ref="Y131">IF( ISBLANK(Y$105), "",EvaluatePolynomial(Y$105:Y$111,$A131))</f>
        <v/>
      </c>
      <c r="Z131" s="2" t="str" cm="1">
        <f t="array" ref="Z131">IF( ISBLANK(Z$105), "",EvaluatePolynomial(Z$105:Z$111,$A131))</f>
        <v/>
      </c>
      <c r="AA131" s="2" t="str" cm="1">
        <f t="array" ref="AA131">IF( ISBLANK(AA$105), "",EvaluatePolynomial(AA$105:AA$111,$A131))</f>
        <v/>
      </c>
      <c r="AB131" s="43" t="str" cm="1">
        <f t="array" ref="AB131">IF( ISBLANK(AB$105), "",EvaluatePolynomial(AB$105:AB$111,$A131))</f>
        <v/>
      </c>
      <c r="AC131" s="2"/>
    </row>
    <row r="132" spans="1:31" x14ac:dyDescent="0.25">
      <c r="A132" s="41">
        <v>425</v>
      </c>
      <c r="B132" s="42" t="str" cm="1">
        <f t="array" ref="B132">IF( ISBLANK(B$105), "",EvaluatePolynomial(B$105:B$111,$A132))</f>
        <v/>
      </c>
      <c r="C132" s="42" t="str" cm="1">
        <f t="array" ref="C132">IF( ISBLANK(C$105), "",EvaluatePolynomial(C$105:C$111,$A132))</f>
        <v/>
      </c>
      <c r="D132" s="2" t="str" cm="1">
        <f t="array" ref="D132">IF( ISBLANK(D$105), "",EvaluatePolynomial(D$105:D$111,$A132))</f>
        <v/>
      </c>
      <c r="E132" s="2" t="str" cm="1">
        <f t="array" ref="E132">IF( ISBLANK(E$105), "",EvaluatePolynomial(E$105:E$111,$A132))</f>
        <v/>
      </c>
      <c r="F132" s="2" t="str" cm="1">
        <f t="array" ref="F132">IF( ISBLANK(F$105), "",EvaluatePolynomial(F$105:F$111,$A132))</f>
        <v/>
      </c>
      <c r="G132" s="2" t="str" cm="1">
        <f t="array" ref="G132">IF( ISBLANK(G$105), "",EvaluatePolynomial(G$105:G$111,$A132))</f>
        <v/>
      </c>
      <c r="H132" s="2" t="str" cm="1">
        <f t="array" ref="H132">IF( ISBLANK(H$105), "",EvaluatePolynomial(H$105:H$111,$A132))</f>
        <v/>
      </c>
      <c r="I132" s="2" t="str" cm="1">
        <f t="array" ref="I132">IF( ISBLANK(I$105), "",EvaluatePolynomial(I$105:I$111,$A132))</f>
        <v/>
      </c>
      <c r="J132" s="2" t="str" cm="1">
        <f t="array" ref="J132">IF( ISBLANK(J$105), "",EvaluatePolynomial(J$105:J$111,$A132))</f>
        <v/>
      </c>
      <c r="K132" s="2" t="str" cm="1">
        <f t="array" ref="K132">IF( ISBLANK(K$105), "",EvaluatePolynomial(K$105:K$111,$A132))</f>
        <v/>
      </c>
      <c r="L132" s="2" t="str" cm="1">
        <f t="array" ref="L132">IF( ISBLANK(L$105), "",EvaluatePolynomial(L$105:L$111,$A132))</f>
        <v/>
      </c>
      <c r="M132" s="2" t="str" cm="1">
        <f t="array" ref="M132">IF( ISBLANK(M$105), "",EvaluatePolynomial(M$105:M$111,$A132))</f>
        <v/>
      </c>
      <c r="N132" s="2" t="str" cm="1">
        <f t="array" ref="N132">IF( ISBLANK(N$105), "",EvaluatePolynomial(N$105:N$111,$A132))</f>
        <v/>
      </c>
      <c r="O132" s="2" t="str" cm="1">
        <f t="array" ref="O132">IF( ISBLANK(O$105), "",EvaluatePolynomial(O$105:O$111,$A132))</f>
        <v/>
      </c>
      <c r="P132" s="2" t="str" cm="1">
        <f t="array" ref="P132">IF( ISBLANK(P$105), "",EvaluatePolynomial(P$105:P$111,$A132))</f>
        <v/>
      </c>
      <c r="Q132" s="2" t="str" cm="1">
        <f t="array" ref="Q132">IF( ISBLANK(Q$105), "",EvaluatePolynomial(Q$105:Q$111,$A132))</f>
        <v/>
      </c>
      <c r="R132" s="2" t="str" cm="1">
        <f t="array" ref="R132">IF( ISBLANK(R$105), "",EvaluatePolynomial(R$105:R$111,$A132))</f>
        <v/>
      </c>
      <c r="S132" s="2" t="str" cm="1">
        <f t="array" ref="S132">IF( ISBLANK(S$105), "",EvaluatePolynomial(S$105:S$111,$A132))</f>
        <v/>
      </c>
      <c r="T132" s="2" t="str" cm="1">
        <f t="array" ref="T132">IF( ISBLANK(T$105), "",EvaluatePolynomial(T$105:T$111,$A132))</f>
        <v/>
      </c>
      <c r="U132" s="2" t="str" cm="1">
        <f t="array" ref="U132">IF( ISBLANK(U$105), "",EvaluatePolynomial(U$105:U$111,$A132))</f>
        <v/>
      </c>
      <c r="V132" s="2" t="str" cm="1">
        <f t="array" ref="V132">IF( ISBLANK(V$105), "",EvaluatePolynomial(V$105:V$111,$A132))</f>
        <v/>
      </c>
      <c r="W132" s="2" t="str" cm="1">
        <f t="array" ref="W132">IF( ISBLANK(W$105), "",EvaluatePolynomial(W$105:W$111,$A132))</f>
        <v/>
      </c>
      <c r="X132" s="2" t="str" cm="1">
        <f t="array" ref="X132">IF( ISBLANK(X$105), "",EvaluatePolynomial(X$105:X$111,$A132))</f>
        <v/>
      </c>
      <c r="Y132" s="2" t="str" cm="1">
        <f t="array" ref="Y132">IF( ISBLANK(Y$105), "",EvaluatePolynomial(Y$105:Y$111,$A132))</f>
        <v/>
      </c>
      <c r="Z132" s="2" t="str" cm="1">
        <f t="array" ref="Z132">IF( ISBLANK(Z$105), "",EvaluatePolynomial(Z$105:Z$111,$A132))</f>
        <v/>
      </c>
      <c r="AA132" s="2" t="str" cm="1">
        <f t="array" ref="AA132">IF( ISBLANK(AA$105), "",EvaluatePolynomial(AA$105:AA$111,$A132))</f>
        <v/>
      </c>
      <c r="AB132" s="43" t="str" cm="1">
        <f t="array" ref="AB132">IF( ISBLANK(AB$105), "",EvaluatePolynomial(AB$105:AB$111,$A132))</f>
        <v/>
      </c>
      <c r="AC132" s="2"/>
    </row>
    <row r="133" spans="1:31" x14ac:dyDescent="0.25">
      <c r="A133" s="41">
        <v>450</v>
      </c>
      <c r="B133" s="42" t="str" cm="1">
        <f t="array" ref="B133">IF( ISBLANK(B$105), "",EvaluatePolynomial(B$105:B$111,$A133))</f>
        <v/>
      </c>
      <c r="C133" s="42" t="str" cm="1">
        <f t="array" ref="C133">IF( ISBLANK(C$105), "",EvaluatePolynomial(C$105:C$111,$A133))</f>
        <v/>
      </c>
      <c r="D133" s="2" t="str" cm="1">
        <f t="array" ref="D133">IF( ISBLANK(D$105), "",EvaluatePolynomial(D$105:D$111,$A133))</f>
        <v/>
      </c>
      <c r="E133" s="2" t="str" cm="1">
        <f t="array" ref="E133">IF( ISBLANK(E$105), "",EvaluatePolynomial(E$105:E$111,$A133))</f>
        <v/>
      </c>
      <c r="F133" s="2" t="str" cm="1">
        <f t="array" ref="F133">IF( ISBLANK(F$105), "",EvaluatePolynomial(F$105:F$111,$A133))</f>
        <v/>
      </c>
      <c r="G133" s="2" t="str" cm="1">
        <f t="array" ref="G133">IF( ISBLANK(G$105), "",EvaluatePolynomial(G$105:G$111,$A133))</f>
        <v/>
      </c>
      <c r="H133" s="2" t="str" cm="1">
        <f t="array" ref="H133">IF( ISBLANK(H$105), "",EvaluatePolynomial(H$105:H$111,$A133))</f>
        <v/>
      </c>
      <c r="I133" s="2" t="str" cm="1">
        <f t="array" ref="I133">IF( ISBLANK(I$105), "",EvaluatePolynomial(I$105:I$111,$A133))</f>
        <v/>
      </c>
      <c r="J133" s="2" t="str" cm="1">
        <f t="array" ref="J133">IF( ISBLANK(J$105), "",EvaluatePolynomial(J$105:J$111,$A133))</f>
        <v/>
      </c>
      <c r="K133" s="2" t="str" cm="1">
        <f t="array" ref="K133">IF( ISBLANK(K$105), "",EvaluatePolynomial(K$105:K$111,$A133))</f>
        <v/>
      </c>
      <c r="L133" s="2" t="str" cm="1">
        <f t="array" ref="L133">IF( ISBLANK(L$105), "",EvaluatePolynomial(L$105:L$111,$A133))</f>
        <v/>
      </c>
      <c r="M133" s="2" t="str" cm="1">
        <f t="array" ref="M133">IF( ISBLANK(M$105), "",EvaluatePolynomial(M$105:M$111,$A133))</f>
        <v/>
      </c>
      <c r="N133" s="2" t="str" cm="1">
        <f t="array" ref="N133">IF( ISBLANK(N$105), "",EvaluatePolynomial(N$105:N$111,$A133))</f>
        <v/>
      </c>
      <c r="O133" s="2" t="str" cm="1">
        <f t="array" ref="O133">IF( ISBLANK(O$105), "",EvaluatePolynomial(O$105:O$111,$A133))</f>
        <v/>
      </c>
      <c r="P133" s="2" t="str" cm="1">
        <f t="array" ref="P133">IF( ISBLANK(P$105), "",EvaluatePolynomial(P$105:P$111,$A133))</f>
        <v/>
      </c>
      <c r="Q133" s="2" t="str" cm="1">
        <f t="array" ref="Q133">IF( ISBLANK(Q$105), "",EvaluatePolynomial(Q$105:Q$111,$A133))</f>
        <v/>
      </c>
      <c r="R133" s="2" t="str" cm="1">
        <f t="array" ref="R133">IF( ISBLANK(R$105), "",EvaluatePolynomial(R$105:R$111,$A133))</f>
        <v/>
      </c>
      <c r="S133" s="2" t="str" cm="1">
        <f t="array" ref="S133">IF( ISBLANK(S$105), "",EvaluatePolynomial(S$105:S$111,$A133))</f>
        <v/>
      </c>
      <c r="T133" s="2" t="str" cm="1">
        <f t="array" ref="T133">IF( ISBLANK(T$105), "",EvaluatePolynomial(T$105:T$111,$A133))</f>
        <v/>
      </c>
      <c r="U133" s="2" t="str" cm="1">
        <f t="array" ref="U133">IF( ISBLANK(U$105), "",EvaluatePolynomial(U$105:U$111,$A133))</f>
        <v/>
      </c>
      <c r="V133" s="2" t="str" cm="1">
        <f t="array" ref="V133">IF( ISBLANK(V$105), "",EvaluatePolynomial(V$105:V$111,$A133))</f>
        <v/>
      </c>
      <c r="W133" s="2" t="str" cm="1">
        <f t="array" ref="W133">IF( ISBLANK(W$105), "",EvaluatePolynomial(W$105:W$111,$A133))</f>
        <v/>
      </c>
      <c r="X133" s="2" t="str" cm="1">
        <f t="array" ref="X133">IF( ISBLANK(X$105), "",EvaluatePolynomial(X$105:X$111,$A133))</f>
        <v/>
      </c>
      <c r="Y133" s="2" t="str" cm="1">
        <f t="array" ref="Y133">IF( ISBLANK(Y$105), "",EvaluatePolynomial(Y$105:Y$111,$A133))</f>
        <v/>
      </c>
      <c r="Z133" s="2" t="str" cm="1">
        <f t="array" ref="Z133">IF( ISBLANK(Z$105), "",EvaluatePolynomial(Z$105:Z$111,$A133))</f>
        <v/>
      </c>
      <c r="AA133" s="2" t="str" cm="1">
        <f t="array" ref="AA133">IF( ISBLANK(AA$105), "",EvaluatePolynomial(AA$105:AA$111,$A133))</f>
        <v/>
      </c>
      <c r="AB133" s="43" t="str" cm="1">
        <f t="array" ref="AB133">IF( ISBLANK(AB$105), "",EvaluatePolynomial(AB$105:AB$111,$A133))</f>
        <v/>
      </c>
      <c r="AC133" s="2"/>
    </row>
    <row r="134" spans="1:31" x14ac:dyDescent="0.25">
      <c r="A134" s="41">
        <v>475</v>
      </c>
      <c r="B134" s="42" t="str" cm="1">
        <f t="array" ref="B134">IF( ISBLANK(B$105), "",EvaluatePolynomial(B$105:B$111,$A134))</f>
        <v/>
      </c>
      <c r="C134" s="42" t="str" cm="1">
        <f t="array" ref="C134">IF( ISBLANK(C$105), "",EvaluatePolynomial(C$105:C$111,$A134))</f>
        <v/>
      </c>
      <c r="D134" s="2" t="str" cm="1">
        <f t="array" ref="D134">IF( ISBLANK(D$105), "",EvaluatePolynomial(D$105:D$111,$A134))</f>
        <v/>
      </c>
      <c r="E134" s="2" t="str" cm="1">
        <f t="array" ref="E134">IF( ISBLANK(E$105), "",EvaluatePolynomial(E$105:E$111,$A134))</f>
        <v/>
      </c>
      <c r="F134" s="2" t="str" cm="1">
        <f t="array" ref="F134">IF( ISBLANK(F$105), "",EvaluatePolynomial(F$105:F$111,$A134))</f>
        <v/>
      </c>
      <c r="G134" s="2" t="str" cm="1">
        <f t="array" ref="G134">IF( ISBLANK(G$105), "",EvaluatePolynomial(G$105:G$111,$A134))</f>
        <v/>
      </c>
      <c r="H134" s="2" t="str" cm="1">
        <f t="array" ref="H134">IF( ISBLANK(H$105), "",EvaluatePolynomial(H$105:H$111,$A134))</f>
        <v/>
      </c>
      <c r="I134" s="2" t="str" cm="1">
        <f t="array" ref="I134">IF( ISBLANK(I$105), "",EvaluatePolynomial(I$105:I$111,$A134))</f>
        <v/>
      </c>
      <c r="J134" s="2" t="str" cm="1">
        <f t="array" ref="J134">IF( ISBLANK(J$105), "",EvaluatePolynomial(J$105:J$111,$A134))</f>
        <v/>
      </c>
      <c r="K134" s="2" t="str" cm="1">
        <f t="array" ref="K134">IF( ISBLANK(K$105), "",EvaluatePolynomial(K$105:K$111,$A134))</f>
        <v/>
      </c>
      <c r="L134" s="2" t="str" cm="1">
        <f t="array" ref="L134">IF( ISBLANK(L$105), "",EvaluatePolynomial(L$105:L$111,$A134))</f>
        <v/>
      </c>
      <c r="M134" s="2" t="str" cm="1">
        <f t="array" ref="M134">IF( ISBLANK(M$105), "",EvaluatePolynomial(M$105:M$111,$A134))</f>
        <v/>
      </c>
      <c r="N134" s="2" t="str" cm="1">
        <f t="array" ref="N134">IF( ISBLANK(N$105), "",EvaluatePolynomial(N$105:N$111,$A134))</f>
        <v/>
      </c>
      <c r="O134" s="2" t="str" cm="1">
        <f t="array" ref="O134">IF( ISBLANK(O$105), "",EvaluatePolynomial(O$105:O$111,$A134))</f>
        <v/>
      </c>
      <c r="P134" s="2" t="str" cm="1">
        <f t="array" ref="P134">IF( ISBLANK(P$105), "",EvaluatePolynomial(P$105:P$111,$A134))</f>
        <v/>
      </c>
      <c r="Q134" s="2" t="str" cm="1">
        <f t="array" ref="Q134">IF( ISBLANK(Q$105), "",EvaluatePolynomial(Q$105:Q$111,$A134))</f>
        <v/>
      </c>
      <c r="R134" s="2" t="str" cm="1">
        <f t="array" ref="R134">IF( ISBLANK(R$105), "",EvaluatePolynomial(R$105:R$111,$A134))</f>
        <v/>
      </c>
      <c r="S134" s="2" t="str" cm="1">
        <f t="array" ref="S134">IF( ISBLANK(S$105), "",EvaluatePolynomial(S$105:S$111,$A134))</f>
        <v/>
      </c>
      <c r="T134" s="2" t="str" cm="1">
        <f t="array" ref="T134">IF( ISBLANK(T$105), "",EvaluatePolynomial(T$105:T$111,$A134))</f>
        <v/>
      </c>
      <c r="U134" s="2" t="str" cm="1">
        <f t="array" ref="U134">IF( ISBLANK(U$105), "",EvaluatePolynomial(U$105:U$111,$A134))</f>
        <v/>
      </c>
      <c r="V134" s="2" t="str" cm="1">
        <f t="array" ref="V134">IF( ISBLANK(V$105), "",EvaluatePolynomial(V$105:V$111,$A134))</f>
        <v/>
      </c>
      <c r="W134" s="2" t="str" cm="1">
        <f t="array" ref="W134">IF( ISBLANK(W$105), "",EvaluatePolynomial(W$105:W$111,$A134))</f>
        <v/>
      </c>
      <c r="X134" s="2" t="str" cm="1">
        <f t="array" ref="X134">IF( ISBLANK(X$105), "",EvaluatePolynomial(X$105:X$111,$A134))</f>
        <v/>
      </c>
      <c r="Y134" s="2" t="str" cm="1">
        <f t="array" ref="Y134">IF( ISBLANK(Y$105), "",EvaluatePolynomial(Y$105:Y$111,$A134))</f>
        <v/>
      </c>
      <c r="Z134" s="2" t="str" cm="1">
        <f t="array" ref="Z134">IF( ISBLANK(Z$105), "",EvaluatePolynomial(Z$105:Z$111,$A134))</f>
        <v/>
      </c>
      <c r="AA134" s="2" t="str" cm="1">
        <f t="array" ref="AA134">IF( ISBLANK(AA$105), "",EvaluatePolynomial(AA$105:AA$111,$A134))</f>
        <v/>
      </c>
      <c r="AB134" s="43" t="str" cm="1">
        <f t="array" ref="AB134">IF( ISBLANK(AB$105), "",EvaluatePolynomial(AB$105:AB$111,$A134))</f>
        <v/>
      </c>
      <c r="AC134" s="2"/>
    </row>
    <row r="135" spans="1:31" x14ac:dyDescent="0.25">
      <c r="A135" s="41">
        <v>500</v>
      </c>
      <c r="B135" s="42" t="str" cm="1">
        <f t="array" ref="B135">IF( ISBLANK(B$105), "",EvaluatePolynomial(B$105:B$111,$A135))</f>
        <v/>
      </c>
      <c r="C135" s="42" t="str" cm="1">
        <f t="array" ref="C135">IF( ISBLANK(C$105), "",EvaluatePolynomial(C$105:C$111,$A135))</f>
        <v/>
      </c>
      <c r="D135" s="2" t="str" cm="1">
        <f t="array" ref="D135">IF( ISBLANK(D$105), "",EvaluatePolynomial(D$105:D$111,$A135))</f>
        <v/>
      </c>
      <c r="E135" s="2" t="str" cm="1">
        <f t="array" ref="E135">IF( ISBLANK(E$105), "",EvaluatePolynomial(E$105:E$111,$A135))</f>
        <v/>
      </c>
      <c r="F135" s="2" t="str" cm="1">
        <f t="array" ref="F135">IF( ISBLANK(F$105), "",EvaluatePolynomial(F$105:F$111,$A135))</f>
        <v/>
      </c>
      <c r="G135" s="2" t="str" cm="1">
        <f t="array" ref="G135">IF( ISBLANK(G$105), "",EvaluatePolynomial(G$105:G$111,$A135))</f>
        <v/>
      </c>
      <c r="H135" s="2" t="str" cm="1">
        <f t="array" ref="H135">IF( ISBLANK(H$105), "",EvaluatePolynomial(H$105:H$111,$A135))</f>
        <v/>
      </c>
      <c r="I135" s="2" t="str" cm="1">
        <f t="array" ref="I135">IF( ISBLANK(I$105), "",EvaluatePolynomial(I$105:I$111,$A135))</f>
        <v/>
      </c>
      <c r="J135" s="2" t="str" cm="1">
        <f t="array" ref="J135">IF( ISBLANK(J$105), "",EvaluatePolynomial(J$105:J$111,$A135))</f>
        <v/>
      </c>
      <c r="K135" s="2" t="str" cm="1">
        <f t="array" ref="K135">IF( ISBLANK(K$105), "",EvaluatePolynomial(K$105:K$111,$A135))</f>
        <v/>
      </c>
      <c r="L135" s="2" t="str" cm="1">
        <f t="array" ref="L135">IF( ISBLANK(L$105), "",EvaluatePolynomial(L$105:L$111,$A135))</f>
        <v/>
      </c>
      <c r="M135" s="2" t="str" cm="1">
        <f t="array" ref="M135">IF( ISBLANK(M$105), "",EvaluatePolynomial(M$105:M$111,$A135))</f>
        <v/>
      </c>
      <c r="N135" s="2" t="str" cm="1">
        <f t="array" ref="N135">IF( ISBLANK(N$105), "",EvaluatePolynomial(N$105:N$111,$A135))</f>
        <v/>
      </c>
      <c r="O135" s="2" t="str" cm="1">
        <f t="array" ref="O135">IF( ISBLANK(O$105), "",EvaluatePolynomial(O$105:O$111,$A135))</f>
        <v/>
      </c>
      <c r="P135" s="2" t="str" cm="1">
        <f t="array" ref="P135">IF( ISBLANK(P$105), "",EvaluatePolynomial(P$105:P$111,$A135))</f>
        <v/>
      </c>
      <c r="Q135" s="2" t="str" cm="1">
        <f t="array" ref="Q135">IF( ISBLANK(Q$105), "",EvaluatePolynomial(Q$105:Q$111,$A135))</f>
        <v/>
      </c>
      <c r="R135" s="2" t="str" cm="1">
        <f t="array" ref="R135">IF( ISBLANK(R$105), "",EvaluatePolynomial(R$105:R$111,$A135))</f>
        <v/>
      </c>
      <c r="S135" s="2" t="str" cm="1">
        <f t="array" ref="S135">IF( ISBLANK(S$105), "",EvaluatePolynomial(S$105:S$111,$A135))</f>
        <v/>
      </c>
      <c r="T135" s="2" t="str" cm="1">
        <f t="array" ref="T135">IF( ISBLANK(T$105), "",EvaluatePolynomial(T$105:T$111,$A135))</f>
        <v/>
      </c>
      <c r="U135" s="2" t="str" cm="1">
        <f t="array" ref="U135">IF( ISBLANK(U$105), "",EvaluatePolynomial(U$105:U$111,$A135))</f>
        <v/>
      </c>
      <c r="V135" s="2" t="str" cm="1">
        <f t="array" ref="V135">IF( ISBLANK(V$105), "",EvaluatePolynomial(V$105:V$111,$A135))</f>
        <v/>
      </c>
      <c r="W135" s="2" t="str" cm="1">
        <f t="array" ref="W135">IF( ISBLANK(W$105), "",EvaluatePolynomial(W$105:W$111,$A135))</f>
        <v/>
      </c>
      <c r="X135" s="2" t="str" cm="1">
        <f t="array" ref="X135">IF( ISBLANK(X$105), "",EvaluatePolynomial(X$105:X$111,$A135))</f>
        <v/>
      </c>
      <c r="Y135" s="2" t="str" cm="1">
        <f t="array" ref="Y135">IF( ISBLANK(Y$105), "",EvaluatePolynomial(Y$105:Y$111,$A135))</f>
        <v/>
      </c>
      <c r="Z135" s="2" t="str" cm="1">
        <f t="array" ref="Z135">IF( ISBLANK(Z$105), "",EvaluatePolynomial(Z$105:Z$111,$A135))</f>
        <v/>
      </c>
      <c r="AA135" s="2" t="str" cm="1">
        <f t="array" ref="AA135">IF( ISBLANK(AA$105), "",EvaluatePolynomial(AA$105:AA$111,$A135))</f>
        <v/>
      </c>
      <c r="AB135" s="43" t="str" cm="1">
        <f t="array" ref="AB135">IF( ISBLANK(AB$105), "",EvaluatePolynomial(AB$105:AB$111,$A135))</f>
        <v/>
      </c>
      <c r="AC135" s="2"/>
    </row>
    <row r="136" spans="1:31" x14ac:dyDescent="0.25">
      <c r="A136" s="41">
        <v>525</v>
      </c>
      <c r="B136" t="str" cm="1">
        <f t="array" ref="B136">IF( ISBLANK(B$105), "",EvaluatePolynomial(B$105:B$111,$A136))</f>
        <v/>
      </c>
      <c r="C136" t="str" cm="1">
        <f t="array" ref="C136">IF( ISBLANK(C$105), "",EvaluatePolynomial(C$105:C$111,$A136))</f>
        <v/>
      </c>
      <c r="D136" t="str" cm="1">
        <f t="array" ref="D136">IF( ISBLANK(D$105), "",EvaluatePolynomial(D$105:D$111,$A136))</f>
        <v/>
      </c>
      <c r="E136" t="str" cm="1">
        <f t="array" ref="E136">IF( ISBLANK(E$105), "",EvaluatePolynomial(E$105:E$111,$A136))</f>
        <v/>
      </c>
      <c r="F136" t="str" cm="1">
        <f t="array" ref="F136">IF( ISBLANK(F$105), "",EvaluatePolynomial(F$105:F$111,$A136))</f>
        <v/>
      </c>
      <c r="G136" t="str" cm="1">
        <f t="array" ref="G136">IF( ISBLANK(G$105), "",EvaluatePolynomial(G$105:G$111,$A136))</f>
        <v/>
      </c>
      <c r="H136" t="str" cm="1">
        <f t="array" ref="H136">IF( ISBLANK(H$105), "",EvaluatePolynomial(H$105:H$111,$A136))</f>
        <v/>
      </c>
      <c r="I136" t="str" cm="1">
        <f t="array" ref="I136">IF( ISBLANK(I$105), "",EvaluatePolynomial(I$105:I$111,$A136))</f>
        <v/>
      </c>
      <c r="J136" t="str" cm="1">
        <f t="array" ref="J136">IF( ISBLANK(J$105), "",EvaluatePolynomial(J$105:J$111,$A136))</f>
        <v/>
      </c>
      <c r="K136" t="str" cm="1">
        <f t="array" ref="K136">IF( ISBLANK(K$105), "",EvaluatePolynomial(K$105:K$111,$A136))</f>
        <v/>
      </c>
      <c r="L136" t="str" cm="1">
        <f t="array" ref="L136">IF( ISBLANK(L$105), "",EvaluatePolynomial(L$105:L$111,$A136))</f>
        <v/>
      </c>
      <c r="M136" t="str" cm="1">
        <f t="array" ref="M136">IF( ISBLANK(M$105), "",EvaluatePolynomial(M$105:M$111,$A136))</f>
        <v/>
      </c>
      <c r="N136" t="str" cm="1">
        <f t="array" ref="N136">IF( ISBLANK(N$105), "",EvaluatePolynomial(N$105:N$111,$A136))</f>
        <v/>
      </c>
      <c r="O136" t="str" cm="1">
        <f t="array" ref="O136">IF( ISBLANK(O$105), "",EvaluatePolynomial(O$105:O$111,$A136))</f>
        <v/>
      </c>
      <c r="P136" t="str" cm="1">
        <f t="array" ref="P136">IF( ISBLANK(P$105), "",EvaluatePolynomial(P$105:P$111,$A136))</f>
        <v/>
      </c>
      <c r="Q136" t="str" cm="1">
        <f t="array" ref="Q136">IF( ISBLANK(Q$105), "",EvaluatePolynomial(Q$105:Q$111,$A136))</f>
        <v/>
      </c>
      <c r="R136" t="str" cm="1">
        <f t="array" ref="R136">IF( ISBLANK(R$105), "",EvaluatePolynomial(R$105:R$111,$A136))</f>
        <v/>
      </c>
      <c r="S136" t="str" cm="1">
        <f t="array" ref="S136">IF( ISBLANK(S$105), "",EvaluatePolynomial(S$105:S$111,$A136))</f>
        <v/>
      </c>
      <c r="T136" t="str" cm="1">
        <f t="array" ref="T136">IF( ISBLANK(T$105), "",EvaluatePolynomial(T$105:T$111,$A136))</f>
        <v/>
      </c>
      <c r="U136" t="str" cm="1">
        <f t="array" ref="U136">IF( ISBLANK(U$105), "",EvaluatePolynomial(U$105:U$111,$A136))</f>
        <v/>
      </c>
      <c r="V136" t="str" cm="1">
        <f t="array" ref="V136">IF( ISBLANK(V$105), "",EvaluatePolynomial(V$105:V$111,$A136))</f>
        <v/>
      </c>
      <c r="W136" t="str" cm="1">
        <f t="array" ref="W136">IF( ISBLANK(W$105), "",EvaluatePolynomial(W$105:W$111,$A136))</f>
        <v/>
      </c>
      <c r="X136" t="str" cm="1">
        <f t="array" ref="X136">IF( ISBLANK(X$105), "",EvaluatePolynomial(X$105:X$111,$A136))</f>
        <v/>
      </c>
      <c r="Y136" t="str" cm="1">
        <f t="array" ref="Y136">IF( ISBLANK(Y$105), "",EvaluatePolynomial(Y$105:Y$111,$A136))</f>
        <v/>
      </c>
      <c r="Z136" t="str" cm="1">
        <f t="array" ref="Z136">IF( ISBLANK(Z$105), "",EvaluatePolynomial(Z$105:Z$111,$A136))</f>
        <v/>
      </c>
      <c r="AA136" t="str" cm="1">
        <f t="array" ref="AA136">IF( ISBLANK(AA$105), "",EvaluatePolynomial(AA$105:AA$111,$A136))</f>
        <v/>
      </c>
      <c r="AB136" s="44" t="str" cm="1">
        <f t="array" ref="AB136">IF( ISBLANK(AB$105), "",EvaluatePolynomial(AB$105:AB$111,$A136))</f>
        <v/>
      </c>
    </row>
    <row r="137" spans="1:31" x14ac:dyDescent="0.25">
      <c r="A137" s="41">
        <v>550</v>
      </c>
      <c r="B137" t="str" cm="1">
        <f t="array" ref="B137">IF( ISBLANK(B$105), "",EvaluatePolynomial(B$105:B$111,$A137))</f>
        <v/>
      </c>
      <c r="C137" t="str" cm="1">
        <f t="array" ref="C137">IF( ISBLANK(C$105), "",EvaluatePolynomial(C$105:C$111,$A137))</f>
        <v/>
      </c>
      <c r="D137" t="str" cm="1">
        <f t="array" ref="D137">IF( ISBLANK(D$105), "",EvaluatePolynomial(D$105:D$111,$A137))</f>
        <v/>
      </c>
      <c r="E137" t="str" cm="1">
        <f t="array" ref="E137">IF( ISBLANK(E$105), "",EvaluatePolynomial(E$105:E$111,$A137))</f>
        <v/>
      </c>
      <c r="F137" t="str" cm="1">
        <f t="array" ref="F137">IF( ISBLANK(F$105), "",EvaluatePolynomial(F$105:F$111,$A137))</f>
        <v/>
      </c>
      <c r="G137" t="str" cm="1">
        <f t="array" ref="G137">IF( ISBLANK(G$105), "",EvaluatePolynomial(G$105:G$111,$A137))</f>
        <v/>
      </c>
      <c r="H137" t="str" cm="1">
        <f t="array" ref="H137">IF( ISBLANK(H$105), "",EvaluatePolynomial(H$105:H$111,$A137))</f>
        <v/>
      </c>
      <c r="I137" t="str" cm="1">
        <f t="array" ref="I137">IF( ISBLANK(I$105), "",EvaluatePolynomial(I$105:I$111,$A137))</f>
        <v/>
      </c>
      <c r="J137" t="str" cm="1">
        <f t="array" ref="J137">IF( ISBLANK(J$105), "",EvaluatePolynomial(J$105:J$111,$A137))</f>
        <v/>
      </c>
      <c r="K137" t="str" cm="1">
        <f t="array" ref="K137">IF( ISBLANK(K$105), "",EvaluatePolynomial(K$105:K$111,$A137))</f>
        <v/>
      </c>
      <c r="L137" t="str" cm="1">
        <f t="array" ref="L137">IF( ISBLANK(L$105), "",EvaluatePolynomial(L$105:L$111,$A137))</f>
        <v/>
      </c>
      <c r="M137" t="str" cm="1">
        <f t="array" ref="M137">IF( ISBLANK(M$105), "",EvaluatePolynomial(M$105:M$111,$A137))</f>
        <v/>
      </c>
      <c r="N137" t="str" cm="1">
        <f t="array" ref="N137">IF( ISBLANK(N$105), "",EvaluatePolynomial(N$105:N$111,$A137))</f>
        <v/>
      </c>
      <c r="O137" t="str" cm="1">
        <f t="array" ref="O137">IF( ISBLANK(O$105), "",EvaluatePolynomial(O$105:O$111,$A137))</f>
        <v/>
      </c>
      <c r="P137" t="str" cm="1">
        <f t="array" ref="P137">IF( ISBLANK(P$105), "",EvaluatePolynomial(P$105:P$111,$A137))</f>
        <v/>
      </c>
      <c r="Q137" t="str" cm="1">
        <f t="array" ref="Q137">IF( ISBLANK(Q$105), "",EvaluatePolynomial(Q$105:Q$111,$A137))</f>
        <v/>
      </c>
      <c r="R137" t="str" cm="1">
        <f t="array" ref="R137">IF( ISBLANK(R$105), "",EvaluatePolynomial(R$105:R$111,$A137))</f>
        <v/>
      </c>
      <c r="S137" t="str" cm="1">
        <f t="array" ref="S137">IF( ISBLANK(S$105), "",EvaluatePolynomial(S$105:S$111,$A137))</f>
        <v/>
      </c>
      <c r="T137" t="str" cm="1">
        <f t="array" ref="T137">IF( ISBLANK(T$105), "",EvaluatePolynomial(T$105:T$111,$A137))</f>
        <v/>
      </c>
      <c r="U137" t="str" cm="1">
        <f t="array" ref="U137">IF( ISBLANK(U$105), "",EvaluatePolynomial(U$105:U$111,$A137))</f>
        <v/>
      </c>
      <c r="V137" t="str" cm="1">
        <f t="array" ref="V137">IF( ISBLANK(V$105), "",EvaluatePolynomial(V$105:V$111,$A137))</f>
        <v/>
      </c>
      <c r="W137" t="str" cm="1">
        <f t="array" ref="W137">IF( ISBLANK(W$105), "",EvaluatePolynomial(W$105:W$111,$A137))</f>
        <v/>
      </c>
      <c r="X137" t="str" cm="1">
        <f t="array" ref="X137">IF( ISBLANK(X$105), "",EvaluatePolynomial(X$105:X$111,$A137))</f>
        <v/>
      </c>
      <c r="Y137" t="str" cm="1">
        <f t="array" ref="Y137">IF( ISBLANK(Y$105), "",EvaluatePolynomial(Y$105:Y$111,$A137))</f>
        <v/>
      </c>
      <c r="Z137" t="str" cm="1">
        <f t="array" ref="Z137">IF( ISBLANK(Z$105), "",EvaluatePolynomial(Z$105:Z$111,$A137))</f>
        <v/>
      </c>
      <c r="AA137" t="str" cm="1">
        <f t="array" ref="AA137">IF( ISBLANK(AA$105), "",EvaluatePolynomial(AA$105:AA$111,$A137))</f>
        <v/>
      </c>
      <c r="AB137" s="44" t="str" cm="1">
        <f t="array" ref="AB137">IF( ISBLANK(AB$105), "",EvaluatePolynomial(AB$105:AB$111,$A137))</f>
        <v/>
      </c>
    </row>
    <row r="138" spans="1:31" x14ac:dyDescent="0.25">
      <c r="A138" s="41">
        <v>575</v>
      </c>
      <c r="B138" t="str" cm="1">
        <f t="array" ref="B138">IF( ISBLANK(B$105), "",EvaluatePolynomial(B$105:B$111,$A138))</f>
        <v/>
      </c>
      <c r="C138" t="str" cm="1">
        <f t="array" ref="C138">IF( ISBLANK(C$105), "",EvaluatePolynomial(C$105:C$111,$A138))</f>
        <v/>
      </c>
      <c r="D138" t="str" cm="1">
        <f t="array" ref="D138">IF( ISBLANK(D$105), "",EvaluatePolynomial(D$105:D$111,$A138))</f>
        <v/>
      </c>
      <c r="E138" t="str" cm="1">
        <f t="array" ref="E138">IF( ISBLANK(E$105), "",EvaluatePolynomial(E$105:E$111,$A138))</f>
        <v/>
      </c>
      <c r="F138" t="str" cm="1">
        <f t="array" ref="F138">IF( ISBLANK(F$105), "",EvaluatePolynomial(F$105:F$111,$A138))</f>
        <v/>
      </c>
      <c r="G138" t="str" cm="1">
        <f t="array" ref="G138">IF( ISBLANK(G$105), "",EvaluatePolynomial(G$105:G$111,$A138))</f>
        <v/>
      </c>
      <c r="H138" t="str" cm="1">
        <f t="array" ref="H138">IF( ISBLANK(H$105), "",EvaluatePolynomial(H$105:H$111,$A138))</f>
        <v/>
      </c>
      <c r="I138" t="str" cm="1">
        <f t="array" ref="I138">IF( ISBLANK(I$105), "",EvaluatePolynomial(I$105:I$111,$A138))</f>
        <v/>
      </c>
      <c r="J138" t="str" cm="1">
        <f t="array" ref="J138">IF( ISBLANK(J$105), "",EvaluatePolynomial(J$105:J$111,$A138))</f>
        <v/>
      </c>
      <c r="K138" t="str" cm="1">
        <f t="array" ref="K138">IF( ISBLANK(K$105), "",EvaluatePolynomial(K$105:K$111,$A138))</f>
        <v/>
      </c>
      <c r="L138" t="str" cm="1">
        <f t="array" ref="L138">IF( ISBLANK(L$105), "",EvaluatePolynomial(L$105:L$111,$A138))</f>
        <v/>
      </c>
      <c r="M138" t="str" cm="1">
        <f t="array" ref="M138">IF( ISBLANK(M$105), "",EvaluatePolynomial(M$105:M$111,$A138))</f>
        <v/>
      </c>
      <c r="N138" t="str" cm="1">
        <f t="array" ref="N138">IF( ISBLANK(N$105), "",EvaluatePolynomial(N$105:N$111,$A138))</f>
        <v/>
      </c>
      <c r="O138" t="str" cm="1">
        <f t="array" ref="O138">IF( ISBLANK(O$105), "",EvaluatePolynomial(O$105:O$111,$A138))</f>
        <v/>
      </c>
      <c r="P138" t="str" cm="1">
        <f t="array" ref="P138">IF( ISBLANK(P$105), "",EvaluatePolynomial(P$105:P$111,$A138))</f>
        <v/>
      </c>
      <c r="Q138" t="str" cm="1">
        <f t="array" ref="Q138">IF( ISBLANK(Q$105), "",EvaluatePolynomial(Q$105:Q$111,$A138))</f>
        <v/>
      </c>
      <c r="R138" t="str" cm="1">
        <f t="array" ref="R138">IF( ISBLANK(R$105), "",EvaluatePolynomial(R$105:R$111,$A138))</f>
        <v/>
      </c>
      <c r="S138" t="str" cm="1">
        <f t="array" ref="S138">IF( ISBLANK(S$105), "",EvaluatePolynomial(S$105:S$111,$A138))</f>
        <v/>
      </c>
      <c r="T138" t="str" cm="1">
        <f t="array" ref="T138">IF( ISBLANK(T$105), "",EvaluatePolynomial(T$105:T$111,$A138))</f>
        <v/>
      </c>
      <c r="U138" t="str" cm="1">
        <f t="array" ref="U138">IF( ISBLANK(U$105), "",EvaluatePolynomial(U$105:U$111,$A138))</f>
        <v/>
      </c>
      <c r="V138" t="str" cm="1">
        <f t="array" ref="V138">IF( ISBLANK(V$105), "",EvaluatePolynomial(V$105:V$111,$A138))</f>
        <v/>
      </c>
      <c r="W138" t="str" cm="1">
        <f t="array" ref="W138">IF( ISBLANK(W$105), "",EvaluatePolynomial(W$105:W$111,$A138))</f>
        <v/>
      </c>
      <c r="X138" t="str" cm="1">
        <f t="array" ref="X138">IF( ISBLANK(X$105), "",EvaluatePolynomial(X$105:X$111,$A138))</f>
        <v/>
      </c>
      <c r="Y138" t="str" cm="1">
        <f t="array" ref="Y138">IF( ISBLANK(Y$105), "",EvaluatePolynomial(Y$105:Y$111,$A138))</f>
        <v/>
      </c>
      <c r="Z138" t="str" cm="1">
        <f t="array" ref="Z138">IF( ISBLANK(Z$105), "",EvaluatePolynomial(Z$105:Z$111,$A138))</f>
        <v/>
      </c>
      <c r="AA138" t="str" cm="1">
        <f t="array" ref="AA138">IF( ISBLANK(AA$105), "",EvaluatePolynomial(AA$105:AA$111,$A138))</f>
        <v/>
      </c>
      <c r="AB138" s="44" t="str" cm="1">
        <f t="array" ref="AB138">IF( ISBLANK(AB$105), "",EvaluatePolynomial(AB$105:AB$111,$A138))</f>
        <v/>
      </c>
    </row>
    <row r="139" spans="1:31" x14ac:dyDescent="0.25">
      <c r="A139" s="41">
        <v>600</v>
      </c>
      <c r="B139" t="str" cm="1">
        <f t="array" ref="B139">IF( ISBLANK(B$105), "",EvaluatePolynomial(B$105:B$111,$A139))</f>
        <v/>
      </c>
      <c r="C139" t="str" cm="1">
        <f t="array" ref="C139">IF( ISBLANK(C$105), "",EvaluatePolynomial(C$105:C$111,$A139))</f>
        <v/>
      </c>
      <c r="D139" t="str" cm="1">
        <f t="array" ref="D139">IF( ISBLANK(D$105), "",EvaluatePolynomial(D$105:D$111,$A139))</f>
        <v/>
      </c>
      <c r="E139" t="str" cm="1">
        <f t="array" ref="E139">IF( ISBLANK(E$105), "",EvaluatePolynomial(E$105:E$111,$A139))</f>
        <v/>
      </c>
      <c r="F139" t="str" cm="1">
        <f t="array" ref="F139">IF( ISBLANK(F$105), "",EvaluatePolynomial(F$105:F$111,$A139))</f>
        <v/>
      </c>
      <c r="G139" t="str" cm="1">
        <f t="array" ref="G139">IF( ISBLANK(G$105), "",EvaluatePolynomial(G$105:G$111,$A139))</f>
        <v/>
      </c>
      <c r="H139" t="str" cm="1">
        <f t="array" ref="H139">IF( ISBLANK(H$105), "",EvaluatePolynomial(H$105:H$111,$A139))</f>
        <v/>
      </c>
      <c r="I139" t="str" cm="1">
        <f t="array" ref="I139">IF( ISBLANK(I$105), "",EvaluatePolynomial(I$105:I$111,$A139))</f>
        <v/>
      </c>
      <c r="J139" t="str" cm="1">
        <f t="array" ref="J139">IF( ISBLANK(J$105), "",EvaluatePolynomial(J$105:J$111,$A139))</f>
        <v/>
      </c>
      <c r="K139" t="str" cm="1">
        <f t="array" ref="K139">IF( ISBLANK(K$105), "",EvaluatePolynomial(K$105:K$111,$A139))</f>
        <v/>
      </c>
      <c r="L139" t="str" cm="1">
        <f t="array" ref="L139">IF( ISBLANK(L$105), "",EvaluatePolynomial(L$105:L$111,$A139))</f>
        <v/>
      </c>
      <c r="M139" t="str" cm="1">
        <f t="array" ref="M139">IF( ISBLANK(M$105), "",EvaluatePolynomial(M$105:M$111,$A139))</f>
        <v/>
      </c>
      <c r="N139" t="str" cm="1">
        <f t="array" ref="N139">IF( ISBLANK(N$105), "",EvaluatePolynomial(N$105:N$111,$A139))</f>
        <v/>
      </c>
      <c r="O139" t="str" cm="1">
        <f t="array" ref="O139">IF( ISBLANK(O$105), "",EvaluatePolynomial(O$105:O$111,$A139))</f>
        <v/>
      </c>
      <c r="P139" t="str" cm="1">
        <f t="array" ref="P139">IF( ISBLANK(P$105), "",EvaluatePolynomial(P$105:P$111,$A139))</f>
        <v/>
      </c>
      <c r="Q139" t="str" cm="1">
        <f t="array" ref="Q139">IF( ISBLANK(Q$105), "",EvaluatePolynomial(Q$105:Q$111,$A139))</f>
        <v/>
      </c>
      <c r="R139" t="str" cm="1">
        <f t="array" ref="R139">IF( ISBLANK(R$105), "",EvaluatePolynomial(R$105:R$111,$A139))</f>
        <v/>
      </c>
      <c r="S139" t="str" cm="1">
        <f t="array" ref="S139">IF( ISBLANK(S$105), "",EvaluatePolynomial(S$105:S$111,$A139))</f>
        <v/>
      </c>
      <c r="T139" t="str" cm="1">
        <f t="array" ref="T139">IF( ISBLANK(T$105), "",EvaluatePolynomial(T$105:T$111,$A139))</f>
        <v/>
      </c>
      <c r="U139" t="str" cm="1">
        <f t="array" ref="U139">IF( ISBLANK(U$105), "",EvaluatePolynomial(U$105:U$111,$A139))</f>
        <v/>
      </c>
      <c r="V139" t="str" cm="1">
        <f t="array" ref="V139">IF( ISBLANK(V$105), "",EvaluatePolynomial(V$105:V$111,$A139))</f>
        <v/>
      </c>
      <c r="W139" t="str" cm="1">
        <f t="array" ref="W139">IF( ISBLANK(W$105), "",EvaluatePolynomial(W$105:W$111,$A139))</f>
        <v/>
      </c>
      <c r="X139" t="str" cm="1">
        <f t="array" ref="X139">IF( ISBLANK(X$105), "",EvaluatePolynomial(X$105:X$111,$A139))</f>
        <v/>
      </c>
      <c r="Y139" t="str" cm="1">
        <f t="array" ref="Y139">IF( ISBLANK(Y$105), "",EvaluatePolynomial(Y$105:Y$111,$A139))</f>
        <v/>
      </c>
      <c r="Z139" t="str" cm="1">
        <f t="array" ref="Z139">IF( ISBLANK(Z$105), "",EvaluatePolynomial(Z$105:Z$111,$A139))</f>
        <v/>
      </c>
      <c r="AA139" t="str" cm="1">
        <f t="array" ref="AA139">IF( ISBLANK(AA$105), "",EvaluatePolynomial(AA$105:AA$111,$A139))</f>
        <v/>
      </c>
      <c r="AB139" s="44" t="str" cm="1">
        <f t="array" ref="AB139">IF( ISBLANK(AB$105), "",EvaluatePolynomial(AB$105:AB$111,$A139))</f>
        <v/>
      </c>
    </row>
    <row r="140" spans="1:31" x14ac:dyDescent="0.25">
      <c r="A140" s="41">
        <v>625</v>
      </c>
      <c r="B140" t="str" cm="1">
        <f t="array" ref="B140">IF( ISBLANK(B$105), "",EvaluatePolynomial(B$105:B$111,$A140))</f>
        <v/>
      </c>
      <c r="C140" t="str" cm="1">
        <f t="array" ref="C140">IF( ISBLANK(C$105), "",EvaluatePolynomial(C$105:C$111,$A140))</f>
        <v/>
      </c>
      <c r="D140" t="str" cm="1">
        <f t="array" ref="D140">IF( ISBLANK(D$105), "",EvaluatePolynomial(D$105:D$111,$A140))</f>
        <v/>
      </c>
      <c r="E140" t="str" cm="1">
        <f t="array" ref="E140">IF( ISBLANK(E$105), "",EvaluatePolynomial(E$105:E$111,$A140))</f>
        <v/>
      </c>
      <c r="F140" t="str" cm="1">
        <f t="array" ref="F140">IF( ISBLANK(F$105), "",EvaluatePolynomial(F$105:F$111,$A140))</f>
        <v/>
      </c>
      <c r="G140" t="str" cm="1">
        <f t="array" ref="G140">IF( ISBLANK(G$105), "",EvaluatePolynomial(G$105:G$111,$A140))</f>
        <v/>
      </c>
      <c r="H140" t="str" cm="1">
        <f t="array" ref="H140">IF( ISBLANK(H$105), "",EvaluatePolynomial(H$105:H$111,$A140))</f>
        <v/>
      </c>
      <c r="I140" t="str" cm="1">
        <f t="array" ref="I140">IF( ISBLANK(I$105), "",EvaluatePolynomial(I$105:I$111,$A140))</f>
        <v/>
      </c>
      <c r="J140" t="str" cm="1">
        <f t="array" ref="J140">IF( ISBLANK(J$105), "",EvaluatePolynomial(J$105:J$111,$A140))</f>
        <v/>
      </c>
      <c r="K140" t="str" cm="1">
        <f t="array" ref="K140">IF( ISBLANK(K$105), "",EvaluatePolynomial(K$105:K$111,$A140))</f>
        <v/>
      </c>
      <c r="L140" t="str" cm="1">
        <f t="array" ref="L140">IF( ISBLANK(L$105), "",EvaluatePolynomial(L$105:L$111,$A140))</f>
        <v/>
      </c>
      <c r="M140" t="str" cm="1">
        <f t="array" ref="M140">IF( ISBLANK(M$105), "",EvaluatePolynomial(M$105:M$111,$A140))</f>
        <v/>
      </c>
      <c r="N140" t="str" cm="1">
        <f t="array" ref="N140">IF( ISBLANK(N$105), "",EvaluatePolynomial(N$105:N$111,$A140))</f>
        <v/>
      </c>
      <c r="O140" t="str" cm="1">
        <f t="array" ref="O140">IF( ISBLANK(O$105), "",EvaluatePolynomial(O$105:O$111,$A140))</f>
        <v/>
      </c>
      <c r="P140" t="str" cm="1">
        <f t="array" ref="P140">IF( ISBLANK(P$105), "",EvaluatePolynomial(P$105:P$111,$A140))</f>
        <v/>
      </c>
      <c r="Q140" t="str" cm="1">
        <f t="array" ref="Q140">IF( ISBLANK(Q$105), "",EvaluatePolynomial(Q$105:Q$111,$A140))</f>
        <v/>
      </c>
      <c r="R140" t="str" cm="1">
        <f t="array" ref="R140">IF( ISBLANK(R$105), "",EvaluatePolynomial(R$105:R$111,$A140))</f>
        <v/>
      </c>
      <c r="S140" t="str" cm="1">
        <f t="array" ref="S140">IF( ISBLANK(S$105), "",EvaluatePolynomial(S$105:S$111,$A140))</f>
        <v/>
      </c>
      <c r="T140" t="str" cm="1">
        <f t="array" ref="T140">IF( ISBLANK(T$105), "",EvaluatePolynomial(T$105:T$111,$A140))</f>
        <v/>
      </c>
      <c r="U140" t="str" cm="1">
        <f t="array" ref="U140">IF( ISBLANK(U$105), "",EvaluatePolynomial(U$105:U$111,$A140))</f>
        <v/>
      </c>
      <c r="V140" t="str" cm="1">
        <f t="array" ref="V140">IF( ISBLANK(V$105), "",EvaluatePolynomial(V$105:V$111,$A140))</f>
        <v/>
      </c>
      <c r="W140" t="str" cm="1">
        <f t="array" ref="W140">IF( ISBLANK(W$105), "",EvaluatePolynomial(W$105:W$111,$A140))</f>
        <v/>
      </c>
      <c r="X140" t="str" cm="1">
        <f t="array" ref="X140">IF( ISBLANK(X$105), "",EvaluatePolynomial(X$105:X$111,$A140))</f>
        <v/>
      </c>
      <c r="Y140" t="str" cm="1">
        <f t="array" ref="Y140">IF( ISBLANK(Y$105), "",EvaluatePolynomial(Y$105:Y$111,$A140))</f>
        <v/>
      </c>
      <c r="Z140" t="str" cm="1">
        <f t="array" ref="Z140">IF( ISBLANK(Z$105), "",EvaluatePolynomial(Z$105:Z$111,$A140))</f>
        <v/>
      </c>
      <c r="AA140" t="str" cm="1">
        <f t="array" ref="AA140">IF( ISBLANK(AA$105), "",EvaluatePolynomial(AA$105:AA$111,$A140))</f>
        <v/>
      </c>
      <c r="AB140" s="44" t="str" cm="1">
        <f t="array" ref="AB140">IF( ISBLANK(AB$105), "",EvaluatePolynomial(AB$105:AB$111,$A140))</f>
        <v/>
      </c>
    </row>
    <row r="141" spans="1:31" x14ac:dyDescent="0.25">
      <c r="A141" s="41">
        <v>650</v>
      </c>
      <c r="B141" t="str" cm="1">
        <f t="array" ref="B141">IF( ISBLANK(B$105), "",EvaluatePolynomial(B$105:B$111,$A141))</f>
        <v/>
      </c>
      <c r="C141" t="str" cm="1">
        <f t="array" ref="C141">IF( ISBLANK(C$105), "",EvaluatePolynomial(C$105:C$111,$A141))</f>
        <v/>
      </c>
      <c r="D141" t="str" cm="1">
        <f t="array" ref="D141">IF( ISBLANK(D$105), "",EvaluatePolynomial(D$105:D$111,$A141))</f>
        <v/>
      </c>
      <c r="E141" t="str" cm="1">
        <f t="array" ref="E141">IF( ISBLANK(E$105), "",EvaluatePolynomial(E$105:E$111,$A141))</f>
        <v/>
      </c>
      <c r="F141" t="str" cm="1">
        <f t="array" ref="F141">IF( ISBLANK(F$105), "",EvaluatePolynomial(F$105:F$111,$A141))</f>
        <v/>
      </c>
      <c r="G141" t="str" cm="1">
        <f t="array" ref="G141">IF( ISBLANK(G$105), "",EvaluatePolynomial(G$105:G$111,$A141))</f>
        <v/>
      </c>
      <c r="H141" t="str" cm="1">
        <f t="array" ref="H141">IF( ISBLANK(H$105), "",EvaluatePolynomial(H$105:H$111,$A141))</f>
        <v/>
      </c>
      <c r="I141" t="str" cm="1">
        <f t="array" ref="I141">IF( ISBLANK(I$105), "",EvaluatePolynomial(I$105:I$111,$A141))</f>
        <v/>
      </c>
      <c r="J141" t="str" cm="1">
        <f t="array" ref="J141">IF( ISBLANK(J$105), "",EvaluatePolynomial(J$105:J$111,$A141))</f>
        <v/>
      </c>
      <c r="K141" t="str" cm="1">
        <f t="array" ref="K141">IF( ISBLANK(K$105), "",EvaluatePolynomial(K$105:K$111,$A141))</f>
        <v/>
      </c>
      <c r="L141" t="str" cm="1">
        <f t="array" ref="L141">IF( ISBLANK(L$105), "",EvaluatePolynomial(L$105:L$111,$A141))</f>
        <v/>
      </c>
      <c r="M141" t="str" cm="1">
        <f t="array" ref="M141">IF( ISBLANK(M$105), "",EvaluatePolynomial(M$105:M$111,$A141))</f>
        <v/>
      </c>
      <c r="N141" t="str" cm="1">
        <f t="array" ref="N141">IF( ISBLANK(N$105), "",EvaluatePolynomial(N$105:N$111,$A141))</f>
        <v/>
      </c>
      <c r="O141" t="str" cm="1">
        <f t="array" ref="O141">IF( ISBLANK(O$105), "",EvaluatePolynomial(O$105:O$111,$A141))</f>
        <v/>
      </c>
      <c r="P141" t="str" cm="1">
        <f t="array" ref="P141">IF( ISBLANK(P$105), "",EvaluatePolynomial(P$105:P$111,$A141))</f>
        <v/>
      </c>
      <c r="Q141" t="str" cm="1">
        <f t="array" ref="Q141">IF( ISBLANK(Q$105), "",EvaluatePolynomial(Q$105:Q$111,$A141))</f>
        <v/>
      </c>
      <c r="R141" t="str" cm="1">
        <f t="array" ref="R141">IF( ISBLANK(R$105), "",EvaluatePolynomial(R$105:R$111,$A141))</f>
        <v/>
      </c>
      <c r="S141" t="str" cm="1">
        <f t="array" ref="S141">IF( ISBLANK(S$105), "",EvaluatePolynomial(S$105:S$111,$A141))</f>
        <v/>
      </c>
      <c r="T141" t="str" cm="1">
        <f t="array" ref="T141">IF( ISBLANK(T$105), "",EvaluatePolynomial(T$105:T$111,$A141))</f>
        <v/>
      </c>
      <c r="U141" t="str" cm="1">
        <f t="array" ref="U141">IF( ISBLANK(U$105), "",EvaluatePolynomial(U$105:U$111,$A141))</f>
        <v/>
      </c>
      <c r="V141" t="str" cm="1">
        <f t="array" ref="V141">IF( ISBLANK(V$105), "",EvaluatePolynomial(V$105:V$111,$A141))</f>
        <v/>
      </c>
      <c r="W141" t="str" cm="1">
        <f t="array" ref="W141">IF( ISBLANK(W$105), "",EvaluatePolynomial(W$105:W$111,$A141))</f>
        <v/>
      </c>
      <c r="X141" t="str" cm="1">
        <f t="array" ref="X141">IF( ISBLANK(X$105), "",EvaluatePolynomial(X$105:X$111,$A141))</f>
        <v/>
      </c>
      <c r="Y141" t="str" cm="1">
        <f t="array" ref="Y141">IF( ISBLANK(Y$105), "",EvaluatePolynomial(Y$105:Y$111,$A141))</f>
        <v/>
      </c>
      <c r="Z141" t="str" cm="1">
        <f t="array" ref="Z141">IF( ISBLANK(Z$105), "",EvaluatePolynomial(Z$105:Z$111,$A141))</f>
        <v/>
      </c>
      <c r="AA141" t="str" cm="1">
        <f t="array" ref="AA141">IF( ISBLANK(AA$105), "",EvaluatePolynomial(AA$105:AA$111,$A141))</f>
        <v/>
      </c>
      <c r="AB141" s="44" t="str" cm="1">
        <f t="array" ref="AB141">IF( ISBLANK(AB$105), "",EvaluatePolynomial(AB$105:AB$111,$A141))</f>
        <v/>
      </c>
    </row>
    <row r="142" spans="1:31" x14ac:dyDescent="0.25">
      <c r="A142" s="41">
        <v>675</v>
      </c>
      <c r="B142" t="str" cm="1">
        <f t="array" ref="B142">IF( ISBLANK(B$105), "",EvaluatePolynomial(B$105:B$111,$A142))</f>
        <v/>
      </c>
      <c r="C142" t="str" cm="1">
        <f t="array" ref="C142">IF( ISBLANK(C$105), "",EvaluatePolynomial(C$105:C$111,$A142))</f>
        <v/>
      </c>
      <c r="D142" t="str" cm="1">
        <f t="array" ref="D142">IF( ISBLANK(D$105), "",EvaluatePolynomial(D$105:D$111,$A142))</f>
        <v/>
      </c>
      <c r="E142" t="str" cm="1">
        <f t="array" ref="E142">IF( ISBLANK(E$105), "",EvaluatePolynomial(E$105:E$111,$A142))</f>
        <v/>
      </c>
      <c r="F142" t="str" cm="1">
        <f t="array" ref="F142">IF( ISBLANK(F$105), "",EvaluatePolynomial(F$105:F$111,$A142))</f>
        <v/>
      </c>
      <c r="G142" t="str" cm="1">
        <f t="array" ref="G142">IF( ISBLANK(G$105), "",EvaluatePolynomial(G$105:G$111,$A142))</f>
        <v/>
      </c>
      <c r="H142" t="str" cm="1">
        <f t="array" ref="H142">IF( ISBLANK(H$105), "",EvaluatePolynomial(H$105:H$111,$A142))</f>
        <v/>
      </c>
      <c r="I142" t="str" cm="1">
        <f t="array" ref="I142">IF( ISBLANK(I$105), "",EvaluatePolynomial(I$105:I$111,$A142))</f>
        <v/>
      </c>
      <c r="J142" s="1" t="str" cm="1">
        <f t="array" ref="J142">IF( ISBLANK(J$105), "",EvaluatePolynomial(J$105:J$111,$A142))</f>
        <v/>
      </c>
      <c r="K142" s="1" t="str" cm="1">
        <f t="array" ref="K142">IF( ISBLANK(K$105), "",EvaluatePolynomial(K$105:K$111,$A142))</f>
        <v/>
      </c>
      <c r="L142" s="1" t="str" cm="1">
        <f t="array" ref="L142">IF( ISBLANK(L$105), "",EvaluatePolynomial(L$105:L$111,$A142))</f>
        <v/>
      </c>
      <c r="M142" s="1" t="str" cm="1">
        <f t="array" ref="M142">IF( ISBLANK(M$105), "",EvaluatePolynomial(M$105:M$111,$A142))</f>
        <v/>
      </c>
      <c r="N142" s="1" t="str" cm="1">
        <f t="array" ref="N142">IF( ISBLANK(N$105), "",EvaluatePolynomial(N$105:N$111,$A142))</f>
        <v/>
      </c>
      <c r="O142" s="1" t="str" cm="1">
        <f t="array" ref="O142">IF( ISBLANK(O$105), "",EvaluatePolynomial(O$105:O$111,$A142))</f>
        <v/>
      </c>
      <c r="P142" s="1" t="str" cm="1">
        <f t="array" ref="P142">IF( ISBLANK(P$105), "",EvaluatePolynomial(P$105:P$111,$A142))</f>
        <v/>
      </c>
      <c r="Q142" s="1" t="str" cm="1">
        <f t="array" ref="Q142">IF( ISBLANK(Q$105), "",EvaluatePolynomial(Q$105:Q$111,$A142))</f>
        <v/>
      </c>
      <c r="R142" s="1" t="str" cm="1">
        <f t="array" ref="R142">IF( ISBLANK(R$105), "",EvaluatePolynomial(R$105:R$111,$A142))</f>
        <v/>
      </c>
      <c r="S142" s="1" t="str" cm="1">
        <f t="array" ref="S142">IF( ISBLANK(S$105), "",EvaluatePolynomial(S$105:S$111,$A142))</f>
        <v/>
      </c>
      <c r="T142" s="1" t="str" cm="1">
        <f t="array" ref="T142">IF( ISBLANK(T$105), "",EvaluatePolynomial(T$105:T$111,$A142))</f>
        <v/>
      </c>
      <c r="U142" s="1" t="str" cm="1">
        <f t="array" ref="U142">IF( ISBLANK(U$105), "",EvaluatePolynomial(U$105:U$111,$A142))</f>
        <v/>
      </c>
      <c r="V142" s="1" t="str" cm="1">
        <f t="array" ref="V142">IF( ISBLANK(V$105), "",EvaluatePolynomial(V$105:V$111,$A142))</f>
        <v/>
      </c>
      <c r="W142" s="1" t="str" cm="1">
        <f t="array" ref="W142">IF( ISBLANK(W$105), "",EvaluatePolynomial(W$105:W$111,$A142))</f>
        <v/>
      </c>
      <c r="X142" s="1" t="str" cm="1">
        <f t="array" ref="X142">IF( ISBLANK(X$105), "",EvaluatePolynomial(X$105:X$111,$A142))</f>
        <v/>
      </c>
      <c r="Y142" s="1" t="str" cm="1">
        <f t="array" ref="Y142">IF( ISBLANK(Y$105), "",EvaluatePolynomial(Y$105:Y$111,$A142))</f>
        <v/>
      </c>
      <c r="Z142" s="1" t="str" cm="1">
        <f t="array" ref="Z142">IF( ISBLANK(Z$105), "",EvaluatePolynomial(Z$105:Z$111,$A142))</f>
        <v/>
      </c>
      <c r="AA142" s="1" t="str" cm="1">
        <f t="array" ref="AA142">IF( ISBLANK(AA$105), "",EvaluatePolynomial(AA$105:AA$111,$A142))</f>
        <v/>
      </c>
      <c r="AB142" s="45" t="str" cm="1">
        <f t="array" ref="AB142">IF( ISBLANK(AB$105), "",EvaluatePolynomial(AB$105:AB$111,$A142))</f>
        <v/>
      </c>
      <c r="AC142" s="1"/>
      <c r="AD142" s="1"/>
      <c r="AE142" s="1"/>
    </row>
    <row r="143" spans="1:31" x14ac:dyDescent="0.25">
      <c r="A143" s="41">
        <v>700</v>
      </c>
      <c r="B143" t="str" cm="1">
        <f t="array" ref="B143">IF( ISBLANK(B$105), "",EvaluatePolynomial(B$105:B$111,$A143))</f>
        <v/>
      </c>
      <c r="C143" t="str" cm="1">
        <f t="array" ref="C143">IF( ISBLANK(C$105), "",EvaluatePolynomial(C$105:C$111,$A143))</f>
        <v/>
      </c>
      <c r="D143" t="str" cm="1">
        <f t="array" ref="D143">IF( ISBLANK(D$105), "",EvaluatePolynomial(D$105:D$111,$A143))</f>
        <v/>
      </c>
      <c r="E143" t="str" cm="1">
        <f t="array" ref="E143">IF( ISBLANK(E$105), "",EvaluatePolynomial(E$105:E$111,$A143))</f>
        <v/>
      </c>
      <c r="F143" t="str" cm="1">
        <f t="array" ref="F143">IF( ISBLANK(F$105), "",EvaluatePolynomial(F$105:F$111,$A143))</f>
        <v/>
      </c>
      <c r="G143" t="str" cm="1">
        <f t="array" ref="G143">IF( ISBLANK(G$105), "",EvaluatePolynomial(G$105:G$111,$A143))</f>
        <v/>
      </c>
      <c r="H143" t="str" cm="1">
        <f t="array" ref="H143">IF( ISBLANK(H$105), "",EvaluatePolynomial(H$105:H$111,$A143))</f>
        <v/>
      </c>
      <c r="I143" t="str" cm="1">
        <f t="array" ref="I143">IF( ISBLANK(I$105), "",EvaluatePolynomial(I$105:I$111,$A143))</f>
        <v/>
      </c>
      <c r="J143" s="1" t="str" cm="1">
        <f t="array" ref="J143">IF( ISBLANK(J$105), "",EvaluatePolynomial(J$105:J$111,$A143))</f>
        <v/>
      </c>
      <c r="K143" s="1" t="str" cm="1">
        <f t="array" ref="K143">IF( ISBLANK(K$105), "",EvaluatePolynomial(K$105:K$111,$A143))</f>
        <v/>
      </c>
      <c r="L143" s="1" t="str" cm="1">
        <f t="array" ref="L143">IF( ISBLANK(L$105), "",EvaluatePolynomial(L$105:L$111,$A143))</f>
        <v/>
      </c>
      <c r="M143" s="1" t="str" cm="1">
        <f t="array" ref="M143">IF( ISBLANK(M$105), "",EvaluatePolynomial(M$105:M$111,$A143))</f>
        <v/>
      </c>
      <c r="N143" s="1" t="str" cm="1">
        <f t="array" ref="N143">IF( ISBLANK(N$105), "",EvaluatePolynomial(N$105:N$111,$A143))</f>
        <v/>
      </c>
      <c r="O143" s="1" t="str" cm="1">
        <f t="array" ref="O143">IF( ISBLANK(O$105), "",EvaluatePolynomial(O$105:O$111,$A143))</f>
        <v/>
      </c>
      <c r="P143" s="1" t="str" cm="1">
        <f t="array" ref="P143">IF( ISBLANK(P$105), "",EvaluatePolynomial(P$105:P$111,$A143))</f>
        <v/>
      </c>
      <c r="Q143" s="1" t="str" cm="1">
        <f t="array" ref="Q143">IF( ISBLANK(Q$105), "",EvaluatePolynomial(Q$105:Q$111,$A143))</f>
        <v/>
      </c>
      <c r="R143" s="1" t="str" cm="1">
        <f t="array" ref="R143">IF( ISBLANK(R$105), "",EvaluatePolynomial(R$105:R$111,$A143))</f>
        <v/>
      </c>
      <c r="S143" s="1" t="str" cm="1">
        <f t="array" ref="S143">IF( ISBLANK(S$105), "",EvaluatePolynomial(S$105:S$111,$A143))</f>
        <v/>
      </c>
      <c r="T143" s="1" t="str" cm="1">
        <f t="array" ref="T143">IF( ISBLANK(T$105), "",EvaluatePolynomial(T$105:T$111,$A143))</f>
        <v/>
      </c>
      <c r="U143" s="1" t="str" cm="1">
        <f t="array" ref="U143">IF( ISBLANK(U$105), "",EvaluatePolynomial(U$105:U$111,$A143))</f>
        <v/>
      </c>
      <c r="V143" s="1" t="str" cm="1">
        <f t="array" ref="V143">IF( ISBLANK(V$105), "",EvaluatePolynomial(V$105:V$111,$A143))</f>
        <v/>
      </c>
      <c r="W143" s="1" t="str" cm="1">
        <f t="array" ref="W143">IF( ISBLANK(W$105), "",EvaluatePolynomial(W$105:W$111,$A143))</f>
        <v/>
      </c>
      <c r="X143" s="1" t="str" cm="1">
        <f t="array" ref="X143">IF( ISBLANK(X$105), "",EvaluatePolynomial(X$105:X$111,$A143))</f>
        <v/>
      </c>
      <c r="Y143" s="1" t="str" cm="1">
        <f t="array" ref="Y143">IF( ISBLANK(Y$105), "",EvaluatePolynomial(Y$105:Y$111,$A143))</f>
        <v/>
      </c>
      <c r="Z143" s="1" t="str" cm="1">
        <f t="array" ref="Z143">IF( ISBLANK(Z$105), "",EvaluatePolynomial(Z$105:Z$111,$A143))</f>
        <v/>
      </c>
      <c r="AA143" s="1" t="str" cm="1">
        <f t="array" ref="AA143">IF( ISBLANK(AA$105), "",EvaluatePolynomial(AA$105:AA$111,$A143))</f>
        <v/>
      </c>
      <c r="AB143" s="45" t="str" cm="1">
        <f t="array" ref="AB143">IF( ISBLANK(AB$105), "",EvaluatePolynomial(AB$105:AB$111,$A143))</f>
        <v/>
      </c>
      <c r="AC143" s="1"/>
      <c r="AD143" s="1"/>
      <c r="AE143" s="1"/>
    </row>
    <row r="144" spans="1:31" x14ac:dyDescent="0.25">
      <c r="A144" s="41">
        <v>725</v>
      </c>
      <c r="B144" t="str" cm="1">
        <f t="array" ref="B144">IF( ISBLANK(B$105), "",EvaluatePolynomial(B$105:B$111,$A144))</f>
        <v/>
      </c>
      <c r="C144" t="str" cm="1">
        <f t="array" ref="C144">IF( ISBLANK(C$105), "",EvaluatePolynomial(C$105:C$111,$A144))</f>
        <v/>
      </c>
      <c r="D144" t="str" cm="1">
        <f t="array" ref="D144">IF( ISBLANK(D$105), "",EvaluatePolynomial(D$105:D$111,$A144))</f>
        <v/>
      </c>
      <c r="E144" t="str" cm="1">
        <f t="array" ref="E144">IF( ISBLANK(E$105), "",EvaluatePolynomial(E$105:E$111,$A144))</f>
        <v/>
      </c>
      <c r="F144" t="str" cm="1">
        <f t="array" ref="F144">IF( ISBLANK(F$105), "",EvaluatePolynomial(F$105:F$111,$A144))</f>
        <v/>
      </c>
      <c r="G144" t="str" cm="1">
        <f t="array" ref="G144">IF( ISBLANK(G$105), "",EvaluatePolynomial(G$105:G$111,$A144))</f>
        <v/>
      </c>
      <c r="H144" t="str" cm="1">
        <f t="array" ref="H144">IF( ISBLANK(H$105), "",EvaluatePolynomial(H$105:H$111,$A144))</f>
        <v/>
      </c>
      <c r="I144" t="str" cm="1">
        <f t="array" ref="I144">IF( ISBLANK(I$105), "",EvaluatePolynomial(I$105:I$111,$A144))</f>
        <v/>
      </c>
      <c r="J144" s="1" t="str" cm="1">
        <f t="array" ref="J144">IF( ISBLANK(J$105), "",EvaluatePolynomial(J$105:J$111,$A144))</f>
        <v/>
      </c>
      <c r="K144" s="1" t="str" cm="1">
        <f t="array" ref="K144">IF( ISBLANK(K$105), "",EvaluatePolynomial(K$105:K$111,$A144))</f>
        <v/>
      </c>
      <c r="L144" s="1" t="str" cm="1">
        <f t="array" ref="L144">IF( ISBLANK(L$105), "",EvaluatePolynomial(L$105:L$111,$A144))</f>
        <v/>
      </c>
      <c r="M144" s="1" t="str" cm="1">
        <f t="array" ref="M144">IF( ISBLANK(M$105), "",EvaluatePolynomial(M$105:M$111,$A144))</f>
        <v/>
      </c>
      <c r="N144" s="1" t="str" cm="1">
        <f t="array" ref="N144">IF( ISBLANK(N$105), "",EvaluatePolynomial(N$105:N$111,$A144))</f>
        <v/>
      </c>
      <c r="O144" s="1" t="str" cm="1">
        <f t="array" ref="O144">IF( ISBLANK(O$105), "",EvaluatePolynomial(O$105:O$111,$A144))</f>
        <v/>
      </c>
      <c r="P144" s="1" t="str" cm="1">
        <f t="array" ref="P144">IF( ISBLANK(P$105), "",EvaluatePolynomial(P$105:P$111,$A144))</f>
        <v/>
      </c>
      <c r="Q144" s="1" t="str" cm="1">
        <f t="array" ref="Q144">IF( ISBLANK(Q$105), "",EvaluatePolynomial(Q$105:Q$111,$A144))</f>
        <v/>
      </c>
      <c r="R144" s="1" t="str" cm="1">
        <f t="array" ref="R144">IF( ISBLANK(R$105), "",EvaluatePolynomial(R$105:R$111,$A144))</f>
        <v/>
      </c>
      <c r="S144" s="1" t="str" cm="1">
        <f t="array" ref="S144">IF( ISBLANK(S$105), "",EvaluatePolynomial(S$105:S$111,$A144))</f>
        <v/>
      </c>
      <c r="T144" s="1" t="str" cm="1">
        <f t="array" ref="T144">IF( ISBLANK(T$105), "",EvaluatePolynomial(T$105:T$111,$A144))</f>
        <v/>
      </c>
      <c r="U144" s="1" t="str" cm="1">
        <f t="array" ref="U144">IF( ISBLANK(U$105), "",EvaluatePolynomial(U$105:U$111,$A144))</f>
        <v/>
      </c>
      <c r="V144" s="1" t="str" cm="1">
        <f t="array" ref="V144">IF( ISBLANK(V$105), "",EvaluatePolynomial(V$105:V$111,$A144))</f>
        <v/>
      </c>
      <c r="W144" s="1" t="str" cm="1">
        <f t="array" ref="W144">IF( ISBLANK(W$105), "",EvaluatePolynomial(W$105:W$111,$A144))</f>
        <v/>
      </c>
      <c r="X144" s="1" t="str" cm="1">
        <f t="array" ref="X144">IF( ISBLANK(X$105), "",EvaluatePolynomial(X$105:X$111,$A144))</f>
        <v/>
      </c>
      <c r="Y144" s="1" t="str" cm="1">
        <f t="array" ref="Y144">IF( ISBLANK(Y$105), "",EvaluatePolynomial(Y$105:Y$111,$A144))</f>
        <v/>
      </c>
      <c r="Z144" s="1" t="str" cm="1">
        <f t="array" ref="Z144">IF( ISBLANK(Z$105), "",EvaluatePolynomial(Z$105:Z$111,$A144))</f>
        <v/>
      </c>
      <c r="AA144" s="1" t="str" cm="1">
        <f t="array" ref="AA144">IF( ISBLANK(AA$105), "",EvaluatePolynomial(AA$105:AA$111,$A144))</f>
        <v/>
      </c>
      <c r="AB144" s="45" t="str" cm="1">
        <f t="array" ref="AB144">IF( ISBLANK(AB$105), "",EvaluatePolynomial(AB$105:AB$111,$A144))</f>
        <v/>
      </c>
      <c r="AC144" s="1"/>
      <c r="AD144" s="1"/>
      <c r="AE144" s="1"/>
    </row>
    <row r="145" spans="1:31" x14ac:dyDescent="0.25">
      <c r="A145" s="41">
        <v>750</v>
      </c>
      <c r="B145" t="str" cm="1">
        <f t="array" ref="B145">IF( ISBLANK(B$105), "",EvaluatePolynomial(B$105:B$111,$A145))</f>
        <v/>
      </c>
      <c r="C145" t="str" cm="1">
        <f t="array" ref="C145">IF( ISBLANK(C$105), "",EvaluatePolynomial(C$105:C$111,$A145))</f>
        <v/>
      </c>
      <c r="D145" t="str" cm="1">
        <f t="array" ref="D145">IF( ISBLANK(D$105), "",EvaluatePolynomial(D$105:D$111,$A145))</f>
        <v/>
      </c>
      <c r="E145" t="str" cm="1">
        <f t="array" ref="E145">IF( ISBLANK(E$105), "",EvaluatePolynomial(E$105:E$111,$A145))</f>
        <v/>
      </c>
      <c r="F145" t="str" cm="1">
        <f t="array" ref="F145">IF( ISBLANK(F$105), "",EvaluatePolynomial(F$105:F$111,$A145))</f>
        <v/>
      </c>
      <c r="G145" t="str" cm="1">
        <f t="array" ref="G145">IF( ISBLANK(G$105), "",EvaluatePolynomial(G$105:G$111,$A145))</f>
        <v/>
      </c>
      <c r="H145" t="str" cm="1">
        <f t="array" ref="H145">IF( ISBLANK(H$105), "",EvaluatePolynomial(H$105:H$111,$A145))</f>
        <v/>
      </c>
      <c r="I145" t="str" cm="1">
        <f t="array" ref="I145">IF( ISBLANK(I$105), "",EvaluatePolynomial(I$105:I$111,$A145))</f>
        <v/>
      </c>
      <c r="J145" s="1" t="str" cm="1">
        <f t="array" ref="J145">IF( ISBLANK(J$105), "",EvaluatePolynomial(J$105:J$111,$A145))</f>
        <v/>
      </c>
      <c r="K145" s="1" t="str" cm="1">
        <f t="array" ref="K145">IF( ISBLANK(K$105), "",EvaluatePolynomial(K$105:K$111,$A145))</f>
        <v/>
      </c>
      <c r="L145" s="1" t="str" cm="1">
        <f t="array" ref="L145">IF( ISBLANK(L$105), "",EvaluatePolynomial(L$105:L$111,$A145))</f>
        <v/>
      </c>
      <c r="M145" s="1" t="str" cm="1">
        <f t="array" ref="M145">IF( ISBLANK(M$105), "",EvaluatePolynomial(M$105:M$111,$A145))</f>
        <v/>
      </c>
      <c r="N145" s="1" t="str" cm="1">
        <f t="array" ref="N145">IF( ISBLANK(N$105), "",EvaluatePolynomial(N$105:N$111,$A145))</f>
        <v/>
      </c>
      <c r="O145" s="1" t="str" cm="1">
        <f t="array" ref="O145">IF( ISBLANK(O$105), "",EvaluatePolynomial(O$105:O$111,$A145))</f>
        <v/>
      </c>
      <c r="P145" s="1" t="str" cm="1">
        <f t="array" ref="P145">IF( ISBLANK(P$105), "",EvaluatePolynomial(P$105:P$111,$A145))</f>
        <v/>
      </c>
      <c r="Q145" s="1" t="str" cm="1">
        <f t="array" ref="Q145">IF( ISBLANK(Q$105), "",EvaluatePolynomial(Q$105:Q$111,$A145))</f>
        <v/>
      </c>
      <c r="R145" s="1" t="str" cm="1">
        <f t="array" ref="R145">IF( ISBLANK(R$105), "",EvaluatePolynomial(R$105:R$111,$A145))</f>
        <v/>
      </c>
      <c r="S145" s="1" t="str" cm="1">
        <f t="array" ref="S145">IF( ISBLANK(S$105), "",EvaluatePolynomial(S$105:S$111,$A145))</f>
        <v/>
      </c>
      <c r="T145" s="1" t="str" cm="1">
        <f t="array" ref="T145">IF( ISBLANK(T$105), "",EvaluatePolynomial(T$105:T$111,$A145))</f>
        <v/>
      </c>
      <c r="U145" s="1" t="str" cm="1">
        <f t="array" ref="U145">IF( ISBLANK(U$105), "",EvaluatePolynomial(U$105:U$111,$A145))</f>
        <v/>
      </c>
      <c r="V145" s="1" t="str" cm="1">
        <f t="array" ref="V145">IF( ISBLANK(V$105), "",EvaluatePolynomial(V$105:V$111,$A145))</f>
        <v/>
      </c>
      <c r="W145" s="1" t="str" cm="1">
        <f t="array" ref="W145">IF( ISBLANK(W$105), "",EvaluatePolynomial(W$105:W$111,$A145))</f>
        <v/>
      </c>
      <c r="X145" s="1" t="str" cm="1">
        <f t="array" ref="X145">IF( ISBLANK(X$105), "",EvaluatePolynomial(X$105:X$111,$A145))</f>
        <v/>
      </c>
      <c r="Y145" s="1" t="str" cm="1">
        <f t="array" ref="Y145">IF( ISBLANK(Y$105), "",EvaluatePolynomial(Y$105:Y$111,$A145))</f>
        <v/>
      </c>
      <c r="Z145" s="1" t="str" cm="1">
        <f t="array" ref="Z145">IF( ISBLANK(Z$105), "",EvaluatePolynomial(Z$105:Z$111,$A145))</f>
        <v/>
      </c>
      <c r="AA145" s="1" t="str" cm="1">
        <f t="array" ref="AA145">IF( ISBLANK(AA$105), "",EvaluatePolynomial(AA$105:AA$111,$A145))</f>
        <v/>
      </c>
      <c r="AB145" s="45" t="str" cm="1">
        <f t="array" ref="AB145">IF( ISBLANK(AB$105), "",EvaluatePolynomial(AB$105:AB$111,$A145))</f>
        <v/>
      </c>
      <c r="AC145" s="1"/>
      <c r="AD145" s="1"/>
      <c r="AE145" s="1"/>
    </row>
    <row r="146" spans="1:31" x14ac:dyDescent="0.25">
      <c r="A146" s="41">
        <v>775</v>
      </c>
      <c r="B146" t="str" cm="1">
        <f t="array" ref="B146">IF( ISBLANK(B$105), "",EvaluatePolynomial(B$105:B$111,$A146))</f>
        <v/>
      </c>
      <c r="C146" t="str" cm="1">
        <f t="array" ref="C146">IF( ISBLANK(C$105), "",EvaluatePolynomial(C$105:C$111,$A146))</f>
        <v/>
      </c>
      <c r="D146" t="str" cm="1">
        <f t="array" ref="D146">IF( ISBLANK(D$105), "",EvaluatePolynomial(D$105:D$111,$A146))</f>
        <v/>
      </c>
      <c r="E146" t="str" cm="1">
        <f t="array" ref="E146">IF( ISBLANK(E$105), "",EvaluatePolynomial(E$105:E$111,$A146))</f>
        <v/>
      </c>
      <c r="F146" t="str" cm="1">
        <f t="array" ref="F146">IF( ISBLANK(F$105), "",EvaluatePolynomial(F$105:F$111,$A146))</f>
        <v/>
      </c>
      <c r="G146" t="str" cm="1">
        <f t="array" ref="G146">IF( ISBLANK(G$105), "",EvaluatePolynomial(G$105:G$111,$A146))</f>
        <v/>
      </c>
      <c r="H146" t="str" cm="1">
        <f t="array" ref="H146">IF( ISBLANK(H$105), "",EvaluatePolynomial(H$105:H$111,$A146))</f>
        <v/>
      </c>
      <c r="I146" t="str" cm="1">
        <f t="array" ref="I146">IF( ISBLANK(I$105), "",EvaluatePolynomial(I$105:I$111,$A146))</f>
        <v/>
      </c>
      <c r="J146" s="1" t="str" cm="1">
        <f t="array" ref="J146">IF( ISBLANK(J$105), "",EvaluatePolynomial(J$105:J$111,$A146))</f>
        <v/>
      </c>
      <c r="K146" s="1" t="str" cm="1">
        <f t="array" ref="K146">IF( ISBLANK(K$105), "",EvaluatePolynomial(K$105:K$111,$A146))</f>
        <v/>
      </c>
      <c r="L146" s="1" t="str" cm="1">
        <f t="array" ref="L146">IF( ISBLANK(L$105), "",EvaluatePolynomial(L$105:L$111,$A146))</f>
        <v/>
      </c>
      <c r="M146" s="1" t="str" cm="1">
        <f t="array" ref="M146">IF( ISBLANK(M$105), "",EvaluatePolynomial(M$105:M$111,$A146))</f>
        <v/>
      </c>
      <c r="N146" s="1" t="str" cm="1">
        <f t="array" ref="N146">IF( ISBLANK(N$105), "",EvaluatePolynomial(N$105:N$111,$A146))</f>
        <v/>
      </c>
      <c r="O146" s="1" t="str" cm="1">
        <f t="array" ref="O146">IF( ISBLANK(O$105), "",EvaluatePolynomial(O$105:O$111,$A146))</f>
        <v/>
      </c>
      <c r="P146" s="1" t="str" cm="1">
        <f t="array" ref="P146">IF( ISBLANK(P$105), "",EvaluatePolynomial(P$105:P$111,$A146))</f>
        <v/>
      </c>
      <c r="Q146" s="1" t="str" cm="1">
        <f t="array" ref="Q146">IF( ISBLANK(Q$105), "",EvaluatePolynomial(Q$105:Q$111,$A146))</f>
        <v/>
      </c>
      <c r="R146" s="1" t="str" cm="1">
        <f t="array" ref="R146">IF( ISBLANK(R$105), "",EvaluatePolynomial(R$105:R$111,$A146))</f>
        <v/>
      </c>
      <c r="S146" s="1" t="str" cm="1">
        <f t="array" ref="S146">IF( ISBLANK(S$105), "",EvaluatePolynomial(S$105:S$111,$A146))</f>
        <v/>
      </c>
      <c r="T146" s="1" t="str" cm="1">
        <f t="array" ref="T146">IF( ISBLANK(T$105), "",EvaluatePolynomial(T$105:T$111,$A146))</f>
        <v/>
      </c>
      <c r="U146" s="1" t="str" cm="1">
        <f t="array" ref="U146">IF( ISBLANK(U$105), "",EvaluatePolynomial(U$105:U$111,$A146))</f>
        <v/>
      </c>
      <c r="V146" s="1" t="str" cm="1">
        <f t="array" ref="V146">IF( ISBLANK(V$105), "",EvaluatePolynomial(V$105:V$111,$A146))</f>
        <v/>
      </c>
      <c r="W146" s="1" t="str" cm="1">
        <f t="array" ref="W146">IF( ISBLANK(W$105), "",EvaluatePolynomial(W$105:W$111,$A146))</f>
        <v/>
      </c>
      <c r="X146" s="1" t="str" cm="1">
        <f t="array" ref="X146">IF( ISBLANK(X$105), "",EvaluatePolynomial(X$105:X$111,$A146))</f>
        <v/>
      </c>
      <c r="Y146" s="1" t="str" cm="1">
        <f t="array" ref="Y146">IF( ISBLANK(Y$105), "",EvaluatePolynomial(Y$105:Y$111,$A146))</f>
        <v/>
      </c>
      <c r="Z146" s="1" t="str" cm="1">
        <f t="array" ref="Z146">IF( ISBLANK(Z$105), "",EvaluatePolynomial(Z$105:Z$111,$A146))</f>
        <v/>
      </c>
      <c r="AA146" s="1" t="str" cm="1">
        <f t="array" ref="AA146">IF( ISBLANK(AA$105), "",EvaluatePolynomial(AA$105:AA$111,$A146))</f>
        <v/>
      </c>
      <c r="AB146" s="45" t="str" cm="1">
        <f t="array" ref="AB146">IF( ISBLANK(AB$105), "",EvaluatePolynomial(AB$105:AB$111,$A146))</f>
        <v/>
      </c>
      <c r="AC146" s="1"/>
      <c r="AD146" s="1"/>
      <c r="AE146" s="1"/>
    </row>
    <row r="147" spans="1:31" x14ac:dyDescent="0.25">
      <c r="A147" s="41">
        <v>800</v>
      </c>
      <c r="B147" t="str" cm="1">
        <f t="array" ref="B147">IF( ISBLANK(B$105), "",EvaluatePolynomial(B$105:B$111,$A147))</f>
        <v/>
      </c>
      <c r="C147" t="str" cm="1">
        <f t="array" ref="C147">IF( ISBLANK(C$105), "",EvaluatePolynomial(C$105:C$111,$A147))</f>
        <v/>
      </c>
      <c r="D147" t="str" cm="1">
        <f t="array" ref="D147">IF( ISBLANK(D$105), "",EvaluatePolynomial(D$105:D$111,$A147))</f>
        <v/>
      </c>
      <c r="E147" t="str" cm="1">
        <f t="array" ref="E147">IF( ISBLANK(E$105), "",EvaluatePolynomial(E$105:E$111,$A147))</f>
        <v/>
      </c>
      <c r="F147" t="str" cm="1">
        <f t="array" ref="F147">IF( ISBLANK(F$105), "",EvaluatePolynomial(F$105:F$111,$A147))</f>
        <v/>
      </c>
      <c r="G147" t="str" cm="1">
        <f t="array" ref="G147">IF( ISBLANK(G$105), "",EvaluatePolynomial(G$105:G$111,$A147))</f>
        <v/>
      </c>
      <c r="H147" t="str" cm="1">
        <f t="array" ref="H147">IF( ISBLANK(H$105), "",EvaluatePolynomial(H$105:H$111,$A147))</f>
        <v/>
      </c>
      <c r="I147" t="str" cm="1">
        <f t="array" ref="I147">IF( ISBLANK(I$105), "",EvaluatePolynomial(I$105:I$111,$A147))</f>
        <v/>
      </c>
      <c r="J147" s="1" t="str" cm="1">
        <f t="array" ref="J147">IF( ISBLANK(J$105), "",EvaluatePolynomial(J$105:J$111,$A147))</f>
        <v/>
      </c>
      <c r="K147" s="1" t="str" cm="1">
        <f t="array" ref="K147">IF( ISBLANK(K$105), "",EvaluatePolynomial(K$105:K$111,$A147))</f>
        <v/>
      </c>
      <c r="L147" s="1" t="str" cm="1">
        <f t="array" ref="L147">IF( ISBLANK(L$105), "",EvaluatePolynomial(L$105:L$111,$A147))</f>
        <v/>
      </c>
      <c r="M147" s="1" t="str" cm="1">
        <f t="array" ref="M147">IF( ISBLANK(M$105), "",EvaluatePolynomial(M$105:M$111,$A147))</f>
        <v/>
      </c>
      <c r="N147" s="1" t="str" cm="1">
        <f t="array" ref="N147">IF( ISBLANK(N$105), "",EvaluatePolynomial(N$105:N$111,$A147))</f>
        <v/>
      </c>
      <c r="O147" s="1" t="str" cm="1">
        <f t="array" ref="O147">IF( ISBLANK(O$105), "",EvaluatePolynomial(O$105:O$111,$A147))</f>
        <v/>
      </c>
      <c r="P147" s="1" t="str" cm="1">
        <f t="array" ref="P147">IF( ISBLANK(P$105), "",EvaluatePolynomial(P$105:P$111,$A147))</f>
        <v/>
      </c>
      <c r="Q147" s="1" t="str" cm="1">
        <f t="array" ref="Q147">IF( ISBLANK(Q$105), "",EvaluatePolynomial(Q$105:Q$111,$A147))</f>
        <v/>
      </c>
      <c r="R147" s="1" t="str" cm="1">
        <f t="array" ref="R147">IF( ISBLANK(R$105), "",EvaluatePolynomial(R$105:R$111,$A147))</f>
        <v/>
      </c>
      <c r="S147" s="1" t="str" cm="1">
        <f t="array" ref="S147">IF( ISBLANK(S$105), "",EvaluatePolynomial(S$105:S$111,$A147))</f>
        <v/>
      </c>
      <c r="T147" s="1" t="str" cm="1">
        <f t="array" ref="T147">IF( ISBLANK(T$105), "",EvaluatePolynomial(T$105:T$111,$A147))</f>
        <v/>
      </c>
      <c r="U147" s="1" t="str" cm="1">
        <f t="array" ref="U147">IF( ISBLANK(U$105), "",EvaluatePolynomial(U$105:U$111,$A147))</f>
        <v/>
      </c>
      <c r="V147" s="1" t="str" cm="1">
        <f t="array" ref="V147">IF( ISBLANK(V$105), "",EvaluatePolynomial(V$105:V$111,$A147))</f>
        <v/>
      </c>
      <c r="W147" s="1" t="str" cm="1">
        <f t="array" ref="W147">IF( ISBLANK(W$105), "",EvaluatePolynomial(W$105:W$111,$A147))</f>
        <v/>
      </c>
      <c r="X147" s="1" t="str" cm="1">
        <f t="array" ref="X147">IF( ISBLANK(X$105), "",EvaluatePolynomial(X$105:X$111,$A147))</f>
        <v/>
      </c>
      <c r="Y147" s="1" t="str" cm="1">
        <f t="array" ref="Y147">IF( ISBLANK(Y$105), "",EvaluatePolynomial(Y$105:Y$111,$A147))</f>
        <v/>
      </c>
      <c r="Z147" s="1" t="str" cm="1">
        <f t="array" ref="Z147">IF( ISBLANK(Z$105), "",EvaluatePolynomial(Z$105:Z$111,$A147))</f>
        <v/>
      </c>
      <c r="AA147" s="1" t="str" cm="1">
        <f t="array" ref="AA147">IF( ISBLANK(AA$105), "",EvaluatePolynomial(AA$105:AA$111,$A147))</f>
        <v/>
      </c>
      <c r="AB147" s="45" t="str" cm="1">
        <f t="array" ref="AB147">IF( ISBLANK(AB$105), "",EvaluatePolynomial(AB$105:AB$111,$A147))</f>
        <v/>
      </c>
      <c r="AC147" s="1"/>
      <c r="AD147" s="1"/>
      <c r="AE147" s="1"/>
    </row>
    <row r="148" spans="1:31" x14ac:dyDescent="0.25">
      <c r="A148" s="41">
        <v>825</v>
      </c>
      <c r="B148" t="str" cm="1">
        <f t="array" ref="B148">IF( ISBLANK(B$105), "",EvaluatePolynomial(B$105:B$111,$A148))</f>
        <v/>
      </c>
      <c r="C148" t="str" cm="1">
        <f t="array" ref="C148">IF( ISBLANK(C$105), "",EvaluatePolynomial(C$105:C$111,$A148))</f>
        <v/>
      </c>
      <c r="D148" t="str" cm="1">
        <f t="array" ref="D148">IF( ISBLANK(D$105), "",EvaluatePolynomial(D$105:D$111,$A148))</f>
        <v/>
      </c>
      <c r="E148" t="str" cm="1">
        <f t="array" ref="E148">IF( ISBLANK(E$105), "",EvaluatePolynomial(E$105:E$111,$A148))</f>
        <v/>
      </c>
      <c r="F148" t="str" cm="1">
        <f t="array" ref="F148">IF( ISBLANK(F$105), "",EvaluatePolynomial(F$105:F$111,$A148))</f>
        <v/>
      </c>
      <c r="G148" t="str" cm="1">
        <f t="array" ref="G148">IF( ISBLANK(G$105), "",EvaluatePolynomial(G$105:G$111,$A148))</f>
        <v/>
      </c>
      <c r="H148" t="str" cm="1">
        <f t="array" ref="H148">IF( ISBLANK(H$105), "",EvaluatePolynomial(H$105:H$111,$A148))</f>
        <v/>
      </c>
      <c r="I148" t="str" cm="1">
        <f t="array" ref="I148">IF( ISBLANK(I$105), "",EvaluatePolynomial(I$105:I$111,$A148))</f>
        <v/>
      </c>
      <c r="J148" s="1" t="str" cm="1">
        <f t="array" ref="J148">IF( ISBLANK(J$105), "",EvaluatePolynomial(J$105:J$111,$A148))</f>
        <v/>
      </c>
      <c r="K148" s="1" t="str" cm="1">
        <f t="array" ref="K148">IF( ISBLANK(K$105), "",EvaluatePolynomial(K$105:K$111,$A148))</f>
        <v/>
      </c>
      <c r="L148" s="1" t="str" cm="1">
        <f t="array" ref="L148">IF( ISBLANK(L$105), "",EvaluatePolynomial(L$105:L$111,$A148))</f>
        <v/>
      </c>
      <c r="M148" s="1" t="str" cm="1">
        <f t="array" ref="M148">IF( ISBLANK(M$105), "",EvaluatePolynomial(M$105:M$111,$A148))</f>
        <v/>
      </c>
      <c r="N148" s="1" t="str" cm="1">
        <f t="array" ref="N148">IF( ISBLANK(N$105), "",EvaluatePolynomial(N$105:N$111,$A148))</f>
        <v/>
      </c>
      <c r="O148" s="1" t="str" cm="1">
        <f t="array" ref="O148">IF( ISBLANK(O$105), "",EvaluatePolynomial(O$105:O$111,$A148))</f>
        <v/>
      </c>
      <c r="P148" s="1" t="str" cm="1">
        <f t="array" ref="P148">IF( ISBLANK(P$105), "",EvaluatePolynomial(P$105:P$111,$A148))</f>
        <v/>
      </c>
      <c r="Q148" s="1" t="str" cm="1">
        <f t="array" ref="Q148">IF( ISBLANK(Q$105), "",EvaluatePolynomial(Q$105:Q$111,$A148))</f>
        <v/>
      </c>
      <c r="R148" s="1" t="str" cm="1">
        <f t="array" ref="R148">IF( ISBLANK(R$105), "",EvaluatePolynomial(R$105:R$111,$A148))</f>
        <v/>
      </c>
      <c r="S148" s="1" t="str" cm="1">
        <f t="array" ref="S148">IF( ISBLANK(S$105), "",EvaluatePolynomial(S$105:S$111,$A148))</f>
        <v/>
      </c>
      <c r="T148" s="1" t="str" cm="1">
        <f t="array" ref="T148">IF( ISBLANK(T$105), "",EvaluatePolynomial(T$105:T$111,$A148))</f>
        <v/>
      </c>
      <c r="U148" s="1" t="str" cm="1">
        <f t="array" ref="U148">IF( ISBLANK(U$105), "",EvaluatePolynomial(U$105:U$111,$A148))</f>
        <v/>
      </c>
      <c r="V148" s="1" t="str" cm="1">
        <f t="array" ref="V148">IF( ISBLANK(V$105), "",EvaluatePolynomial(V$105:V$111,$A148))</f>
        <v/>
      </c>
      <c r="W148" s="1" t="str" cm="1">
        <f t="array" ref="W148">IF( ISBLANK(W$105), "",EvaluatePolynomial(W$105:W$111,$A148))</f>
        <v/>
      </c>
      <c r="X148" s="1" t="str" cm="1">
        <f t="array" ref="X148">IF( ISBLANK(X$105), "",EvaluatePolynomial(X$105:X$111,$A148))</f>
        <v/>
      </c>
      <c r="Y148" s="1" t="str" cm="1">
        <f t="array" ref="Y148">IF( ISBLANK(Y$105), "",EvaluatePolynomial(Y$105:Y$111,$A148))</f>
        <v/>
      </c>
      <c r="Z148" s="1" t="str" cm="1">
        <f t="array" ref="Z148">IF( ISBLANK(Z$105), "",EvaluatePolynomial(Z$105:Z$111,$A148))</f>
        <v/>
      </c>
      <c r="AA148" s="1" t="str" cm="1">
        <f t="array" ref="AA148">IF( ISBLANK(AA$105), "",EvaluatePolynomial(AA$105:AA$111,$A148))</f>
        <v/>
      </c>
      <c r="AB148" s="45" t="str" cm="1">
        <f t="array" ref="AB148">IF( ISBLANK(AB$105), "",EvaluatePolynomial(AB$105:AB$111,$A148))</f>
        <v/>
      </c>
      <c r="AC148" s="1"/>
      <c r="AD148" s="1"/>
      <c r="AE148" s="1"/>
    </row>
    <row r="149" spans="1:31" x14ac:dyDescent="0.25">
      <c r="A149" s="41">
        <v>850</v>
      </c>
      <c r="B149" t="str" cm="1">
        <f t="array" ref="B149">IF( ISBLANK(B$105), "",EvaluatePolynomial(B$105:B$111,$A149))</f>
        <v/>
      </c>
      <c r="C149" t="str" cm="1">
        <f t="array" ref="C149">IF( ISBLANK(C$105), "",EvaluatePolynomial(C$105:C$111,$A149))</f>
        <v/>
      </c>
      <c r="D149" t="str" cm="1">
        <f t="array" ref="D149">IF( ISBLANK(D$105), "",EvaluatePolynomial(D$105:D$111,$A149))</f>
        <v/>
      </c>
      <c r="E149" t="str" cm="1">
        <f t="array" ref="E149">IF( ISBLANK(E$105), "",EvaluatePolynomial(E$105:E$111,$A149))</f>
        <v/>
      </c>
      <c r="F149" t="str" cm="1">
        <f t="array" ref="F149">IF( ISBLANK(F$105), "",EvaluatePolynomial(F$105:F$111,$A149))</f>
        <v/>
      </c>
      <c r="G149" t="str" cm="1">
        <f t="array" ref="G149">IF( ISBLANK(G$105), "",EvaluatePolynomial(G$105:G$111,$A149))</f>
        <v/>
      </c>
      <c r="H149" t="str" cm="1">
        <f t="array" ref="H149">IF( ISBLANK(H$105), "",EvaluatePolynomial(H$105:H$111,$A149))</f>
        <v/>
      </c>
      <c r="I149" t="str" cm="1">
        <f t="array" ref="I149">IF( ISBLANK(I$105), "",EvaluatePolynomial(I$105:I$111,$A149))</f>
        <v/>
      </c>
      <c r="J149" s="1" t="str" cm="1">
        <f t="array" ref="J149">IF( ISBLANK(J$105), "",EvaluatePolynomial(J$105:J$111,$A149))</f>
        <v/>
      </c>
      <c r="K149" s="1" t="str" cm="1">
        <f t="array" ref="K149">IF( ISBLANK(K$105), "",EvaluatePolynomial(K$105:K$111,$A149))</f>
        <v/>
      </c>
      <c r="L149" s="1" t="str" cm="1">
        <f t="array" ref="L149">IF( ISBLANK(L$105), "",EvaluatePolynomial(L$105:L$111,$A149))</f>
        <v/>
      </c>
      <c r="M149" s="1" t="str" cm="1">
        <f t="array" ref="M149">IF( ISBLANK(M$105), "",EvaluatePolynomial(M$105:M$111,$A149))</f>
        <v/>
      </c>
      <c r="N149" s="1" t="str" cm="1">
        <f t="array" ref="N149">IF( ISBLANK(N$105), "",EvaluatePolynomial(N$105:N$111,$A149))</f>
        <v/>
      </c>
      <c r="O149" s="1" t="str" cm="1">
        <f t="array" ref="O149">IF( ISBLANK(O$105), "",EvaluatePolynomial(O$105:O$111,$A149))</f>
        <v/>
      </c>
      <c r="P149" s="1" t="str" cm="1">
        <f t="array" ref="P149">IF( ISBLANK(P$105), "",EvaluatePolynomial(P$105:P$111,$A149))</f>
        <v/>
      </c>
      <c r="Q149" s="1" t="str" cm="1">
        <f t="array" ref="Q149">IF( ISBLANK(Q$105), "",EvaluatePolynomial(Q$105:Q$111,$A149))</f>
        <v/>
      </c>
      <c r="R149" s="1" t="str" cm="1">
        <f t="array" ref="R149">IF( ISBLANK(R$105), "",EvaluatePolynomial(R$105:R$111,$A149))</f>
        <v/>
      </c>
      <c r="S149" s="1" t="str" cm="1">
        <f t="array" ref="S149">IF( ISBLANK(S$105), "",EvaluatePolynomial(S$105:S$111,$A149))</f>
        <v/>
      </c>
      <c r="T149" s="1" t="str" cm="1">
        <f t="array" ref="T149">IF( ISBLANK(T$105), "",EvaluatePolynomial(T$105:T$111,$A149))</f>
        <v/>
      </c>
      <c r="U149" s="1" t="str" cm="1">
        <f t="array" ref="U149">IF( ISBLANK(U$105), "",EvaluatePolynomial(U$105:U$111,$A149))</f>
        <v/>
      </c>
      <c r="V149" s="1" t="str" cm="1">
        <f t="array" ref="V149">IF( ISBLANK(V$105), "",EvaluatePolynomial(V$105:V$111,$A149))</f>
        <v/>
      </c>
      <c r="W149" s="1" t="str" cm="1">
        <f t="array" ref="W149">IF( ISBLANK(W$105), "",EvaluatePolynomial(W$105:W$111,$A149))</f>
        <v/>
      </c>
      <c r="X149" s="1" t="str" cm="1">
        <f t="array" ref="X149">IF( ISBLANK(X$105), "",EvaluatePolynomial(X$105:X$111,$A149))</f>
        <v/>
      </c>
      <c r="Y149" s="1" t="str" cm="1">
        <f t="array" ref="Y149">IF( ISBLANK(Y$105), "",EvaluatePolynomial(Y$105:Y$111,$A149))</f>
        <v/>
      </c>
      <c r="Z149" s="1" t="str" cm="1">
        <f t="array" ref="Z149">IF( ISBLANK(Z$105), "",EvaluatePolynomial(Z$105:Z$111,$A149))</f>
        <v/>
      </c>
      <c r="AA149" s="1" t="str" cm="1">
        <f t="array" ref="AA149">IF( ISBLANK(AA$105), "",EvaluatePolynomial(AA$105:AA$111,$A149))</f>
        <v/>
      </c>
      <c r="AB149" s="45" t="str" cm="1">
        <f t="array" ref="AB149">IF( ISBLANK(AB$105), "",EvaluatePolynomial(AB$105:AB$111,$A149))</f>
        <v/>
      </c>
      <c r="AC149" s="1"/>
      <c r="AD149" s="1"/>
      <c r="AE149" s="1"/>
    </row>
    <row r="150" spans="1:31" x14ac:dyDescent="0.25">
      <c r="A150" s="41">
        <v>875</v>
      </c>
      <c r="B150" t="str" cm="1">
        <f t="array" ref="B150">IF( ISBLANK(B$105), "",EvaluatePolynomial(B$105:B$111,$A150))</f>
        <v/>
      </c>
      <c r="C150" t="str" cm="1">
        <f t="array" ref="C150">IF( ISBLANK(C$105), "",EvaluatePolynomial(C$105:C$111,$A150))</f>
        <v/>
      </c>
      <c r="D150" t="str" cm="1">
        <f t="array" ref="D150">IF( ISBLANK(D$105), "",EvaluatePolynomial(D$105:D$111,$A150))</f>
        <v/>
      </c>
      <c r="E150" t="str" cm="1">
        <f t="array" ref="E150">IF( ISBLANK(E$105), "",EvaluatePolynomial(E$105:E$111,$A150))</f>
        <v/>
      </c>
      <c r="F150" t="str" cm="1">
        <f t="array" ref="F150">IF( ISBLANK(F$105), "",EvaluatePolynomial(F$105:F$111,$A150))</f>
        <v/>
      </c>
      <c r="G150" t="str" cm="1">
        <f t="array" ref="G150">IF( ISBLANK(G$105), "",EvaluatePolynomial(G$105:G$111,$A150))</f>
        <v/>
      </c>
      <c r="H150" t="str" cm="1">
        <f t="array" ref="H150">IF( ISBLANK(H$105), "",EvaluatePolynomial(H$105:H$111,$A150))</f>
        <v/>
      </c>
      <c r="I150" t="str" cm="1">
        <f t="array" ref="I150">IF( ISBLANK(I$105), "",EvaluatePolynomial(I$105:I$111,$A150))</f>
        <v/>
      </c>
      <c r="J150" s="1" t="str" cm="1">
        <f t="array" ref="J150">IF( ISBLANK(J$105), "",EvaluatePolynomial(J$105:J$111,$A150))</f>
        <v/>
      </c>
      <c r="K150" s="1" t="str" cm="1">
        <f t="array" ref="K150">IF( ISBLANK(K$105), "",EvaluatePolynomial(K$105:K$111,$A150))</f>
        <v/>
      </c>
      <c r="L150" s="1" t="str" cm="1">
        <f t="array" ref="L150">IF( ISBLANK(L$105), "",EvaluatePolynomial(L$105:L$111,$A150))</f>
        <v/>
      </c>
      <c r="M150" s="1" t="str" cm="1">
        <f t="array" ref="M150">IF( ISBLANK(M$105), "",EvaluatePolynomial(M$105:M$111,$A150))</f>
        <v/>
      </c>
      <c r="N150" s="1" t="str" cm="1">
        <f t="array" ref="N150">IF( ISBLANK(N$105), "",EvaluatePolynomial(N$105:N$111,$A150))</f>
        <v/>
      </c>
      <c r="O150" s="1" t="str" cm="1">
        <f t="array" ref="O150">IF( ISBLANK(O$105), "",EvaluatePolynomial(O$105:O$111,$A150))</f>
        <v/>
      </c>
      <c r="P150" s="1" t="str" cm="1">
        <f t="array" ref="P150">IF( ISBLANK(P$105), "",EvaluatePolynomial(P$105:P$111,$A150))</f>
        <v/>
      </c>
      <c r="Q150" s="1" t="str" cm="1">
        <f t="array" ref="Q150">IF( ISBLANK(Q$105), "",EvaluatePolynomial(Q$105:Q$111,$A150))</f>
        <v/>
      </c>
      <c r="R150" s="1" t="str" cm="1">
        <f t="array" ref="R150">IF( ISBLANK(R$105), "",EvaluatePolynomial(R$105:R$111,$A150))</f>
        <v/>
      </c>
      <c r="S150" s="1" t="str" cm="1">
        <f t="array" ref="S150">IF( ISBLANK(S$105), "",EvaluatePolynomial(S$105:S$111,$A150))</f>
        <v/>
      </c>
      <c r="T150" s="1" t="str" cm="1">
        <f t="array" ref="T150">IF( ISBLANK(T$105), "",EvaluatePolynomial(T$105:T$111,$A150))</f>
        <v/>
      </c>
      <c r="U150" s="1" t="str" cm="1">
        <f t="array" ref="U150">IF( ISBLANK(U$105), "",EvaluatePolynomial(U$105:U$111,$A150))</f>
        <v/>
      </c>
      <c r="V150" s="1" t="str" cm="1">
        <f t="array" ref="V150">IF( ISBLANK(V$105), "",EvaluatePolynomial(V$105:V$111,$A150))</f>
        <v/>
      </c>
      <c r="W150" s="1" t="str" cm="1">
        <f t="array" ref="W150">IF( ISBLANK(W$105), "",EvaluatePolynomial(W$105:W$111,$A150))</f>
        <v/>
      </c>
      <c r="X150" s="1" t="str" cm="1">
        <f t="array" ref="X150">IF( ISBLANK(X$105), "",EvaluatePolynomial(X$105:X$111,$A150))</f>
        <v/>
      </c>
      <c r="Y150" s="1" t="str" cm="1">
        <f t="array" ref="Y150">IF( ISBLANK(Y$105), "",EvaluatePolynomial(Y$105:Y$111,$A150))</f>
        <v/>
      </c>
      <c r="Z150" s="1" t="str" cm="1">
        <f t="array" ref="Z150">IF( ISBLANK(Z$105), "",EvaluatePolynomial(Z$105:Z$111,$A150))</f>
        <v/>
      </c>
      <c r="AA150" s="1" t="str" cm="1">
        <f t="array" ref="AA150">IF( ISBLANK(AA$105), "",EvaluatePolynomial(AA$105:AA$111,$A150))</f>
        <v/>
      </c>
      <c r="AB150" s="45" t="str" cm="1">
        <f t="array" ref="AB150">IF( ISBLANK(AB$105), "",EvaluatePolynomial(AB$105:AB$111,$A150))</f>
        <v/>
      </c>
      <c r="AC150" s="1"/>
      <c r="AD150" s="1"/>
      <c r="AE150" s="1"/>
    </row>
    <row r="151" spans="1:31" x14ac:dyDescent="0.25">
      <c r="A151" s="41">
        <v>900</v>
      </c>
      <c r="B151" t="str" cm="1">
        <f t="array" ref="B151">IF( ISBLANK(B$105), "",EvaluatePolynomial(B$105:B$111,$A151))</f>
        <v/>
      </c>
      <c r="C151" t="str" cm="1">
        <f t="array" ref="C151">IF( ISBLANK(C$105), "",EvaluatePolynomial(C$105:C$111,$A151))</f>
        <v/>
      </c>
      <c r="D151" t="str" cm="1">
        <f t="array" ref="D151">IF( ISBLANK(D$105), "",EvaluatePolynomial(D$105:D$111,$A151))</f>
        <v/>
      </c>
      <c r="E151" t="str" cm="1">
        <f t="array" ref="E151">IF( ISBLANK(E$105), "",EvaluatePolynomial(E$105:E$111,$A151))</f>
        <v/>
      </c>
      <c r="F151" t="str" cm="1">
        <f t="array" ref="F151">IF( ISBLANK(F$105), "",EvaluatePolynomial(F$105:F$111,$A151))</f>
        <v/>
      </c>
      <c r="G151" t="str" cm="1">
        <f t="array" ref="G151">IF( ISBLANK(G$105), "",EvaluatePolynomial(G$105:G$111,$A151))</f>
        <v/>
      </c>
      <c r="H151" t="str" cm="1">
        <f t="array" ref="H151">IF( ISBLANK(H$105), "",EvaluatePolynomial(H$105:H$111,$A151))</f>
        <v/>
      </c>
      <c r="I151" t="str" cm="1">
        <f t="array" ref="I151">IF( ISBLANK(I$105), "",EvaluatePolynomial(I$105:I$111,$A151))</f>
        <v/>
      </c>
      <c r="J151" s="1" t="str" cm="1">
        <f t="array" ref="J151">IF( ISBLANK(J$105), "",EvaluatePolynomial(J$105:J$111,$A151))</f>
        <v/>
      </c>
      <c r="K151" s="1" t="str" cm="1">
        <f t="array" ref="K151">IF( ISBLANK(K$105), "",EvaluatePolynomial(K$105:K$111,$A151))</f>
        <v/>
      </c>
      <c r="L151" s="1" t="str" cm="1">
        <f t="array" ref="L151">IF( ISBLANK(L$105), "",EvaluatePolynomial(L$105:L$111,$A151))</f>
        <v/>
      </c>
      <c r="M151" s="1" t="str" cm="1">
        <f t="array" ref="M151">IF( ISBLANK(M$105), "",EvaluatePolynomial(M$105:M$111,$A151))</f>
        <v/>
      </c>
      <c r="N151" s="1" t="str" cm="1">
        <f t="array" ref="N151">IF( ISBLANK(N$105), "",EvaluatePolynomial(N$105:N$111,$A151))</f>
        <v/>
      </c>
      <c r="O151" s="1" t="str" cm="1">
        <f t="array" ref="O151">IF( ISBLANK(O$105), "",EvaluatePolynomial(O$105:O$111,$A151))</f>
        <v/>
      </c>
      <c r="P151" s="1" t="str" cm="1">
        <f t="array" ref="P151">IF( ISBLANK(P$105), "",EvaluatePolynomial(P$105:P$111,$A151))</f>
        <v/>
      </c>
      <c r="Q151" s="1" t="str" cm="1">
        <f t="array" ref="Q151">IF( ISBLANK(Q$105), "",EvaluatePolynomial(Q$105:Q$111,$A151))</f>
        <v/>
      </c>
      <c r="R151" s="1" t="str" cm="1">
        <f t="array" ref="R151">IF( ISBLANK(R$105), "",EvaluatePolynomial(R$105:R$111,$A151))</f>
        <v/>
      </c>
      <c r="S151" s="1" t="str" cm="1">
        <f t="array" ref="S151">IF( ISBLANK(S$105), "",EvaluatePolynomial(S$105:S$111,$A151))</f>
        <v/>
      </c>
      <c r="T151" s="1" t="str" cm="1">
        <f t="array" ref="T151">IF( ISBLANK(T$105), "",EvaluatePolynomial(T$105:T$111,$A151))</f>
        <v/>
      </c>
      <c r="U151" s="1" t="str" cm="1">
        <f t="array" ref="U151">IF( ISBLANK(U$105), "",EvaluatePolynomial(U$105:U$111,$A151))</f>
        <v/>
      </c>
      <c r="V151" s="1" t="str" cm="1">
        <f t="array" ref="V151">IF( ISBLANK(V$105), "",EvaluatePolynomial(V$105:V$111,$A151))</f>
        <v/>
      </c>
      <c r="W151" s="1" t="str" cm="1">
        <f t="array" ref="W151">IF( ISBLANK(W$105), "",EvaluatePolynomial(W$105:W$111,$A151))</f>
        <v/>
      </c>
      <c r="X151" s="1" t="str" cm="1">
        <f t="array" ref="X151">IF( ISBLANK(X$105), "",EvaluatePolynomial(X$105:X$111,$A151))</f>
        <v/>
      </c>
      <c r="Y151" s="1" t="str" cm="1">
        <f t="array" ref="Y151">IF( ISBLANK(Y$105), "",EvaluatePolynomial(Y$105:Y$111,$A151))</f>
        <v/>
      </c>
      <c r="Z151" s="1" t="str" cm="1">
        <f t="array" ref="Z151">IF( ISBLANK(Z$105), "",EvaluatePolynomial(Z$105:Z$111,$A151))</f>
        <v/>
      </c>
      <c r="AA151" s="1" t="str" cm="1">
        <f t="array" ref="AA151">IF( ISBLANK(AA$105), "",EvaluatePolynomial(AA$105:AA$111,$A151))</f>
        <v/>
      </c>
      <c r="AB151" s="45" t="str" cm="1">
        <f t="array" ref="AB151">IF( ISBLANK(AB$105), "",EvaluatePolynomial(AB$105:AB$111,$A151))</f>
        <v/>
      </c>
      <c r="AC151" s="1"/>
      <c r="AD151" s="1"/>
      <c r="AE151" s="1"/>
    </row>
    <row r="152" spans="1:31" x14ac:dyDescent="0.25">
      <c r="A152" s="41">
        <v>925</v>
      </c>
      <c r="B152" t="str" cm="1">
        <f t="array" ref="B152">IF( ISBLANK(B$105), "",EvaluatePolynomial(B$105:B$111,$A152))</f>
        <v/>
      </c>
      <c r="C152" t="str" cm="1">
        <f t="array" ref="C152">IF( ISBLANK(C$105), "",EvaluatePolynomial(C$105:C$111,$A152))</f>
        <v/>
      </c>
      <c r="D152" t="str" cm="1">
        <f t="array" ref="D152">IF( ISBLANK(D$105), "",EvaluatePolynomial(D$105:D$111,$A152))</f>
        <v/>
      </c>
      <c r="E152" t="str" cm="1">
        <f t="array" ref="E152">IF( ISBLANK(E$105), "",EvaluatePolynomial(E$105:E$111,$A152))</f>
        <v/>
      </c>
      <c r="F152" t="str" cm="1">
        <f t="array" ref="F152">IF( ISBLANK(F$105), "",EvaluatePolynomial(F$105:F$111,$A152))</f>
        <v/>
      </c>
      <c r="G152" t="str" cm="1">
        <f t="array" ref="G152">IF( ISBLANK(G$105), "",EvaluatePolynomial(G$105:G$111,$A152))</f>
        <v/>
      </c>
      <c r="H152" t="str" cm="1">
        <f t="array" ref="H152">IF( ISBLANK(H$105), "",EvaluatePolynomial(H$105:H$111,$A152))</f>
        <v/>
      </c>
      <c r="I152" t="str" cm="1">
        <f t="array" ref="I152">IF( ISBLANK(I$105), "",EvaluatePolynomial(I$105:I$111,$A152))</f>
        <v/>
      </c>
      <c r="J152" s="1" t="str" cm="1">
        <f t="array" ref="J152">IF( ISBLANK(J$105), "",EvaluatePolynomial(J$105:J$111,$A152))</f>
        <v/>
      </c>
      <c r="K152" s="1" t="str" cm="1">
        <f t="array" ref="K152">IF( ISBLANK(K$105), "",EvaluatePolynomial(K$105:K$111,$A152))</f>
        <v/>
      </c>
      <c r="L152" s="1" t="str" cm="1">
        <f t="array" ref="L152">IF( ISBLANK(L$105), "",EvaluatePolynomial(L$105:L$111,$A152))</f>
        <v/>
      </c>
      <c r="M152" s="1" t="str" cm="1">
        <f t="array" ref="M152">IF( ISBLANK(M$105), "",EvaluatePolynomial(M$105:M$111,$A152))</f>
        <v/>
      </c>
      <c r="N152" s="1" t="str" cm="1">
        <f t="array" ref="N152">IF( ISBLANK(N$105), "",EvaluatePolynomial(N$105:N$111,$A152))</f>
        <v/>
      </c>
      <c r="O152" s="1" t="str" cm="1">
        <f t="array" ref="O152">IF( ISBLANK(O$105), "",EvaluatePolynomial(O$105:O$111,$A152))</f>
        <v/>
      </c>
      <c r="P152" s="1" t="str" cm="1">
        <f t="array" ref="P152">IF( ISBLANK(P$105), "",EvaluatePolynomial(P$105:P$111,$A152))</f>
        <v/>
      </c>
      <c r="Q152" s="1" t="str" cm="1">
        <f t="array" ref="Q152">IF( ISBLANK(Q$105), "",EvaluatePolynomial(Q$105:Q$111,$A152))</f>
        <v/>
      </c>
      <c r="R152" s="1" t="str" cm="1">
        <f t="array" ref="R152">IF( ISBLANK(R$105), "",EvaluatePolynomial(R$105:R$111,$A152))</f>
        <v/>
      </c>
      <c r="S152" s="1" t="str" cm="1">
        <f t="array" ref="S152">IF( ISBLANK(S$105), "",EvaluatePolynomial(S$105:S$111,$A152))</f>
        <v/>
      </c>
      <c r="T152" s="1" t="str" cm="1">
        <f t="array" ref="T152">IF( ISBLANK(T$105), "",EvaluatePolynomial(T$105:T$111,$A152))</f>
        <v/>
      </c>
      <c r="U152" s="1" t="str" cm="1">
        <f t="array" ref="U152">IF( ISBLANK(U$105), "",EvaluatePolynomial(U$105:U$111,$A152))</f>
        <v/>
      </c>
      <c r="V152" s="1" t="str" cm="1">
        <f t="array" ref="V152">IF( ISBLANK(V$105), "",EvaluatePolynomial(V$105:V$111,$A152))</f>
        <v/>
      </c>
      <c r="W152" s="1" t="str" cm="1">
        <f t="array" ref="W152">IF( ISBLANK(W$105), "",EvaluatePolynomial(W$105:W$111,$A152))</f>
        <v/>
      </c>
      <c r="X152" s="1" t="str" cm="1">
        <f t="array" ref="X152">IF( ISBLANK(X$105), "",EvaluatePolynomial(X$105:X$111,$A152))</f>
        <v/>
      </c>
      <c r="Y152" s="1" t="str" cm="1">
        <f t="array" ref="Y152">IF( ISBLANK(Y$105), "",EvaluatePolynomial(Y$105:Y$111,$A152))</f>
        <v/>
      </c>
      <c r="Z152" s="1" t="str" cm="1">
        <f t="array" ref="Z152">IF( ISBLANK(Z$105), "",EvaluatePolynomial(Z$105:Z$111,$A152))</f>
        <v/>
      </c>
      <c r="AA152" s="1" t="str" cm="1">
        <f t="array" ref="AA152">IF( ISBLANK(AA$105), "",EvaluatePolynomial(AA$105:AA$111,$A152))</f>
        <v/>
      </c>
      <c r="AB152" s="45" t="str" cm="1">
        <f t="array" ref="AB152">IF( ISBLANK(AB$105), "",EvaluatePolynomial(AB$105:AB$111,$A152))</f>
        <v/>
      </c>
      <c r="AC152" s="1"/>
      <c r="AD152" s="1"/>
      <c r="AE152" s="1"/>
    </row>
    <row r="153" spans="1:31" x14ac:dyDescent="0.25">
      <c r="A153" s="41">
        <v>950</v>
      </c>
      <c r="B153" t="str" cm="1">
        <f t="array" ref="B153">IF( ISBLANK(B$105), "",EvaluatePolynomial(B$105:B$111,$A153))</f>
        <v/>
      </c>
      <c r="C153" t="str" cm="1">
        <f t="array" ref="C153">IF( ISBLANK(C$105), "",EvaluatePolynomial(C$105:C$111,$A153))</f>
        <v/>
      </c>
      <c r="D153" t="str" cm="1">
        <f t="array" ref="D153">IF( ISBLANK(D$105), "",EvaluatePolynomial(D$105:D$111,$A153))</f>
        <v/>
      </c>
      <c r="E153" t="str" cm="1">
        <f t="array" ref="E153">IF( ISBLANK(E$105), "",EvaluatePolynomial(E$105:E$111,$A153))</f>
        <v/>
      </c>
      <c r="F153" t="str" cm="1">
        <f t="array" ref="F153">IF( ISBLANK(F$105), "",EvaluatePolynomial(F$105:F$111,$A153))</f>
        <v/>
      </c>
      <c r="G153" t="str" cm="1">
        <f t="array" ref="G153">IF( ISBLANK(G$105), "",EvaluatePolynomial(G$105:G$111,$A153))</f>
        <v/>
      </c>
      <c r="H153" t="str" cm="1">
        <f t="array" ref="H153">IF( ISBLANK(H$105), "",EvaluatePolynomial(H$105:H$111,$A153))</f>
        <v/>
      </c>
      <c r="I153" t="str" cm="1">
        <f t="array" ref="I153">IF( ISBLANK(I$105), "",EvaluatePolynomial(I$105:I$111,$A153))</f>
        <v/>
      </c>
      <c r="J153" s="1" t="str" cm="1">
        <f t="array" ref="J153">IF( ISBLANK(J$105), "",EvaluatePolynomial(J$105:J$111,$A153))</f>
        <v/>
      </c>
      <c r="K153" s="1" t="str" cm="1">
        <f t="array" ref="K153">IF( ISBLANK(K$105), "",EvaluatePolynomial(K$105:K$111,$A153))</f>
        <v/>
      </c>
      <c r="L153" s="1" t="str" cm="1">
        <f t="array" ref="L153">IF( ISBLANK(L$105), "",EvaluatePolynomial(L$105:L$111,$A153))</f>
        <v/>
      </c>
      <c r="M153" s="1" t="str" cm="1">
        <f t="array" ref="M153">IF( ISBLANK(M$105), "",EvaluatePolynomial(M$105:M$111,$A153))</f>
        <v/>
      </c>
      <c r="N153" s="1" t="str" cm="1">
        <f t="array" ref="N153">IF( ISBLANK(N$105), "",EvaluatePolynomial(N$105:N$111,$A153))</f>
        <v/>
      </c>
      <c r="O153" s="1" t="str" cm="1">
        <f t="array" ref="O153">IF( ISBLANK(O$105), "",EvaluatePolynomial(O$105:O$111,$A153))</f>
        <v/>
      </c>
      <c r="P153" s="1" t="str" cm="1">
        <f t="array" ref="P153">IF( ISBLANK(P$105), "",EvaluatePolynomial(P$105:P$111,$A153))</f>
        <v/>
      </c>
      <c r="Q153" s="1" t="str" cm="1">
        <f t="array" ref="Q153">IF( ISBLANK(Q$105), "",EvaluatePolynomial(Q$105:Q$111,$A153))</f>
        <v/>
      </c>
      <c r="R153" s="1" t="str" cm="1">
        <f t="array" ref="R153">IF( ISBLANK(R$105), "",EvaluatePolynomial(R$105:R$111,$A153))</f>
        <v/>
      </c>
      <c r="S153" s="1" t="str" cm="1">
        <f t="array" ref="S153">IF( ISBLANK(S$105), "",EvaluatePolynomial(S$105:S$111,$A153))</f>
        <v/>
      </c>
      <c r="T153" s="1" t="str" cm="1">
        <f t="array" ref="T153">IF( ISBLANK(T$105), "",EvaluatePolynomial(T$105:T$111,$A153))</f>
        <v/>
      </c>
      <c r="U153" s="1" t="str" cm="1">
        <f t="array" ref="U153">IF( ISBLANK(U$105), "",EvaluatePolynomial(U$105:U$111,$A153))</f>
        <v/>
      </c>
      <c r="V153" s="1" t="str" cm="1">
        <f t="array" ref="V153">IF( ISBLANK(V$105), "",EvaluatePolynomial(V$105:V$111,$A153))</f>
        <v/>
      </c>
      <c r="W153" s="1" t="str" cm="1">
        <f t="array" ref="W153">IF( ISBLANK(W$105), "",EvaluatePolynomial(W$105:W$111,$A153))</f>
        <v/>
      </c>
      <c r="X153" s="1" t="str" cm="1">
        <f t="array" ref="X153">IF( ISBLANK(X$105), "",EvaluatePolynomial(X$105:X$111,$A153))</f>
        <v/>
      </c>
      <c r="Y153" s="1" t="str" cm="1">
        <f t="array" ref="Y153">IF( ISBLANK(Y$105), "",EvaluatePolynomial(Y$105:Y$111,$A153))</f>
        <v/>
      </c>
      <c r="Z153" s="1" t="str" cm="1">
        <f t="array" ref="Z153">IF( ISBLANK(Z$105), "",EvaluatePolynomial(Z$105:Z$111,$A153))</f>
        <v/>
      </c>
      <c r="AA153" s="1" t="str" cm="1">
        <f t="array" ref="AA153">IF( ISBLANK(AA$105), "",EvaluatePolynomial(AA$105:AA$111,$A153))</f>
        <v/>
      </c>
      <c r="AB153" s="45" t="str" cm="1">
        <f t="array" ref="AB153">IF( ISBLANK(AB$105), "",EvaluatePolynomial(AB$105:AB$111,$A153))</f>
        <v/>
      </c>
      <c r="AC153" s="1"/>
      <c r="AD153" s="1"/>
      <c r="AE153" s="1"/>
    </row>
    <row r="154" spans="1:31" x14ac:dyDescent="0.25">
      <c r="A154" s="41">
        <v>975</v>
      </c>
      <c r="B154" t="str" cm="1">
        <f t="array" ref="B154">IF( ISBLANK(B$105), "",EvaluatePolynomial(B$105:B$111,$A154))</f>
        <v/>
      </c>
      <c r="C154" t="str" cm="1">
        <f t="array" ref="C154">IF( ISBLANK(C$105), "",EvaluatePolynomial(C$105:C$111,$A154))</f>
        <v/>
      </c>
      <c r="D154" t="str" cm="1">
        <f t="array" ref="D154">IF( ISBLANK(D$105), "",EvaluatePolynomial(D$105:D$111,$A154))</f>
        <v/>
      </c>
      <c r="E154" t="str" cm="1">
        <f t="array" ref="E154">IF( ISBLANK(E$105), "",EvaluatePolynomial(E$105:E$111,$A154))</f>
        <v/>
      </c>
      <c r="F154" t="str" cm="1">
        <f t="array" ref="F154">IF( ISBLANK(F$105), "",EvaluatePolynomial(F$105:F$111,$A154))</f>
        <v/>
      </c>
      <c r="G154" t="str" cm="1">
        <f t="array" ref="G154">IF( ISBLANK(G$105), "",EvaluatePolynomial(G$105:G$111,$A154))</f>
        <v/>
      </c>
      <c r="H154" t="str" cm="1">
        <f t="array" ref="H154">IF( ISBLANK(H$105), "",EvaluatePolynomial(H$105:H$111,$A154))</f>
        <v/>
      </c>
      <c r="I154" t="str" cm="1">
        <f t="array" ref="I154">IF( ISBLANK(I$105), "",EvaluatePolynomial(I$105:I$111,$A154))</f>
        <v/>
      </c>
      <c r="J154" s="1" t="str" cm="1">
        <f t="array" ref="J154">IF( ISBLANK(J$105), "",EvaluatePolynomial(J$105:J$111,$A154))</f>
        <v/>
      </c>
      <c r="K154" s="1" t="str" cm="1">
        <f t="array" ref="K154">IF( ISBLANK(K$105), "",EvaluatePolynomial(K$105:K$111,$A154))</f>
        <v/>
      </c>
      <c r="L154" s="1" t="str" cm="1">
        <f t="array" ref="L154">IF( ISBLANK(L$105), "",EvaluatePolynomial(L$105:L$111,$A154))</f>
        <v/>
      </c>
      <c r="M154" s="1" t="str" cm="1">
        <f t="array" ref="M154">IF( ISBLANK(M$105), "",EvaluatePolynomial(M$105:M$111,$A154))</f>
        <v/>
      </c>
      <c r="N154" s="1" t="str" cm="1">
        <f t="array" ref="N154">IF( ISBLANK(N$105), "",EvaluatePolynomial(N$105:N$111,$A154))</f>
        <v/>
      </c>
      <c r="O154" s="1" t="str" cm="1">
        <f t="array" ref="O154">IF( ISBLANK(O$105), "",EvaluatePolynomial(O$105:O$111,$A154))</f>
        <v/>
      </c>
      <c r="P154" s="1" t="str" cm="1">
        <f t="array" ref="P154">IF( ISBLANK(P$105), "",EvaluatePolynomial(P$105:P$111,$A154))</f>
        <v/>
      </c>
      <c r="Q154" s="1" t="str" cm="1">
        <f t="array" ref="Q154">IF( ISBLANK(Q$105), "",EvaluatePolynomial(Q$105:Q$111,$A154))</f>
        <v/>
      </c>
      <c r="R154" s="1" t="str" cm="1">
        <f t="array" ref="R154">IF( ISBLANK(R$105), "",EvaluatePolynomial(R$105:R$111,$A154))</f>
        <v/>
      </c>
      <c r="S154" s="1" t="str" cm="1">
        <f t="array" ref="S154">IF( ISBLANK(S$105), "",EvaluatePolynomial(S$105:S$111,$A154))</f>
        <v/>
      </c>
      <c r="T154" s="1" t="str" cm="1">
        <f t="array" ref="T154">IF( ISBLANK(T$105), "",EvaluatePolynomial(T$105:T$111,$A154))</f>
        <v/>
      </c>
      <c r="U154" s="1" t="str" cm="1">
        <f t="array" ref="U154">IF( ISBLANK(U$105), "",EvaluatePolynomial(U$105:U$111,$A154))</f>
        <v/>
      </c>
      <c r="V154" s="1" t="str" cm="1">
        <f t="array" ref="V154">IF( ISBLANK(V$105), "",EvaluatePolynomial(V$105:V$111,$A154))</f>
        <v/>
      </c>
      <c r="W154" s="1" t="str" cm="1">
        <f t="array" ref="W154">IF( ISBLANK(W$105), "",EvaluatePolynomial(W$105:W$111,$A154))</f>
        <v/>
      </c>
      <c r="X154" s="1" t="str" cm="1">
        <f t="array" ref="X154">IF( ISBLANK(X$105), "",EvaluatePolynomial(X$105:X$111,$A154))</f>
        <v/>
      </c>
      <c r="Y154" s="1" t="str" cm="1">
        <f t="array" ref="Y154">IF( ISBLANK(Y$105), "",EvaluatePolynomial(Y$105:Y$111,$A154))</f>
        <v/>
      </c>
      <c r="Z154" s="1" t="str" cm="1">
        <f t="array" ref="Z154">IF( ISBLANK(Z$105), "",EvaluatePolynomial(Z$105:Z$111,$A154))</f>
        <v/>
      </c>
      <c r="AA154" s="1" t="str" cm="1">
        <f t="array" ref="AA154">IF( ISBLANK(AA$105), "",EvaluatePolynomial(AA$105:AA$111,$A154))</f>
        <v/>
      </c>
      <c r="AB154" s="45" t="str" cm="1">
        <f t="array" ref="AB154">IF( ISBLANK(AB$105), "",EvaluatePolynomial(AB$105:AB$111,$A154))</f>
        <v/>
      </c>
      <c r="AC154" s="1"/>
      <c r="AD154" s="1"/>
      <c r="AE154" s="1"/>
    </row>
    <row r="155" spans="1:31" ht="15.75" thickBot="1" x14ac:dyDescent="0.3">
      <c r="A155" s="46">
        <v>1000</v>
      </c>
      <c r="B155" s="47" t="str" cm="1">
        <f t="array" ref="B155">IF( ISBLANK(B$105), "",EvaluatePolynomial(B$105:B$111,$A155))</f>
        <v/>
      </c>
      <c r="C155" s="47" t="str" cm="1">
        <f t="array" ref="C155">IF( ISBLANK(C$105), "",EvaluatePolynomial(C$105:C$111,$A155))</f>
        <v/>
      </c>
      <c r="D155" s="47" t="str" cm="1">
        <f t="array" ref="D155">IF( ISBLANK(D$105), "",EvaluatePolynomial(D$105:D$111,$A155))</f>
        <v/>
      </c>
      <c r="E155" s="47" t="str" cm="1">
        <f t="array" ref="E155">IF( ISBLANK(E$105), "",EvaluatePolynomial(E$105:E$111,$A155))</f>
        <v/>
      </c>
      <c r="F155" s="47" t="str" cm="1">
        <f t="array" ref="F155">IF( ISBLANK(F$105), "",EvaluatePolynomial(F$105:F$111,$A155))</f>
        <v/>
      </c>
      <c r="G155" s="47" t="str" cm="1">
        <f t="array" ref="G155">IF( ISBLANK(G$105), "",EvaluatePolynomial(G$105:G$111,$A155))</f>
        <v/>
      </c>
      <c r="H155" s="47" t="str" cm="1">
        <f t="array" ref="H155">IF( ISBLANK(H$105), "",EvaluatePolynomial(H$105:H$111,$A155))</f>
        <v/>
      </c>
      <c r="I155" s="47" t="str" cm="1">
        <f t="array" ref="I155">IF( ISBLANK(I$105), "",EvaluatePolynomial(I$105:I$111,$A155))</f>
        <v/>
      </c>
      <c r="J155" s="48" t="str" cm="1">
        <f t="array" ref="J155">IF( ISBLANK(J$105), "",EvaluatePolynomial(J$105:J$111,$A155))</f>
        <v/>
      </c>
      <c r="K155" s="48" t="str" cm="1">
        <f t="array" ref="K155">IF( ISBLANK(K$105), "",EvaluatePolynomial(K$105:K$111,$A155))</f>
        <v/>
      </c>
      <c r="L155" s="48" t="str" cm="1">
        <f t="array" ref="L155">IF( ISBLANK(L$105), "",EvaluatePolynomial(L$105:L$111,$A155))</f>
        <v/>
      </c>
      <c r="M155" s="48" t="str" cm="1">
        <f t="array" ref="M155">IF( ISBLANK(M$105), "",EvaluatePolynomial(M$105:M$111,$A155))</f>
        <v/>
      </c>
      <c r="N155" s="48" t="str" cm="1">
        <f t="array" ref="N155">IF( ISBLANK(N$105), "",EvaluatePolynomial(N$105:N$111,$A155))</f>
        <v/>
      </c>
      <c r="O155" s="48" t="str" cm="1">
        <f t="array" ref="O155">IF( ISBLANK(O$105), "",EvaluatePolynomial(O$105:O$111,$A155))</f>
        <v/>
      </c>
      <c r="P155" s="48" t="str" cm="1">
        <f t="array" ref="P155">IF( ISBLANK(P$105), "",EvaluatePolynomial(P$105:P$111,$A155))</f>
        <v/>
      </c>
      <c r="Q155" s="48" t="str" cm="1">
        <f t="array" ref="Q155">IF( ISBLANK(Q$105), "",EvaluatePolynomial(Q$105:Q$111,$A155))</f>
        <v/>
      </c>
      <c r="R155" s="48" t="str" cm="1">
        <f t="array" ref="R155">IF( ISBLANK(R$105), "",EvaluatePolynomial(R$105:R$111,$A155))</f>
        <v/>
      </c>
      <c r="S155" s="48" t="str" cm="1">
        <f t="array" ref="S155">IF( ISBLANK(S$105), "",EvaluatePolynomial(S$105:S$111,$A155))</f>
        <v/>
      </c>
      <c r="T155" s="48" t="str" cm="1">
        <f t="array" ref="T155">IF( ISBLANK(T$105), "",EvaluatePolynomial(T$105:T$111,$A155))</f>
        <v/>
      </c>
      <c r="U155" s="48" t="str" cm="1">
        <f t="array" ref="U155">IF( ISBLANK(U$105), "",EvaluatePolynomial(U$105:U$111,$A155))</f>
        <v/>
      </c>
      <c r="V155" s="48" t="str" cm="1">
        <f t="array" ref="V155">IF( ISBLANK(V$105), "",EvaluatePolynomial(V$105:V$111,$A155))</f>
        <v/>
      </c>
      <c r="W155" s="48" t="str" cm="1">
        <f t="array" ref="W155">IF( ISBLANK(W$105), "",EvaluatePolynomial(W$105:W$111,$A155))</f>
        <v/>
      </c>
      <c r="X155" s="48" t="str" cm="1">
        <f t="array" ref="X155">IF( ISBLANK(X$105), "",EvaluatePolynomial(X$105:X$111,$A155))</f>
        <v/>
      </c>
      <c r="Y155" s="48" t="str" cm="1">
        <f t="array" ref="Y155">IF( ISBLANK(Y$105), "",EvaluatePolynomial(Y$105:Y$111,$A155))</f>
        <v/>
      </c>
      <c r="Z155" s="48" t="str" cm="1">
        <f t="array" ref="Z155">IF( ISBLANK(Z$105), "",EvaluatePolynomial(Z$105:Z$111,$A155))</f>
        <v/>
      </c>
      <c r="AA155" s="48" t="str" cm="1">
        <f t="array" ref="AA155">IF( ISBLANK(AA$105), "",EvaluatePolynomial(AA$105:AA$111,$A155))</f>
        <v/>
      </c>
      <c r="AB155" s="49" t="str" cm="1">
        <f t="array" ref="AB155">IF( ISBLANK(AB$105), "",EvaluatePolynomial(AB$105:AB$111,$A155))</f>
        <v/>
      </c>
      <c r="AC155" s="1"/>
      <c r="AD155" s="1"/>
      <c r="AE155" s="1"/>
    </row>
    <row r="156" spans="1:31" x14ac:dyDescent="0.25"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23" t="s">
        <v>83</v>
      </c>
      <c r="B166" s="23" t="s">
        <v>60</v>
      </c>
      <c r="C166" s="23" t="s">
        <v>61</v>
      </c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t="s">
        <v>85</v>
      </c>
      <c r="B167" t="s">
        <v>17</v>
      </c>
      <c r="C167" s="52">
        <f>IF(ISBLANK($B167),"",VLOOKUP($B167,$A$18:$B$19,2,FALSE))</f>
        <v>0</v>
      </c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t="s">
        <v>75</v>
      </c>
      <c r="B168" t="s">
        <v>76</v>
      </c>
      <c r="C168" t="s">
        <v>77</v>
      </c>
      <c r="D168" t="s">
        <v>78</v>
      </c>
      <c r="E168" t="s">
        <v>79</v>
      </c>
      <c r="F168" t="s">
        <v>26</v>
      </c>
      <c r="G168" t="s">
        <v>80</v>
      </c>
      <c r="H168" t="s">
        <v>81</v>
      </c>
      <c r="I168" t="s">
        <v>82</v>
      </c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1"/>
      <c r="B169" s="1"/>
      <c r="C169" s="1"/>
      <c r="D169" s="1"/>
      <c r="E169" s="1"/>
      <c r="F169" s="1"/>
      <c r="G169" s="1"/>
      <c r="H169" s="1"/>
      <c r="I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1"/>
      <c r="B170" s="1"/>
      <c r="C170" s="1"/>
      <c r="D170" s="1"/>
      <c r="E170" s="1"/>
      <c r="F170" s="1"/>
      <c r="G170" s="1"/>
      <c r="H170" s="1"/>
      <c r="I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1"/>
      <c r="B171" s="1"/>
      <c r="C171" s="1"/>
      <c r="D171" s="1"/>
      <c r="E171" s="1"/>
      <c r="F171" s="1"/>
      <c r="G171" s="1"/>
      <c r="H171" s="1"/>
      <c r="I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1"/>
      <c r="B172" s="1"/>
      <c r="C172" s="1"/>
      <c r="D172" s="1"/>
      <c r="E172" s="1"/>
      <c r="F172" s="1"/>
      <c r="G172" s="1"/>
      <c r="H172" s="1"/>
      <c r="I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1"/>
      <c r="B173" s="1"/>
      <c r="C173" s="1"/>
      <c r="D173" s="1"/>
      <c r="E173" s="1"/>
      <c r="F173" s="1"/>
      <c r="G173" s="1"/>
      <c r="H173" s="1"/>
      <c r="I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1"/>
      <c r="B174" s="1"/>
      <c r="C174" s="1"/>
      <c r="D174" s="1"/>
      <c r="E174" s="1"/>
      <c r="F174" s="1"/>
      <c r="G174" s="1"/>
      <c r="H174" s="1"/>
      <c r="I174" s="1"/>
    </row>
    <row r="175" spans="1:31" x14ac:dyDescent="0.25">
      <c r="A175" s="1"/>
      <c r="B175" s="1"/>
      <c r="C175" s="1"/>
      <c r="D175" s="1"/>
      <c r="E175" s="1"/>
      <c r="F175" s="1"/>
      <c r="G175" s="1"/>
      <c r="H175" s="1"/>
      <c r="I175" s="1"/>
    </row>
    <row r="176" spans="1:31" x14ac:dyDescent="0.25">
      <c r="A176" s="1"/>
      <c r="B176" s="1"/>
      <c r="C176" s="1"/>
      <c r="D176" s="1"/>
      <c r="E176" s="1"/>
      <c r="F176" s="1"/>
      <c r="G176" s="1"/>
      <c r="H176" s="1"/>
      <c r="I176" s="1"/>
    </row>
    <row r="177" spans="1:31" x14ac:dyDescent="0.25">
      <c r="A177" s="1"/>
      <c r="B177" s="1"/>
      <c r="C177" s="1"/>
      <c r="D177" s="1"/>
      <c r="E177" s="1"/>
      <c r="F177" s="1"/>
      <c r="G177" s="1"/>
      <c r="H177" s="1"/>
      <c r="I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1"/>
      <c r="B178" s="1"/>
      <c r="C178" s="1"/>
      <c r="D178" s="1"/>
      <c r="E178" s="1"/>
      <c r="F178" s="1"/>
      <c r="G178" s="1"/>
      <c r="H178" s="1"/>
      <c r="I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1"/>
      <c r="B179" s="1"/>
      <c r="C179" s="1"/>
      <c r="D179" s="1"/>
      <c r="E179" s="1"/>
      <c r="F179" s="1"/>
      <c r="G179" s="1"/>
      <c r="H179" s="1"/>
      <c r="I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1"/>
      <c r="B180" s="1"/>
      <c r="C180" s="1"/>
      <c r="D180" s="1"/>
      <c r="E180" s="1"/>
      <c r="F180" s="1"/>
      <c r="G180" s="1"/>
      <c r="H180" s="1"/>
      <c r="I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1"/>
      <c r="B181" s="1"/>
      <c r="C181" s="1"/>
      <c r="D181" s="1"/>
      <c r="E181" s="1"/>
      <c r="F181" s="1"/>
      <c r="G181" s="1"/>
      <c r="H181" s="1"/>
      <c r="I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1"/>
      <c r="B182" s="1"/>
      <c r="C182" s="1"/>
      <c r="D182" s="1"/>
      <c r="E182" s="1"/>
      <c r="F182" s="1"/>
      <c r="G182" s="1"/>
      <c r="H182" s="1"/>
      <c r="I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1"/>
      <c r="B183" s="1"/>
      <c r="C183" s="1"/>
      <c r="D183" s="1"/>
      <c r="E183" s="1"/>
      <c r="F183" s="1"/>
      <c r="G183" s="1"/>
      <c r="H183" s="1"/>
      <c r="I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1"/>
      <c r="B184" s="1"/>
      <c r="C184" s="1"/>
      <c r="D184" s="1"/>
      <c r="E184" s="1"/>
      <c r="F184" s="1"/>
      <c r="G184" s="1"/>
      <c r="H184" s="1"/>
      <c r="I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1"/>
      <c r="B185" s="1"/>
      <c r="C185" s="1"/>
      <c r="D185" s="1"/>
      <c r="E185" s="1"/>
      <c r="F185" s="1"/>
      <c r="G185" s="1"/>
      <c r="H185" s="1"/>
      <c r="I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1"/>
      <c r="B186" s="1"/>
      <c r="C186" s="1"/>
      <c r="D186" s="1"/>
      <c r="E186" s="1"/>
      <c r="F186" s="1"/>
      <c r="G186" s="1"/>
      <c r="H186" s="1"/>
      <c r="I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1"/>
      <c r="B187" s="1"/>
      <c r="C187" s="1"/>
      <c r="D187" s="1"/>
      <c r="E187" s="1"/>
      <c r="F187" s="1"/>
      <c r="G187" s="1"/>
      <c r="H187" s="1"/>
      <c r="I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1"/>
      <c r="B188" s="1"/>
      <c r="C188" s="1"/>
      <c r="D188" s="1"/>
      <c r="E188" s="1"/>
      <c r="F188" s="1"/>
      <c r="G188" s="1"/>
      <c r="H188" s="1"/>
      <c r="I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1"/>
      <c r="B189" s="1"/>
      <c r="C189" s="1"/>
      <c r="D189" s="1"/>
      <c r="E189" s="1"/>
      <c r="F189" s="1"/>
      <c r="G189" s="1"/>
      <c r="H189" s="1"/>
      <c r="I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41"/>
      <c r="B190" s="1"/>
      <c r="C190" s="1"/>
      <c r="D190" s="1"/>
      <c r="E190" s="1"/>
      <c r="F190" s="1"/>
      <c r="G190" s="1"/>
      <c r="H190" s="1"/>
      <c r="I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41"/>
      <c r="B191" s="1"/>
      <c r="C191" s="1"/>
      <c r="D191" s="1"/>
      <c r="E191" s="1"/>
      <c r="F191" s="1"/>
      <c r="G191" s="1"/>
      <c r="H191" s="1"/>
      <c r="I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41"/>
      <c r="B192" s="1"/>
      <c r="C192" s="1"/>
      <c r="D192" s="1"/>
      <c r="E192" s="1"/>
      <c r="F192" s="1"/>
      <c r="G192" s="1"/>
      <c r="H192" s="1"/>
      <c r="I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41"/>
      <c r="B193" s="1"/>
      <c r="C193" s="1"/>
      <c r="D193" s="1"/>
      <c r="E193" s="1"/>
      <c r="F193" s="1"/>
      <c r="G193" s="1"/>
      <c r="H193" s="1"/>
      <c r="I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41"/>
      <c r="B194" s="1"/>
      <c r="C194" s="1"/>
      <c r="D194" s="1"/>
      <c r="E194" s="1"/>
      <c r="F194" s="1"/>
      <c r="G194" s="1"/>
      <c r="H194" s="1"/>
      <c r="I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41"/>
      <c r="B195" s="1"/>
      <c r="C195" s="1"/>
      <c r="D195" s="1"/>
      <c r="E195" s="1"/>
      <c r="F195" s="1"/>
      <c r="G195" s="1"/>
      <c r="H195" s="1"/>
      <c r="I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41"/>
      <c r="B196" s="1"/>
      <c r="C196" s="1"/>
      <c r="D196" s="1"/>
      <c r="E196" s="1"/>
      <c r="F196" s="1"/>
      <c r="G196" s="1"/>
      <c r="H196" s="1"/>
      <c r="I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41"/>
      <c r="B197" s="1"/>
      <c r="C197" s="1"/>
      <c r="D197" s="1"/>
      <c r="E197" s="1"/>
      <c r="F197" s="1"/>
      <c r="G197" s="1"/>
      <c r="H197" s="1"/>
      <c r="I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41"/>
      <c r="B198" s="1"/>
      <c r="C198" s="1"/>
      <c r="D198" s="1"/>
      <c r="E198" s="1"/>
      <c r="F198" s="1"/>
      <c r="G198" s="1"/>
      <c r="H198" s="1"/>
      <c r="I198" s="1"/>
    </row>
    <row r="199" spans="1:31" x14ac:dyDescent="0.25">
      <c r="A199" s="41"/>
      <c r="B199" s="1"/>
      <c r="C199" s="1"/>
      <c r="D199" s="1"/>
      <c r="E199" s="1"/>
      <c r="F199" s="1"/>
      <c r="G199" s="1"/>
      <c r="H199" s="1"/>
      <c r="I199" s="1"/>
    </row>
    <row r="200" spans="1:31" x14ac:dyDescent="0.25">
      <c r="A200" s="41"/>
      <c r="B200" s="1"/>
      <c r="C200" s="1"/>
      <c r="D200" s="1"/>
      <c r="E200" s="1"/>
      <c r="F200" s="1"/>
      <c r="G200" s="1"/>
      <c r="H200" s="1"/>
      <c r="I200" s="1"/>
    </row>
    <row r="201" spans="1:31" x14ac:dyDescent="0.25">
      <c r="A201" s="41"/>
      <c r="B201" s="1"/>
      <c r="C201" s="1"/>
      <c r="D201" s="1"/>
      <c r="E201" s="1"/>
      <c r="F201" s="1"/>
      <c r="G201" s="1"/>
      <c r="H201" s="1"/>
      <c r="I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A202" s="41"/>
      <c r="B202" s="1"/>
      <c r="C202" s="1"/>
      <c r="D202" s="1"/>
      <c r="E202" s="1"/>
      <c r="F202" s="1"/>
      <c r="G202" s="1"/>
      <c r="H202" s="1"/>
      <c r="I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A203" s="41"/>
      <c r="B203" s="1"/>
      <c r="C203" s="1"/>
      <c r="D203" s="1"/>
      <c r="E203" s="1"/>
      <c r="F203" s="1"/>
      <c r="G203" s="1"/>
      <c r="H203" s="1"/>
      <c r="I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A204" s="41"/>
      <c r="B204" s="1"/>
      <c r="C204" s="1"/>
      <c r="D204" s="1"/>
      <c r="E204" s="1"/>
      <c r="F204" s="1"/>
      <c r="G204" s="1"/>
      <c r="H204" s="1"/>
      <c r="I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A205" s="41"/>
      <c r="B205" s="1"/>
      <c r="C205" s="1"/>
      <c r="D205" s="1"/>
      <c r="E205" s="1"/>
      <c r="F205" s="1"/>
      <c r="G205" s="1"/>
      <c r="H205" s="1"/>
      <c r="I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s="41"/>
      <c r="B206" s="1"/>
      <c r="C206" s="1"/>
      <c r="D206" s="1"/>
      <c r="E206" s="1"/>
      <c r="F206" s="1"/>
      <c r="G206" s="1"/>
      <c r="H206" s="1"/>
      <c r="I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s="41"/>
      <c r="B207" s="1"/>
      <c r="C207" s="1"/>
      <c r="D207" s="1"/>
      <c r="E207" s="1"/>
      <c r="F207" s="1"/>
      <c r="G207" s="1"/>
      <c r="H207" s="1"/>
      <c r="I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41"/>
      <c r="B208" s="1"/>
      <c r="C208" s="1"/>
      <c r="D208" s="1"/>
      <c r="E208" s="1"/>
      <c r="F208" s="1"/>
      <c r="G208" s="1"/>
      <c r="H208" s="1"/>
      <c r="I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1"/>
      <c r="B209" s="1"/>
      <c r="C209" s="1"/>
      <c r="D209" s="1"/>
      <c r="E209" s="1"/>
      <c r="F209" s="1"/>
      <c r="G209" s="1"/>
      <c r="H209" s="1"/>
      <c r="I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5">
      <c r="A212" s="23" t="s">
        <v>84</v>
      </c>
      <c r="B212" s="23" t="s">
        <v>60</v>
      </c>
      <c r="C212" s="23" t="s">
        <v>61</v>
      </c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5">
      <c r="A213" t="s">
        <v>86</v>
      </c>
      <c r="B213" t="s">
        <v>17</v>
      </c>
      <c r="C213" s="52">
        <f>IF(ISBLANK($B213),"",VLOOKUP($B213,$A$18:$B$19,2,FALSE))</f>
        <v>0</v>
      </c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 x14ac:dyDescent="0.25">
      <c r="A214" t="s">
        <v>10</v>
      </c>
      <c r="B214" t="s">
        <v>11</v>
      </c>
      <c r="C214" t="s">
        <v>12</v>
      </c>
      <c r="D214" t="s">
        <v>13</v>
      </c>
      <c r="E214" t="s">
        <v>14</v>
      </c>
      <c r="F214" t="s">
        <v>15</v>
      </c>
      <c r="G214" t="s">
        <v>25</v>
      </c>
      <c r="H214" t="s">
        <v>26</v>
      </c>
      <c r="I214" t="s">
        <v>27</v>
      </c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x14ac:dyDescent="0.25">
      <c r="A215" s="1"/>
      <c r="B215" s="1"/>
      <c r="C215" s="1"/>
      <c r="D215" s="1"/>
      <c r="E215" s="1"/>
      <c r="F215" s="1"/>
      <c r="G215" s="1"/>
      <c r="H215" s="1"/>
      <c r="I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x14ac:dyDescent="0.25">
      <c r="A216" s="1"/>
      <c r="B216" s="1"/>
      <c r="C216" s="1"/>
      <c r="D216" s="1"/>
      <c r="E216" s="1"/>
      <c r="F216" s="1"/>
      <c r="G216" s="1"/>
      <c r="H216" s="1"/>
      <c r="I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1"/>
      <c r="B217" s="1"/>
      <c r="C217" s="1"/>
      <c r="D217" s="1"/>
      <c r="E217" s="1"/>
      <c r="F217" s="1"/>
      <c r="G217" s="1"/>
      <c r="H217" s="1"/>
      <c r="I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1"/>
      <c r="B218" s="1"/>
      <c r="C218" s="1"/>
      <c r="D218" s="1"/>
      <c r="E218" s="1"/>
      <c r="F218" s="1"/>
      <c r="G218" s="1"/>
      <c r="H218" s="1"/>
      <c r="I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1"/>
      <c r="B219" s="1"/>
      <c r="C219" s="1"/>
      <c r="D219" s="1"/>
      <c r="E219" s="1"/>
      <c r="F219" s="1"/>
      <c r="G219" s="1"/>
      <c r="H219" s="1"/>
      <c r="I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1"/>
      <c r="B220" s="1"/>
      <c r="C220" s="1"/>
      <c r="D220" s="1"/>
      <c r="E220" s="1"/>
      <c r="F220" s="1"/>
      <c r="G220" s="1"/>
      <c r="H220" s="1"/>
      <c r="I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1"/>
      <c r="B221" s="1"/>
      <c r="C221" s="1"/>
      <c r="D221" s="1"/>
      <c r="E221" s="1"/>
      <c r="F221" s="1"/>
      <c r="G221" s="1"/>
      <c r="H221" s="1"/>
      <c r="I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1"/>
      <c r="B222" s="1"/>
      <c r="C222" s="1"/>
      <c r="D222" s="1"/>
      <c r="E222" s="1"/>
      <c r="F222" s="1"/>
      <c r="G222" s="1"/>
      <c r="H222" s="1"/>
      <c r="I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1"/>
      <c r="B223" s="1"/>
      <c r="C223" s="1"/>
      <c r="D223" s="1"/>
      <c r="E223" s="1"/>
      <c r="F223" s="1"/>
      <c r="G223" s="1"/>
      <c r="H223" s="1"/>
      <c r="I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/>
      <c r="B224" s="1"/>
      <c r="C224" s="1"/>
      <c r="D224" s="1"/>
      <c r="E224" s="1"/>
      <c r="F224" s="1"/>
      <c r="G224" s="1"/>
      <c r="H224" s="1"/>
      <c r="I224" s="1"/>
    </row>
    <row r="225" spans="1:31" x14ac:dyDescent="0.25">
      <c r="A225" s="1"/>
      <c r="B225" s="1"/>
      <c r="C225" s="1"/>
      <c r="D225" s="1"/>
      <c r="E225" s="1"/>
      <c r="F225" s="1"/>
      <c r="G225" s="1"/>
      <c r="H225" s="1"/>
      <c r="I225" s="1"/>
    </row>
    <row r="226" spans="1:31" x14ac:dyDescent="0.25">
      <c r="A226" s="1"/>
      <c r="B226" s="1"/>
      <c r="C226" s="1"/>
      <c r="D226" s="1"/>
      <c r="E226" s="1"/>
      <c r="F226" s="1"/>
      <c r="G226" s="1"/>
      <c r="H226" s="1"/>
      <c r="I226" s="1"/>
    </row>
    <row r="227" spans="1:31" x14ac:dyDescent="0.25">
      <c r="A227" s="1"/>
      <c r="B227" s="1"/>
      <c r="C227" s="1"/>
      <c r="D227" s="1"/>
      <c r="E227" s="1"/>
      <c r="F227" s="1"/>
      <c r="G227" s="1"/>
      <c r="H227" s="1"/>
      <c r="I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s="1"/>
      <c r="B228" s="1"/>
      <c r="C228" s="1"/>
      <c r="D228" s="1"/>
      <c r="E228" s="1"/>
      <c r="F228" s="1"/>
      <c r="G228" s="1"/>
      <c r="H228" s="1"/>
      <c r="I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x14ac:dyDescent="0.25">
      <c r="A229" s="1"/>
      <c r="B229" s="1"/>
      <c r="C229" s="1"/>
      <c r="D229" s="1"/>
      <c r="E229" s="1"/>
      <c r="F229" s="1"/>
      <c r="G229" s="1"/>
      <c r="H229" s="1"/>
      <c r="I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F230" s="1"/>
      <c r="G230" s="1"/>
      <c r="H230" s="1"/>
      <c r="I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s="1"/>
      <c r="B238" s="1"/>
      <c r="C238" s="1"/>
      <c r="D238" s="1"/>
      <c r="E238" s="1"/>
      <c r="F238" s="1"/>
      <c r="G238" s="1"/>
      <c r="H238" s="1"/>
      <c r="I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s="1"/>
      <c r="B239" s="1"/>
      <c r="C239" s="1"/>
      <c r="D239" s="1"/>
      <c r="E239" s="1"/>
      <c r="F239" s="1"/>
      <c r="G239" s="1"/>
      <c r="H239" s="1"/>
      <c r="I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x14ac:dyDescent="0.25">
      <c r="A240" s="1"/>
      <c r="B240" s="1"/>
      <c r="C240" s="1"/>
      <c r="D240" s="1"/>
      <c r="E240" s="1"/>
      <c r="F240" s="1"/>
      <c r="G240" s="1"/>
      <c r="H240" s="1"/>
      <c r="I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x14ac:dyDescent="0.25">
      <c r="A241" s="1"/>
      <c r="B241" s="1"/>
      <c r="C241" s="1"/>
      <c r="D241" s="1"/>
      <c r="E241" s="1"/>
      <c r="F241" s="1"/>
      <c r="G241" s="1"/>
      <c r="H241" s="1"/>
      <c r="I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x14ac:dyDescent="0.25">
      <c r="A242" s="1"/>
      <c r="B242" s="1"/>
      <c r="C242" s="1"/>
      <c r="D242" s="1"/>
      <c r="E242" s="1"/>
      <c r="F242" s="1"/>
      <c r="G242" s="1"/>
      <c r="H242" s="1"/>
      <c r="I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5">
      <c r="A243" s="1"/>
      <c r="B243" s="1"/>
      <c r="C243" s="1"/>
      <c r="D243" s="1"/>
      <c r="E243" s="1"/>
      <c r="F243" s="1"/>
      <c r="G243" s="1"/>
      <c r="H243" s="1"/>
      <c r="I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5">
      <c r="A244" s="1"/>
      <c r="B244" s="1"/>
      <c r="C244" s="1"/>
      <c r="D244" s="1"/>
      <c r="E244" s="1"/>
      <c r="F244" s="1"/>
      <c r="G244" s="1"/>
      <c r="H244" s="1"/>
      <c r="I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5">
      <c r="A245" s="1"/>
      <c r="B245" s="1"/>
      <c r="C245" s="1"/>
      <c r="D245" s="1"/>
      <c r="E245" s="1"/>
      <c r="F245" s="1"/>
      <c r="G245" s="1"/>
      <c r="H245" s="1"/>
      <c r="I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1"/>
      <c r="B246" s="1"/>
      <c r="C246" s="1"/>
      <c r="D246" s="1"/>
      <c r="E246" s="1"/>
      <c r="F246" s="1"/>
      <c r="G246" s="1"/>
      <c r="H246" s="1"/>
      <c r="I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1"/>
      <c r="B247" s="1"/>
      <c r="C247" s="1"/>
      <c r="D247" s="1"/>
      <c r="E247" s="1"/>
      <c r="F247" s="1"/>
      <c r="G247" s="1"/>
      <c r="H247" s="1"/>
      <c r="I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1"/>
      <c r="B248" s="1"/>
      <c r="C248" s="1"/>
      <c r="D248" s="1"/>
      <c r="E248" s="1"/>
      <c r="F248" s="1"/>
      <c r="G248" s="1"/>
      <c r="H248" s="1"/>
      <c r="I248" s="1"/>
    </row>
    <row r="249" spans="1:31" x14ac:dyDescent="0.25">
      <c r="A249" s="1"/>
      <c r="B249" s="1"/>
      <c r="C249" s="1"/>
      <c r="D249" s="1"/>
      <c r="E249" s="1"/>
      <c r="F249" s="1"/>
      <c r="G249" s="1"/>
      <c r="H249" s="1"/>
      <c r="I249" s="1"/>
    </row>
    <row r="250" spans="1:31" x14ac:dyDescent="0.25">
      <c r="A250" s="1"/>
      <c r="B250" s="1"/>
      <c r="C250" s="1"/>
      <c r="D250" s="1"/>
      <c r="E250" s="1"/>
      <c r="F250" s="1"/>
      <c r="G250" s="1"/>
      <c r="H250" s="1"/>
      <c r="I250" s="1"/>
    </row>
    <row r="251" spans="1:31" x14ac:dyDescent="0.25">
      <c r="A251" s="1"/>
      <c r="B251" s="1"/>
      <c r="C251" s="1"/>
      <c r="D251" s="1"/>
      <c r="E251" s="1"/>
      <c r="F251" s="1"/>
      <c r="G251" s="1"/>
      <c r="H251" s="1"/>
      <c r="I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/>
      <c r="B252" s="1"/>
      <c r="C252" s="1"/>
      <c r="D252" s="1"/>
      <c r="E252" s="1"/>
      <c r="F252" s="1"/>
      <c r="G252" s="1"/>
      <c r="H252" s="1"/>
      <c r="I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1"/>
      <c r="B253" s="1"/>
      <c r="C253" s="1"/>
      <c r="D253" s="1"/>
      <c r="E253" s="1"/>
      <c r="F253" s="1"/>
      <c r="G253" s="1"/>
      <c r="H253" s="1"/>
      <c r="I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1"/>
      <c r="B254" s="1"/>
      <c r="C254" s="1"/>
      <c r="D254" s="1"/>
      <c r="E254" s="1"/>
      <c r="F254" s="1"/>
      <c r="G254" s="1"/>
      <c r="H254" s="1"/>
      <c r="I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1"/>
      <c r="B255" s="1"/>
      <c r="C255" s="1"/>
      <c r="D255" s="1"/>
      <c r="E255" s="1"/>
      <c r="F255" s="1"/>
      <c r="G255" s="1"/>
      <c r="H255" s="1"/>
      <c r="I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/>
      <c r="B259" s="1"/>
      <c r="C259" s="1"/>
      <c r="D259" s="1"/>
      <c r="E259" s="1"/>
      <c r="F259" s="1"/>
      <c r="G259" s="1"/>
      <c r="H259" s="1"/>
      <c r="I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/>
      <c r="B260" s="1"/>
      <c r="C260" s="1"/>
      <c r="D260" s="1"/>
      <c r="E260" s="1"/>
      <c r="F260" s="1"/>
      <c r="G260" s="1"/>
      <c r="H260" s="1"/>
      <c r="I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x14ac:dyDescent="0.25">
      <c r="A265" s="1"/>
      <c r="B265" s="1"/>
      <c r="C265" s="1"/>
      <c r="D265" s="1"/>
      <c r="E265" s="1"/>
      <c r="F265" s="1"/>
      <c r="G265" s="1"/>
      <c r="H265" s="1"/>
      <c r="I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x14ac:dyDescent="0.25">
      <c r="A266" s="1"/>
      <c r="B266" s="1"/>
      <c r="C266" s="1"/>
      <c r="D266" s="1"/>
      <c r="E266" s="1"/>
      <c r="F266" s="1"/>
      <c r="G266" s="1"/>
      <c r="H266" s="1"/>
      <c r="I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/>
      <c r="B267" s="1"/>
      <c r="C267" s="1"/>
      <c r="D267" s="1"/>
      <c r="E267" s="1"/>
      <c r="F267" s="1"/>
      <c r="G267" s="1"/>
      <c r="H267" s="1"/>
      <c r="I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/>
      <c r="B268" s="1"/>
      <c r="C268" s="1"/>
      <c r="D268" s="1"/>
      <c r="E268" s="1"/>
      <c r="F268" s="1"/>
      <c r="G268" s="1"/>
      <c r="H268" s="1"/>
      <c r="I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5">
      <c r="A269" s="1"/>
      <c r="B269" s="1"/>
      <c r="C269" s="1"/>
      <c r="D269" s="1"/>
      <c r="E269" s="1"/>
      <c r="F269" s="1"/>
      <c r="G269" s="1"/>
      <c r="H269" s="1"/>
      <c r="I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5">
      <c r="A270" s="1"/>
      <c r="B270" s="1"/>
      <c r="C270" s="1"/>
      <c r="D270" s="1"/>
      <c r="E270" s="1"/>
      <c r="F270" s="1"/>
      <c r="G270" s="1"/>
      <c r="H270" s="1"/>
      <c r="I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5">
      <c r="A271" s="1"/>
      <c r="B271" s="1"/>
      <c r="C271" s="1"/>
      <c r="D271" s="1"/>
      <c r="E271" s="1"/>
      <c r="F271" s="1"/>
      <c r="G271" s="1"/>
      <c r="H271" s="1"/>
      <c r="I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5">
      <c r="A272" s="1"/>
      <c r="B272" s="1"/>
      <c r="C272" s="1"/>
      <c r="D272" s="1"/>
      <c r="E272" s="1"/>
      <c r="F272" s="1"/>
      <c r="G272" s="1"/>
      <c r="H272" s="1"/>
      <c r="I272" s="1"/>
    </row>
    <row r="273" spans="1:31" x14ac:dyDescent="0.25">
      <c r="A273" s="1"/>
      <c r="B273" s="1"/>
      <c r="C273" s="1"/>
      <c r="D273" s="1"/>
      <c r="E273" s="1"/>
      <c r="F273" s="1"/>
      <c r="G273" s="1"/>
      <c r="H273" s="1"/>
      <c r="I273" s="1"/>
    </row>
    <row r="274" spans="1:31" x14ac:dyDescent="0.25">
      <c r="A274" s="1"/>
      <c r="B274" s="1"/>
      <c r="C274" s="1"/>
      <c r="D274" s="1"/>
      <c r="E274" s="1"/>
      <c r="F274" s="1"/>
      <c r="G274" s="1"/>
      <c r="H274" s="1"/>
      <c r="I274" s="1"/>
    </row>
    <row r="275" spans="1:31" x14ac:dyDescent="0.25">
      <c r="A275" s="1"/>
      <c r="B275" s="1"/>
      <c r="C275" s="1"/>
      <c r="D275" s="1"/>
      <c r="E275" s="1"/>
      <c r="F275" s="1"/>
      <c r="G275" s="1"/>
      <c r="H275" s="1"/>
      <c r="I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5">
      <c r="A276" s="1"/>
      <c r="B276" s="1"/>
      <c r="C276" s="1"/>
      <c r="D276" s="1"/>
      <c r="E276" s="1"/>
      <c r="F276" s="1"/>
      <c r="G276" s="1"/>
      <c r="H276" s="1"/>
      <c r="I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5">
      <c r="A277" s="1"/>
      <c r="B277" s="1"/>
      <c r="C277" s="1"/>
      <c r="D277" s="1"/>
      <c r="E277" s="1"/>
      <c r="F277" s="1"/>
      <c r="G277" s="1"/>
      <c r="H277" s="1"/>
      <c r="I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5">
      <c r="A278" s="1"/>
      <c r="B278" s="1"/>
      <c r="C278" s="1"/>
      <c r="D278" s="1"/>
      <c r="E278" s="1"/>
      <c r="F278" s="1"/>
      <c r="G278" s="1"/>
      <c r="H278" s="1"/>
      <c r="I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5">
      <c r="A279" s="1"/>
      <c r="B279" s="1"/>
      <c r="C279" s="1"/>
      <c r="D279" s="1"/>
      <c r="E279" s="1"/>
      <c r="F279" s="1"/>
      <c r="G279" s="1"/>
      <c r="H279" s="1"/>
      <c r="I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5"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5"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5"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5">
      <c r="A283" s="1"/>
      <c r="B283" s="1"/>
      <c r="C283" s="1"/>
      <c r="D283" s="1"/>
      <c r="E283" s="1"/>
      <c r="F283" s="1"/>
      <c r="G283" s="1"/>
      <c r="H283" s="1"/>
      <c r="I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5">
      <c r="A284" s="1"/>
      <c r="B284" s="1"/>
      <c r="C284" s="1"/>
      <c r="D284" s="1"/>
      <c r="E284" s="1"/>
      <c r="F284" s="1"/>
      <c r="G284" s="1"/>
      <c r="H284" s="1"/>
      <c r="I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5">
      <c r="A285" s="1"/>
      <c r="B285" s="1"/>
      <c r="C285" s="1"/>
      <c r="D285" s="1"/>
      <c r="E285" s="1"/>
      <c r="F285" s="1"/>
      <c r="G285" s="1"/>
      <c r="H285" s="1"/>
      <c r="I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5">
      <c r="A286" s="1"/>
      <c r="B286" s="1"/>
      <c r="C286" s="1"/>
      <c r="D286" s="1"/>
      <c r="E286" s="1"/>
      <c r="F286" s="1"/>
      <c r="G286" s="1"/>
      <c r="H286" s="1"/>
      <c r="I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5">
      <c r="A287" s="1"/>
      <c r="B287" s="1"/>
      <c r="C287" s="1"/>
      <c r="D287" s="1"/>
      <c r="E287" s="1"/>
      <c r="F287" s="1"/>
      <c r="G287" s="1"/>
      <c r="H287" s="1"/>
      <c r="I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x14ac:dyDescent="0.25">
      <c r="A288" s="1"/>
      <c r="B288" s="1"/>
      <c r="C288" s="1"/>
      <c r="D288" s="1"/>
      <c r="E288" s="1"/>
      <c r="F288" s="1"/>
      <c r="G288" s="1"/>
      <c r="H288" s="1"/>
      <c r="I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x14ac:dyDescent="0.25">
      <c r="A289" s="1"/>
      <c r="B289" s="1"/>
      <c r="C289" s="1"/>
      <c r="D289" s="1"/>
      <c r="E289" s="1"/>
      <c r="F289" s="1"/>
      <c r="G289" s="1"/>
      <c r="H289" s="1"/>
      <c r="I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x14ac:dyDescent="0.25">
      <c r="A290" s="1"/>
      <c r="B290" s="1"/>
      <c r="C290" s="1"/>
      <c r="D290" s="1"/>
      <c r="E290" s="1"/>
      <c r="F290" s="1"/>
      <c r="G290" s="1"/>
      <c r="H290" s="1"/>
      <c r="I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5">
      <c r="A291" s="1"/>
      <c r="B291" s="1"/>
      <c r="C291" s="1"/>
      <c r="D291" s="1"/>
      <c r="E291" s="1"/>
      <c r="F291" s="1"/>
      <c r="G291" s="1"/>
      <c r="H291" s="1"/>
      <c r="I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25">
      <c r="A292" s="1"/>
      <c r="B292" s="1"/>
      <c r="C292" s="1"/>
      <c r="D292" s="1"/>
      <c r="E292" s="1"/>
      <c r="F292" s="1"/>
      <c r="G292" s="1"/>
      <c r="H292" s="1"/>
      <c r="I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25">
      <c r="A293" s="1"/>
      <c r="B293" s="1"/>
      <c r="C293" s="1"/>
      <c r="D293" s="1"/>
      <c r="E293" s="1"/>
      <c r="F293" s="1"/>
      <c r="G293" s="1"/>
      <c r="H293" s="1"/>
      <c r="I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x14ac:dyDescent="0.25">
      <c r="A294" s="1"/>
      <c r="B294" s="1"/>
      <c r="C294" s="1"/>
      <c r="D294" s="1"/>
      <c r="E294" s="1"/>
      <c r="F294" s="1"/>
      <c r="G294" s="1"/>
      <c r="H294" s="1"/>
      <c r="I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x14ac:dyDescent="0.25">
      <c r="A295" s="1"/>
      <c r="B295" s="1"/>
      <c r="C295" s="1"/>
      <c r="D295" s="1"/>
      <c r="E295" s="1"/>
      <c r="F295" s="1"/>
      <c r="G295" s="1"/>
      <c r="H295" s="1"/>
      <c r="I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5">
      <c r="A296" s="1"/>
      <c r="B296" s="1"/>
      <c r="C296" s="1"/>
      <c r="D296" s="1"/>
      <c r="E296" s="1"/>
      <c r="F296" s="1"/>
      <c r="G296" s="1"/>
      <c r="H296" s="1"/>
      <c r="I296" s="1"/>
    </row>
    <row r="297" spans="1:31" x14ac:dyDescent="0.25">
      <c r="A297" s="1"/>
      <c r="B297" s="1"/>
      <c r="C297" s="1"/>
      <c r="D297" s="1"/>
      <c r="E297" s="1"/>
      <c r="F297" s="1"/>
      <c r="G297" s="1"/>
      <c r="H297" s="1"/>
      <c r="I297" s="1"/>
    </row>
    <row r="298" spans="1:31" x14ac:dyDescent="0.25">
      <c r="A298" s="1"/>
      <c r="B298" s="1"/>
      <c r="C298" s="1"/>
      <c r="D298" s="1"/>
      <c r="E298" s="1"/>
      <c r="F298" s="1"/>
      <c r="G298" s="1"/>
      <c r="H298" s="1"/>
      <c r="I298" s="1"/>
    </row>
    <row r="299" spans="1:31" x14ac:dyDescent="0.25">
      <c r="A299" s="1"/>
      <c r="B299" s="1"/>
      <c r="C299" s="1"/>
      <c r="D299" s="1"/>
      <c r="E299" s="1"/>
      <c r="F299" s="1"/>
      <c r="G299" s="1"/>
      <c r="H299" s="1"/>
      <c r="I299" s="1"/>
    </row>
    <row r="300" spans="1:31" x14ac:dyDescent="0.25">
      <c r="A300" s="1"/>
      <c r="B300" s="1"/>
      <c r="C300" s="1"/>
      <c r="D300" s="1"/>
      <c r="E300" s="1"/>
      <c r="F300" s="1"/>
      <c r="G300" s="1"/>
      <c r="H300" s="1"/>
      <c r="I300" s="1"/>
    </row>
    <row r="301" spans="1:31" x14ac:dyDescent="0.25">
      <c r="A301" s="1"/>
      <c r="B301" s="1"/>
      <c r="C301" s="1"/>
      <c r="D301" s="1"/>
      <c r="E301" s="1"/>
      <c r="F301" s="1"/>
      <c r="G301" s="1"/>
      <c r="H301" s="1"/>
      <c r="I301" s="1"/>
    </row>
    <row r="302" spans="1:31" x14ac:dyDescent="0.25">
      <c r="A302" s="1"/>
      <c r="B302" s="1"/>
      <c r="C302" s="1"/>
      <c r="D302" s="1"/>
      <c r="E302" s="1"/>
      <c r="F302" s="1"/>
      <c r="G302" s="1"/>
      <c r="H302" s="1"/>
      <c r="I302" s="1"/>
    </row>
    <row r="303" spans="1:31" x14ac:dyDescent="0.25">
      <c r="A303" s="1"/>
      <c r="B303" s="1"/>
      <c r="C303" s="1"/>
      <c r="D303" s="1"/>
      <c r="E303" s="1"/>
      <c r="F303" s="1"/>
      <c r="G303" s="1"/>
      <c r="H303" s="1"/>
      <c r="I303" s="1"/>
    </row>
    <row r="307" spans="1:9" x14ac:dyDescent="0.25">
      <c r="A307" s="1"/>
      <c r="B307" s="1"/>
      <c r="C307" s="1"/>
      <c r="D307" s="1"/>
      <c r="E307" s="1"/>
      <c r="F307" s="1"/>
      <c r="G307" s="1"/>
      <c r="H307" s="1"/>
      <c r="I307" s="1"/>
    </row>
    <row r="308" spans="1:9" x14ac:dyDescent="0.25">
      <c r="A308" s="1"/>
      <c r="B308" s="1"/>
      <c r="C308" s="1"/>
      <c r="D308" s="1"/>
      <c r="E308" s="1"/>
      <c r="F308" s="1"/>
      <c r="G308" s="1"/>
      <c r="H308" s="1"/>
      <c r="I308" s="1"/>
    </row>
    <row r="309" spans="1:9" x14ac:dyDescent="0.25">
      <c r="A309" s="1"/>
      <c r="B309" s="1"/>
      <c r="C309" s="1"/>
      <c r="D309" s="1"/>
      <c r="E309" s="1"/>
      <c r="F309" s="1"/>
      <c r="G309" s="1"/>
      <c r="H309" s="1"/>
      <c r="I309" s="1"/>
    </row>
    <row r="310" spans="1:9" x14ac:dyDescent="0.25">
      <c r="A310" s="1"/>
      <c r="B310" s="1"/>
      <c r="C310" s="1"/>
      <c r="D310" s="1"/>
      <c r="E310" s="1"/>
      <c r="F310" s="1"/>
      <c r="G310" s="1"/>
      <c r="H310" s="1"/>
      <c r="I310" s="1"/>
    </row>
    <row r="311" spans="1:9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9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9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9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9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9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9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9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9" x14ac:dyDescent="0.25">
      <c r="A319" s="1"/>
      <c r="B319" s="1"/>
      <c r="C319" s="1"/>
      <c r="D319" s="1"/>
      <c r="E319" s="1"/>
      <c r="F319" s="1"/>
      <c r="G319" s="1"/>
      <c r="H319" s="1"/>
      <c r="I319" s="1"/>
    </row>
    <row r="320" spans="1:9" x14ac:dyDescent="0.25">
      <c r="A320" s="1"/>
      <c r="B320" s="1"/>
      <c r="C320" s="1"/>
      <c r="D320" s="1"/>
      <c r="E320" s="1"/>
      <c r="F320" s="1"/>
      <c r="G320" s="1"/>
      <c r="H320" s="1"/>
      <c r="I320" s="1"/>
    </row>
    <row r="321" spans="1:9" x14ac:dyDescent="0.25">
      <c r="A321" s="1"/>
      <c r="B321" s="1"/>
      <c r="C321" s="1"/>
      <c r="D321" s="1"/>
      <c r="E321" s="1"/>
      <c r="F321" s="1"/>
      <c r="G321" s="1"/>
      <c r="H321" s="1"/>
      <c r="I321" s="1"/>
    </row>
    <row r="322" spans="1:9" x14ac:dyDescent="0.25">
      <c r="A322" s="1"/>
      <c r="B322" s="1"/>
      <c r="C322" s="1"/>
      <c r="D322" s="1"/>
      <c r="E322" s="1"/>
      <c r="F322" s="1"/>
      <c r="G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</sheetData>
  <dataConsolidate/>
  <mergeCells count="6">
    <mergeCell ref="Q114:AB114"/>
    <mergeCell ref="Q35:U35"/>
    <mergeCell ref="F1:H1"/>
    <mergeCell ref="P31:AB31"/>
    <mergeCell ref="B12:E12"/>
    <mergeCell ref="D28:E28"/>
  </mergeCells>
  <dataValidations disablePrompts="1" count="2">
    <dataValidation type="list" allowBlank="1" showInputMessage="1" showErrorMessage="1" sqref="B167 B213" xr:uid="{262933F1-ECA3-4BA1-A923-C138B050469A}">
      <formula1>$A$18:$A$19</formula1>
    </dataValidation>
    <dataValidation type="list" allowBlank="1" showInputMessage="1" showErrorMessage="1" sqref="F103:AB103 B103:E103" xr:uid="{6995E572-FF85-45C8-85F6-31BC090BCD87}">
      <formula1>"0,1,2,3,4,5,6"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SteyrSM12-TerminalAscentPHP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2024-08-31T22:05:01Z</dcterms:modified>
</cp:coreProperties>
</file>